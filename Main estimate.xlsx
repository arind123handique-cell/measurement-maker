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D:\PROJECTS APP\Measurement Maker\"/>
    </mc:Choice>
  </mc:AlternateContent>
  <xr:revisionPtr revIDLastSave="0" documentId="13_ncr:1_{5BABCA96-8C94-45DF-B9AD-D59DB99B6576}" xr6:coauthVersionLast="47" xr6:coauthVersionMax="47" xr10:uidLastSave="{00000000-0000-0000-0000-000000000000}"/>
  <bookViews>
    <workbookView xWindow="-108" yWindow="-108" windowWidth="23256" windowHeight="12456" tabRatio="924" activeTab="2" xr2:uid="{00000000-000D-0000-FFFF-FFFF00000000}"/>
  </bookViews>
  <sheets>
    <sheet name="Cover" sheetId="1" r:id="rId1"/>
    <sheet name="Report" sheetId="2" r:id="rId2"/>
    <sheet name="Abstract" sheetId="3" r:id="rId3"/>
    <sheet name="Rennovation Measurement" sheetId="5" r:id="rId4"/>
    <sheet name="Rennovation BOQ" sheetId="4" r:id="rId5"/>
    <sheet name="AType Cottage" sheetId="6" r:id="rId6"/>
    <sheet name="furniture" sheetId="7" r:id="rId7"/>
    <sheet name="Furniture analysis" sheetId="8" r:id="rId8"/>
    <sheet name="NDC " sheetId="9" r:id="rId9"/>
    <sheet name="CS" sheetId="10" r:id="rId10"/>
    <sheet name="Cer 1" sheetId="11" r:id="rId11"/>
    <sheet name="Cer 2" sheetId="12" r:id="rId12"/>
    <sheet name="Check list" sheetId="13" r:id="rId13"/>
    <sheet name="Sanitart Works" sheetId="14" r:id="rId14"/>
    <sheet name="Electrical Works" sheetId="15" r:id="rId15"/>
    <sheet name="PLAN" sheetId="16" r:id="rId16"/>
    <sheet name="Septic Tank" sheetId="17" r:id="rId17"/>
    <sheet name="Sheet5" sheetId="18" r:id="rId18"/>
    <sheet name="Interior Painting Measurement" sheetId="19"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#REF!</definedName>
    <definedName name="\0">#REF!</definedName>
    <definedName name="\123" hidden="1">'[1]Basic Rate'!#REF!</definedName>
    <definedName name="\1234" hidden="1">'[1]Basic Rate'!#REF!</definedName>
    <definedName name="\12345" hidden="1">'[1]Basic Rate'!#REF!</definedName>
    <definedName name="\a">#REF!</definedName>
    <definedName name="\b">#N/A</definedName>
    <definedName name="\C">#REF!</definedName>
    <definedName name="\l">#REF!</definedName>
    <definedName name="\m">#REF!</definedName>
    <definedName name="\n">#REF!</definedName>
    <definedName name="\p">#REF!</definedName>
    <definedName name="\r">#REF!</definedName>
    <definedName name="\s">#REF!</definedName>
    <definedName name="\v">#N/A</definedName>
    <definedName name="\w">#N/A</definedName>
    <definedName name="\x">#REF!</definedName>
    <definedName name="_">#REF!</definedName>
    <definedName name="____________________________________________________b111121">#REF!</definedName>
    <definedName name="____________________________________________________Ki1">#REF!</definedName>
    <definedName name="____________________________________________________Ki2">#REF!</definedName>
    <definedName name="____________________________________________________MAN1">#REF!</definedName>
    <definedName name="____________________________________________________PB1">#REF!</definedName>
    <definedName name="____________________________________________________TB2">#REF!</definedName>
    <definedName name="___________________________________________________b111121">#REF!</definedName>
    <definedName name="___________________________________________________Ki1">#REF!</definedName>
    <definedName name="___________________________________________________Ki2">#REF!</definedName>
    <definedName name="___________________________________________________MAN1">#REF!</definedName>
    <definedName name="___________________________________________________PB1">#REF!</definedName>
    <definedName name="___________________________________________________TB2">#REF!</definedName>
    <definedName name="__________________________________________________b111121">#REF!</definedName>
    <definedName name="__________________________________________________Ki1">#REF!</definedName>
    <definedName name="__________________________________________________Ki2">#REF!</definedName>
    <definedName name="__________________________________________________MAN1">#REF!</definedName>
    <definedName name="__________________________________________________PB1">#REF!</definedName>
    <definedName name="__________________________________________________TB2">#REF!</definedName>
    <definedName name="_________________________________________________b111121">#REF!</definedName>
    <definedName name="_________________________________________________Ki1">#REF!</definedName>
    <definedName name="_________________________________________________Ki2">#REF!</definedName>
    <definedName name="_________________________________________________MAN1">#REF!</definedName>
    <definedName name="_________________________________________________PB1">#REF!</definedName>
    <definedName name="_________________________________________________TB2">#REF!</definedName>
    <definedName name="________________________________________________b111121">#REF!</definedName>
    <definedName name="________________________________________________Ki1">#REF!</definedName>
    <definedName name="________________________________________________Ki2">#REF!</definedName>
    <definedName name="________________________________________________MAN1">#REF!</definedName>
    <definedName name="________________________________________________PB1">#REF!</definedName>
    <definedName name="________________________________________________TB2">#REF!</definedName>
    <definedName name="_______________________________________________b111121">#REF!</definedName>
    <definedName name="_______________________________________________Ki1">#REF!</definedName>
    <definedName name="_______________________________________________Ki2">#REF!</definedName>
    <definedName name="_______________________________________________MAN1">#REF!</definedName>
    <definedName name="_______________________________________________PB1">#REF!</definedName>
    <definedName name="_______________________________________________TB2">#REF!</definedName>
    <definedName name="______________________________________________b111121">#REF!</definedName>
    <definedName name="______________________________________________Ki1">#REF!</definedName>
    <definedName name="______________________________________________Ki2">#REF!</definedName>
    <definedName name="______________________________________________MAN1">#REF!</definedName>
    <definedName name="______________________________________________PB1">#REF!</definedName>
    <definedName name="______________________________________________TB2">#REF!</definedName>
    <definedName name="_____________________________________________b111121">#REF!</definedName>
    <definedName name="_____________________________________________Ki1">#REF!</definedName>
    <definedName name="_____________________________________________Ki2">#REF!</definedName>
    <definedName name="_____________________________________________MAN1">#REF!</definedName>
    <definedName name="_____________________________________________PB1">#REF!</definedName>
    <definedName name="_____________________________________________TB2">#REF!</definedName>
    <definedName name="____________________________________________b111121">#REF!</definedName>
    <definedName name="____________________________________________Ki1">#REF!</definedName>
    <definedName name="____________________________________________Ki2">#REF!</definedName>
    <definedName name="____________________________________________MAN1">#REF!</definedName>
    <definedName name="____________________________________________PB1">#REF!</definedName>
    <definedName name="____________________________________________TB2">#REF!</definedName>
    <definedName name="___________________________________________b111121">#REF!</definedName>
    <definedName name="___________________________________________Ki1">#REF!</definedName>
    <definedName name="___________________________________________Ki2">#REF!</definedName>
    <definedName name="___________________________________________MAN1">#REF!</definedName>
    <definedName name="___________________________________________PB1">#REF!</definedName>
    <definedName name="___________________________________________TB2">#REF!</definedName>
    <definedName name="__________________________________________b111121">#REF!</definedName>
    <definedName name="__________________________________________Ki1">#REF!</definedName>
    <definedName name="__________________________________________Ki2">#REF!</definedName>
    <definedName name="__________________________________________MAN1">#REF!</definedName>
    <definedName name="__________________________________________PB1">#REF!</definedName>
    <definedName name="__________________________________________TB2">#REF!</definedName>
    <definedName name="_________________________________________b111121">#REF!</definedName>
    <definedName name="_________________________________________Ki1">#REF!</definedName>
    <definedName name="_________________________________________Ki2">#REF!</definedName>
    <definedName name="_________________________________________MAN1">#REF!</definedName>
    <definedName name="_________________________________________PB1">#REF!</definedName>
    <definedName name="_________________________________________TB2">#REF!</definedName>
    <definedName name="________________________________________b111121">#REF!</definedName>
    <definedName name="________________________________________Ki1">#REF!</definedName>
    <definedName name="________________________________________Ki2">#REF!</definedName>
    <definedName name="________________________________________MAN1">#REF!</definedName>
    <definedName name="________________________________________PB1">#REF!</definedName>
    <definedName name="________________________________________TB2">#REF!</definedName>
    <definedName name="_______________________________________b111121">#REF!</definedName>
    <definedName name="_______________________________________Ki1">#REF!</definedName>
    <definedName name="_______________________________________Ki2">#REF!</definedName>
    <definedName name="_______________________________________MAN1">#REF!</definedName>
    <definedName name="_______________________________________PB1">#REF!</definedName>
    <definedName name="_______________________________________TB2">#REF!</definedName>
    <definedName name="______________________________________b111121">#REF!</definedName>
    <definedName name="______________________________________Ki1">#REF!</definedName>
    <definedName name="______________________________________Ki2">#REF!</definedName>
    <definedName name="______________________________________m4031">#REF!</definedName>
    <definedName name="______________________________________MAN1">#REF!</definedName>
    <definedName name="______________________________________PB1">#REF!</definedName>
    <definedName name="______________________________________TB2">#REF!</definedName>
    <definedName name="_____________________________________b111121">#REF!</definedName>
    <definedName name="_____________________________________Ki1">#REF!</definedName>
    <definedName name="_____________________________________Ki2">#REF!</definedName>
    <definedName name="_____________________________________m4031">#REF!</definedName>
    <definedName name="_____________________________________MAN1">#REF!</definedName>
    <definedName name="_____________________________________PB1">#REF!</definedName>
    <definedName name="_____________________________________TB2">#REF!</definedName>
    <definedName name="____________________________________b111121">#REF!</definedName>
    <definedName name="____________________________________crt2">#REF!</definedName>
    <definedName name="____________________________________crt3">#REF!</definedName>
    <definedName name="____________________________________crt4">#REF!</definedName>
    <definedName name="____________________________________Ki1">#REF!</definedName>
    <definedName name="____________________________________Ki2">#REF!</definedName>
    <definedName name="____________________________________MAN1">#REF!</definedName>
    <definedName name="____________________________________PB1">#REF!</definedName>
    <definedName name="____________________________________TB2">#REF!</definedName>
    <definedName name="___________________________________b111121">#REF!</definedName>
    <definedName name="___________________________________crt1">#REF!</definedName>
    <definedName name="___________________________________Ki1">#REF!</definedName>
    <definedName name="___________________________________Ki2">#REF!</definedName>
    <definedName name="___________________________________m4031">#REF!</definedName>
    <definedName name="___________________________________MAN1">#REF!</definedName>
    <definedName name="___________________________________PB1">#REF!</definedName>
    <definedName name="___________________________________TB2">#REF!</definedName>
    <definedName name="__________________________________b111121">#REF!</definedName>
    <definedName name="__________________________________Ki1">#REF!</definedName>
    <definedName name="__________________________________Ki2">#REF!</definedName>
    <definedName name="__________________________________m4031">#REF!</definedName>
    <definedName name="__________________________________MAN1">#REF!</definedName>
    <definedName name="__________________________________PB1">#REF!</definedName>
    <definedName name="__________________________________TB2">#REF!</definedName>
    <definedName name="_________________________________b111121">#REF!</definedName>
    <definedName name="_________________________________Ki1">#REF!</definedName>
    <definedName name="_________________________________Ki2">#REF!</definedName>
    <definedName name="_________________________________m4031">#REF!</definedName>
    <definedName name="_________________________________MAN1">#REF!</definedName>
    <definedName name="_________________________________PB1">#REF!</definedName>
    <definedName name="_________________________________TB2">#REF!</definedName>
    <definedName name="________________________________b111121">#REF!</definedName>
    <definedName name="________________________________Ki1">#REF!</definedName>
    <definedName name="________________________________Ki2">#REF!</definedName>
    <definedName name="________________________________MAN1">#REF!</definedName>
    <definedName name="________________________________PB1">#REF!</definedName>
    <definedName name="________________________________TB2">#REF!</definedName>
    <definedName name="_______________________________b111121">#REF!</definedName>
    <definedName name="_______________________________Ki1">#REF!</definedName>
    <definedName name="_______________________________Ki2">#REF!</definedName>
    <definedName name="_______________________________m4031">#REF!</definedName>
    <definedName name="_______________________________MAN1">#REF!</definedName>
    <definedName name="_______________________________PB1">#REF!</definedName>
    <definedName name="_______________________________TB2">#REF!</definedName>
    <definedName name="______________________________b111121">#REF!</definedName>
    <definedName name="______________________________Ki1">#REF!</definedName>
    <definedName name="______________________________Ki2">#REF!</definedName>
    <definedName name="______________________________MAN1">#REF!</definedName>
    <definedName name="______________________________PB1">#REF!</definedName>
    <definedName name="______________________________TB2">#REF!</definedName>
    <definedName name="_____________________________b111121">#REF!</definedName>
    <definedName name="_____________________________Ki1">#REF!</definedName>
    <definedName name="_____________________________Ki2">#REF!</definedName>
    <definedName name="_____________________________m4031">#REF!</definedName>
    <definedName name="_____________________________MAN1">#REF!</definedName>
    <definedName name="_____________________________PB1">#REF!</definedName>
    <definedName name="_____________________________TB2">#REF!</definedName>
    <definedName name="____________________________b111121">#REF!</definedName>
    <definedName name="____________________________Ki1">#REF!</definedName>
    <definedName name="____________________________Ki2">#REF!</definedName>
    <definedName name="____________________________m4031">#REF!</definedName>
    <definedName name="____________________________MAN1">#REF!</definedName>
    <definedName name="____________________________PB1">#REF!</definedName>
    <definedName name="____________________________TB2">#REF!</definedName>
    <definedName name="___________________________b111121">#REF!</definedName>
    <definedName name="___________________________Ki1">#REF!</definedName>
    <definedName name="___________________________Ki2">#REF!</definedName>
    <definedName name="___________________________MAN1">#REF!</definedName>
    <definedName name="___________________________PB1">#REF!</definedName>
    <definedName name="___________________________TB2">#REF!</definedName>
    <definedName name="__________________________b111121">#REF!</definedName>
    <definedName name="__________________________Ki1">#REF!</definedName>
    <definedName name="__________________________Ki2">#REF!</definedName>
    <definedName name="__________________________m4031">#REF!</definedName>
    <definedName name="__________________________MAN1">#REF!</definedName>
    <definedName name="__________________________PB1">#REF!</definedName>
    <definedName name="__________________________TB2">#REF!</definedName>
    <definedName name="_________________________b111121">#REF!</definedName>
    <definedName name="_________________________Ki1">#REF!</definedName>
    <definedName name="_________________________Ki2">#REF!</definedName>
    <definedName name="_________________________m4031">#REF!</definedName>
    <definedName name="_________________________MAN1">#REF!</definedName>
    <definedName name="_________________________PB1">#REF!</definedName>
    <definedName name="_________________________TB2">#REF!</definedName>
    <definedName name="________________________b111121">#REF!</definedName>
    <definedName name="________________________Ki1">#REF!</definedName>
    <definedName name="________________________Ki2">#REF!</definedName>
    <definedName name="________________________m4031">#REF!</definedName>
    <definedName name="________________________MAN1">#REF!</definedName>
    <definedName name="________________________PB1">#REF!</definedName>
    <definedName name="________________________TB2">#REF!</definedName>
    <definedName name="_______________________b111121">#REF!</definedName>
    <definedName name="_______________________Ki1">#REF!</definedName>
    <definedName name="_______________________Ki2">#REF!</definedName>
    <definedName name="_______________________MAN1">#REF!</definedName>
    <definedName name="_______________________PB1">#REF!</definedName>
    <definedName name="_______________________TB2">#REF!</definedName>
    <definedName name="______________________b111121">#REF!</definedName>
    <definedName name="______________________Ki1">#REF!</definedName>
    <definedName name="______________________Ki2">#REF!</definedName>
    <definedName name="______________________m4031">#REF!</definedName>
    <definedName name="______________________MAN1">#REF!</definedName>
    <definedName name="______________________PB1">#REF!</definedName>
    <definedName name="______________________TB2">#REF!</definedName>
    <definedName name="_____________________b111121">#REF!</definedName>
    <definedName name="_____________________Ki1">#REF!</definedName>
    <definedName name="_____________________Ki2">#REF!</definedName>
    <definedName name="_____________________m4031">#REF!</definedName>
    <definedName name="_____________________MAN1">#REF!</definedName>
    <definedName name="_____________________PB1">#REF!</definedName>
    <definedName name="_____________________TB2">#REF!</definedName>
    <definedName name="____________________b111121">#REF!</definedName>
    <definedName name="____________________Ki1">#REF!</definedName>
    <definedName name="____________________Ki2">#REF!</definedName>
    <definedName name="____________________m4031">#REF!</definedName>
    <definedName name="____________________MAN1">#REF!</definedName>
    <definedName name="____________________PB1">#REF!</definedName>
    <definedName name="____________________TB2">#REF!</definedName>
    <definedName name="___________________b111121">#REF!</definedName>
    <definedName name="___________________Ki1">#REF!</definedName>
    <definedName name="___________________Ki2">#REF!</definedName>
    <definedName name="___________________m4031">#REF!</definedName>
    <definedName name="___________________MAN1">#REF!</definedName>
    <definedName name="___________________PB1">#REF!</definedName>
    <definedName name="___________________TB2">#REF!</definedName>
    <definedName name="__________________b111121">#REF!</definedName>
    <definedName name="__________________Ki1">#REF!</definedName>
    <definedName name="__________________Ki2">#REF!</definedName>
    <definedName name="__________________m4031">#REF!</definedName>
    <definedName name="__________________MAN1">#REF!</definedName>
    <definedName name="__________________PB1">#REF!</definedName>
    <definedName name="__________________TB2">#REF!</definedName>
    <definedName name="_________________b111121">#REF!</definedName>
    <definedName name="_________________Ki1">#REF!</definedName>
    <definedName name="_________________Ki2">#REF!</definedName>
    <definedName name="_________________m4031">#REF!</definedName>
    <definedName name="_________________MAN1">#REF!</definedName>
    <definedName name="_________________PB1">#REF!</definedName>
    <definedName name="_________________TB2">#REF!</definedName>
    <definedName name="________________b111121">#REF!</definedName>
    <definedName name="________________Ki1">#REF!</definedName>
    <definedName name="________________Ki2">#REF!</definedName>
    <definedName name="________________m4031">#REF!</definedName>
    <definedName name="________________MAN1">#REF!</definedName>
    <definedName name="________________PB1">#REF!</definedName>
    <definedName name="________________TB2">#REF!</definedName>
    <definedName name="________________xlnm.Print_Area_1">#REF!</definedName>
    <definedName name="________________xlnm.Print_Area_3">#REF!</definedName>
    <definedName name="________________xlnm.Print_Titles">#N/A</definedName>
    <definedName name="________________xlnm.Print_Titles_1">#REF!</definedName>
    <definedName name="_______________b111121">#REF!</definedName>
    <definedName name="_______________Ki1">#REF!</definedName>
    <definedName name="_______________Ki2">#REF!</definedName>
    <definedName name="_______________m4031">#REF!</definedName>
    <definedName name="_______________MAN1">#REF!</definedName>
    <definedName name="_______________PB1">#REF!</definedName>
    <definedName name="_______________TB2">#REF!</definedName>
    <definedName name="_______________xlnm.Print_Area_1">#REF!</definedName>
    <definedName name="_______________xlnm.Print_Area_3">#REF!</definedName>
    <definedName name="_______________xlnm.Print_Titles">#N/A</definedName>
    <definedName name="_______________xlnm.Print_Titles_1">#REF!</definedName>
    <definedName name="______________b111121">#REF!</definedName>
    <definedName name="______________Ki1">#REF!</definedName>
    <definedName name="______________Ki2">#REF!</definedName>
    <definedName name="______________m4031">#REF!</definedName>
    <definedName name="______________MAN1">#REF!</definedName>
    <definedName name="______________PB1">#REF!</definedName>
    <definedName name="______________TB2">#REF!</definedName>
    <definedName name="______________xlnm.Print_Titles">#N/A</definedName>
    <definedName name="_____________b111121">#REF!</definedName>
    <definedName name="_____________crt5">#REF!</definedName>
    <definedName name="_____________crt50">#REF!</definedName>
    <definedName name="_____________crt6">#REF!</definedName>
    <definedName name="_____________crt7">#REF!</definedName>
    <definedName name="_____________Ki1">#REF!</definedName>
    <definedName name="_____________Ki2">#REF!</definedName>
    <definedName name="_____________m4031">#REF!</definedName>
    <definedName name="_____________MAN1">#REF!</definedName>
    <definedName name="_____________PB1">#REF!</definedName>
    <definedName name="_____________TB2">#REF!</definedName>
    <definedName name="_____________tsb2550">#REF!</definedName>
    <definedName name="_____________tsb4563">#REF!</definedName>
    <definedName name="_____________xlnm.Print_Area_1">#REF!</definedName>
    <definedName name="_____________xlnm.Print_Area_3">#REF!</definedName>
    <definedName name="_____________xlnm.Print_Titles">#N/A</definedName>
    <definedName name="_____________xlnm.Print_Titles_1">#REF!</definedName>
    <definedName name="____________A1">#REF!</definedName>
    <definedName name="____________b111121">#REF!</definedName>
    <definedName name="____________crt5">#REF!</definedName>
    <definedName name="____________crt50">#REF!</definedName>
    <definedName name="____________crt6">#REF!</definedName>
    <definedName name="____________crt7">#REF!</definedName>
    <definedName name="____________Ki1">#REF!</definedName>
    <definedName name="____________Ki2">#REF!</definedName>
    <definedName name="____________m4031">#REF!</definedName>
    <definedName name="____________MAN1">#REF!</definedName>
    <definedName name="____________mnt1">#REF!</definedName>
    <definedName name="____________mnt2">#REF!</definedName>
    <definedName name="____________mnt3">#REF!</definedName>
    <definedName name="____________mnt4">#REF!</definedName>
    <definedName name="____________mnt5">#REF!</definedName>
    <definedName name="____________NP31000">#REF!</definedName>
    <definedName name="____________NP3450">#REF!</definedName>
    <definedName name="____________PB1">#REF!</definedName>
    <definedName name="____________rtP1">#REF!</definedName>
    <definedName name="____________sep05">#REF!</definedName>
    <definedName name="____________ssb4563">#REF!</definedName>
    <definedName name="____________TB2">#REF!</definedName>
    <definedName name="____________tsb2550">#REF!</definedName>
    <definedName name="____________tsb4563">#REF!</definedName>
    <definedName name="____________wnb1">#REF!</definedName>
    <definedName name="____________wnb7">#REF!</definedName>
    <definedName name="____________wng1">#REF!</definedName>
    <definedName name="____________wng2">#REF!</definedName>
    <definedName name="____________wng3">#REF!</definedName>
    <definedName name="____________wng4">#REF!</definedName>
    <definedName name="____________wng5">#REF!</definedName>
    <definedName name="____________wng6">#REF!</definedName>
    <definedName name="____________wng7">#REF!</definedName>
    <definedName name="____________xlnm.Print_Area_1">#REF!</definedName>
    <definedName name="____________xlnm.Print_Area_3">#REF!</definedName>
    <definedName name="____________xlnm.Print_Titles">#N/A</definedName>
    <definedName name="____________xlnm.Print_Titles_1">#REF!</definedName>
    <definedName name="___________A1">#REF!</definedName>
    <definedName name="___________b111121">#REF!</definedName>
    <definedName name="___________BLK1">#REF!</definedName>
    <definedName name="___________crt5">#REF!</definedName>
    <definedName name="___________crt50">#REF!</definedName>
    <definedName name="___________crt6">#REF!</definedName>
    <definedName name="___________crt7">#REF!</definedName>
    <definedName name="___________FIT1">#REF!</definedName>
    <definedName name="___________FIT2">#REF!</definedName>
    <definedName name="___________Ki1">#REF!</definedName>
    <definedName name="___________Ki2">#REF!</definedName>
    <definedName name="___________m4031">#REF!</definedName>
    <definedName name="___________MAN1">#REF!</definedName>
    <definedName name="___________mnt1">#REF!</definedName>
    <definedName name="___________mnt2">#REF!</definedName>
    <definedName name="___________mnt3">#REF!</definedName>
    <definedName name="___________mnt4">#REF!</definedName>
    <definedName name="___________mnt5">#REF!</definedName>
    <definedName name="___________MS2">#REF!</definedName>
    <definedName name="___________NP31000">#REF!</definedName>
    <definedName name="___________NP3450">#REF!</definedName>
    <definedName name="___________PB1">#REF!</definedName>
    <definedName name="___________rtP1">#REF!</definedName>
    <definedName name="___________sep05">#REF!</definedName>
    <definedName name="___________ssb4563">#REF!</definedName>
    <definedName name="___________TB2">#REF!</definedName>
    <definedName name="___________wnb1">#REF!</definedName>
    <definedName name="___________wnb7">#REF!</definedName>
    <definedName name="___________wng1">#REF!</definedName>
    <definedName name="___________wng2">#REF!</definedName>
    <definedName name="___________wng3">#REF!</definedName>
    <definedName name="___________wng4">#REF!</definedName>
    <definedName name="___________wng5">#REF!</definedName>
    <definedName name="___________wng6">#REF!</definedName>
    <definedName name="___________wng7">#REF!</definedName>
    <definedName name="___________xlnm.Print_Area_1">#REF!</definedName>
    <definedName name="___________xlnm.Print_Area_3">#REF!</definedName>
    <definedName name="___________xlnm.Print_Titles">#N/A</definedName>
    <definedName name="___________xlnm.Print_Titles_1">#REF!</definedName>
    <definedName name="__________A1">#REF!</definedName>
    <definedName name="__________b111121">#REF!</definedName>
    <definedName name="__________crt5">#REF!</definedName>
    <definedName name="__________crt50">#REF!</definedName>
    <definedName name="__________crt6">#REF!</definedName>
    <definedName name="__________crt7">#REF!</definedName>
    <definedName name="__________Ki1">#REF!</definedName>
    <definedName name="__________Ki2">#REF!</definedName>
    <definedName name="__________m4031">#REF!</definedName>
    <definedName name="__________MAN1">#REF!</definedName>
    <definedName name="__________mi2">#REF!</definedName>
    <definedName name="__________mnt1">#REF!</definedName>
    <definedName name="__________mnt2">#REF!</definedName>
    <definedName name="__________mnt3">#REF!</definedName>
    <definedName name="__________mnt4">#REF!</definedName>
    <definedName name="__________mnt5">#REF!</definedName>
    <definedName name="__________NP31000">#REF!</definedName>
    <definedName name="__________NP3450">#REF!</definedName>
    <definedName name="__________PB1">#REF!</definedName>
    <definedName name="__________rtP1">#REF!</definedName>
    <definedName name="__________sep05">#REF!</definedName>
    <definedName name="__________ssb4563">#REF!</definedName>
    <definedName name="__________TB2">#REF!</definedName>
    <definedName name="__________wnb1">#REF!</definedName>
    <definedName name="__________wnb7">#REF!</definedName>
    <definedName name="__________wng1">#REF!</definedName>
    <definedName name="__________wng2">#REF!</definedName>
    <definedName name="__________wng3">#REF!</definedName>
    <definedName name="__________wng4">#REF!</definedName>
    <definedName name="__________wng5">#REF!</definedName>
    <definedName name="__________wng6">#REF!</definedName>
    <definedName name="__________wng7">#REF!</definedName>
    <definedName name="__________xlnm.Print_Area_1">#REF!</definedName>
    <definedName name="__________xlnm.Print_Area_3">#REF!</definedName>
    <definedName name="__________xlnm.Print_Titles">#N/A</definedName>
    <definedName name="__________xlnm.Print_Titles_1">#REF!</definedName>
    <definedName name="_________A1">#REF!</definedName>
    <definedName name="_________b111121">#REF!</definedName>
    <definedName name="_________can430">40.73</definedName>
    <definedName name="_________can435">43.3</definedName>
    <definedName name="_________crt5">#REF!</definedName>
    <definedName name="_________crt50">#REF!</definedName>
    <definedName name="_________crt6">#REF!</definedName>
    <definedName name="_________crt7">#REF!</definedName>
    <definedName name="_________Ki1">#REF!</definedName>
    <definedName name="_________Ki2">#REF!</definedName>
    <definedName name="_________m4031">#REF!</definedName>
    <definedName name="_________MAN1">#REF!</definedName>
    <definedName name="_________mi2">#REF!</definedName>
    <definedName name="_________mnt1">#REF!</definedName>
    <definedName name="_________mnt2">#REF!</definedName>
    <definedName name="_________mnt3">#REF!</definedName>
    <definedName name="_________mnt4">#REF!</definedName>
    <definedName name="_________mnt5">#REF!</definedName>
    <definedName name="_________NP31000">#REF!</definedName>
    <definedName name="_________NP3450">#REF!</definedName>
    <definedName name="_________PB1">#REF!</definedName>
    <definedName name="_________rtP1">#REF!</definedName>
    <definedName name="_________sep05">#REF!</definedName>
    <definedName name="_________ssb4563">#REF!</definedName>
    <definedName name="_________TB2">#REF!</definedName>
    <definedName name="_________wnb1">#REF!</definedName>
    <definedName name="_________wnb7">#REF!</definedName>
    <definedName name="_________wng1">#REF!</definedName>
    <definedName name="_________wng2">#REF!</definedName>
    <definedName name="_________wng3">#REF!</definedName>
    <definedName name="_________wng4">#REF!</definedName>
    <definedName name="_________wng5">#REF!</definedName>
    <definedName name="_________wng6">#REF!</definedName>
    <definedName name="_________wng7">#REF!</definedName>
    <definedName name="_________xlnm.Print_Area_1">#REF!</definedName>
    <definedName name="_________xlnm.Print_Area_3">#REF!</definedName>
    <definedName name="_________xlnm.Print_Titles">#N/A</definedName>
    <definedName name="_________xlnm.Print_Titles_1">#REF!</definedName>
    <definedName name="________A1">#REF!</definedName>
    <definedName name="________b111121">#REF!</definedName>
    <definedName name="________BLK1">#REF!</definedName>
    <definedName name="________can430">40.73</definedName>
    <definedName name="________can435">43.3</definedName>
    <definedName name="________crt5">#REF!</definedName>
    <definedName name="________crt50">#REF!</definedName>
    <definedName name="________crt6">#REF!</definedName>
    <definedName name="________crt7">#REF!</definedName>
    <definedName name="________FIT1">#REF!</definedName>
    <definedName name="________FIT2">#REF!</definedName>
    <definedName name="________Ki1">#REF!</definedName>
    <definedName name="________Ki2">#REF!</definedName>
    <definedName name="________m4031">#REF!</definedName>
    <definedName name="________MAN1">#REF!</definedName>
    <definedName name="________mi2">#REF!</definedName>
    <definedName name="________mnt1">#REF!</definedName>
    <definedName name="________mnt2">#REF!</definedName>
    <definedName name="________mnt3">#REF!</definedName>
    <definedName name="________mnt4">#REF!</definedName>
    <definedName name="________mnt5">#REF!</definedName>
    <definedName name="________MS2">#REF!</definedName>
    <definedName name="________NP31000">#REF!</definedName>
    <definedName name="________NP3450">#REF!</definedName>
    <definedName name="________PB1">#REF!</definedName>
    <definedName name="________rtP1">#REF!</definedName>
    <definedName name="________sep05">#REF!</definedName>
    <definedName name="________ssb4563">#REF!</definedName>
    <definedName name="________TB2">#REF!</definedName>
    <definedName name="________wnb1">#REF!</definedName>
    <definedName name="________wnb7">#REF!</definedName>
    <definedName name="________wng1">#REF!</definedName>
    <definedName name="________wng2">#REF!</definedName>
    <definedName name="________wng3">#REF!</definedName>
    <definedName name="________wng4">#REF!</definedName>
    <definedName name="________wng5">#REF!</definedName>
    <definedName name="________wng6">#REF!</definedName>
    <definedName name="________wng7">#REF!</definedName>
    <definedName name="________xlnm.Print_Area_1">#REF!</definedName>
    <definedName name="________xlnm.Print_Area_3">#REF!</definedName>
    <definedName name="________xlnm.Print_Titles">#N/A</definedName>
    <definedName name="________xlnm.Print_Titles_1">#REF!</definedName>
    <definedName name="_______A1">#REF!</definedName>
    <definedName name="_______b111121">#REF!</definedName>
    <definedName name="_______BLK1">#REF!</definedName>
    <definedName name="_______can430">40.73</definedName>
    <definedName name="_______can435">43.3</definedName>
    <definedName name="_______crt5">#REF!</definedName>
    <definedName name="_______crt50">#REF!</definedName>
    <definedName name="_______crt6">#REF!</definedName>
    <definedName name="_______crt7">#REF!</definedName>
    <definedName name="_______FIT1">#REF!</definedName>
    <definedName name="_______FIT2">#REF!</definedName>
    <definedName name="_______Ki1">#REF!</definedName>
    <definedName name="_______Ki2">#REF!</definedName>
    <definedName name="_______m4031">#REF!</definedName>
    <definedName name="_______MAN1">#REF!</definedName>
    <definedName name="_______mi2">#REF!</definedName>
    <definedName name="_______mnt1">#REF!</definedName>
    <definedName name="_______mnt2">#REF!</definedName>
    <definedName name="_______mnt3">#REF!</definedName>
    <definedName name="_______mnt4">#REF!</definedName>
    <definedName name="_______mnt5">#REF!</definedName>
    <definedName name="_______MS2">#REF!</definedName>
    <definedName name="_______NP31000">#REF!</definedName>
    <definedName name="_______NP3450">#REF!</definedName>
    <definedName name="_______PB1">#REF!</definedName>
    <definedName name="_______rtP1">#REF!</definedName>
    <definedName name="_______ssb4563">#REF!</definedName>
    <definedName name="_______TB2">#REF!</definedName>
    <definedName name="_______wnb1">#REF!</definedName>
    <definedName name="_______wnb7">#REF!</definedName>
    <definedName name="_______wng1">#REF!</definedName>
    <definedName name="_______wng2">#REF!</definedName>
    <definedName name="_______wng3">#REF!</definedName>
    <definedName name="_______wng4">#REF!</definedName>
    <definedName name="_______wng5">#REF!</definedName>
    <definedName name="_______wng6">#REF!</definedName>
    <definedName name="_______wng7">#REF!</definedName>
    <definedName name="_______xlnm.Print_Area_1">#REF!</definedName>
    <definedName name="_______xlnm.Print_Area_10">#REF!</definedName>
    <definedName name="_______xlnm.Print_Area_2">#REF!</definedName>
    <definedName name="_______xlnm.Print_Area_3">#REF!</definedName>
    <definedName name="_______xlnm.Print_Area_5">#REF!</definedName>
    <definedName name="_______xlnm.Print_Area_6">#REF!</definedName>
    <definedName name="_______xlnm.Print_Titles">#N/A</definedName>
    <definedName name="_______xlnm.Print_Titles_1">#REF!</definedName>
    <definedName name="_______xlnm.Print_Titles_10">#REF!</definedName>
    <definedName name="_______xlnm.Print_Titles_3">#REF!</definedName>
    <definedName name="_______xlnm.Print_Titles_7">'[2]Sch.Main Bldg.'!#REF!</definedName>
    <definedName name="_______xlnm.Print_Titles_9">#REF!</definedName>
    <definedName name="______A1">#REF!</definedName>
    <definedName name="______a3">#N/A</definedName>
    <definedName name="______aaa5">#REF!</definedName>
    <definedName name="______att2">#N/A</definedName>
    <definedName name="______b111121">#REF!</definedName>
    <definedName name="______BLK1">#REF!</definedName>
    <definedName name="______can430">40.73</definedName>
    <definedName name="______can435">43.3</definedName>
    <definedName name="______car2">#REF!</definedName>
    <definedName name="______crt5">#REF!</definedName>
    <definedName name="______crt50">#REF!</definedName>
    <definedName name="______crt6">#REF!</definedName>
    <definedName name="______crt7">#REF!</definedName>
    <definedName name="______FIT1">#REF!</definedName>
    <definedName name="______FIT2">#REF!</definedName>
    <definedName name="______Ki1">#REF!</definedName>
    <definedName name="______Ki2">#REF!</definedName>
    <definedName name="______m4031">#REF!</definedName>
    <definedName name="______ma2">#REF!</definedName>
    <definedName name="______MAN1">#REF!</definedName>
    <definedName name="______mi2">#REF!</definedName>
    <definedName name="______mnt1">#REF!</definedName>
    <definedName name="______mnt2">#REF!</definedName>
    <definedName name="______mnt3">#REF!</definedName>
    <definedName name="______mnt4">#REF!</definedName>
    <definedName name="______mnt5">#REF!</definedName>
    <definedName name="______MS2">#REF!</definedName>
    <definedName name="______ms6">#REF!</definedName>
    <definedName name="______mz1">#REF!</definedName>
    <definedName name="______NP31000">#REF!</definedName>
    <definedName name="______NP3450">#REF!</definedName>
    <definedName name="______ohp1">#REF!</definedName>
    <definedName name="______PB1">#REF!</definedName>
    <definedName name="______pcc148">#REF!</definedName>
    <definedName name="______rtP1">#REF!</definedName>
    <definedName name="______sd4">#REF!</definedName>
    <definedName name="______sep05">#REF!</definedName>
    <definedName name="______ssb4563">#REF!</definedName>
    <definedName name="______st12">#REF!</definedName>
    <definedName name="______st4">#REF!</definedName>
    <definedName name="______st53">#REF!</definedName>
    <definedName name="______st6">#REF!</definedName>
    <definedName name="______st63">#REF!</definedName>
    <definedName name="______st7">#REF!</definedName>
    <definedName name="______st8">#REF!</definedName>
    <definedName name="______st90">#REF!</definedName>
    <definedName name="______TB2">#REF!</definedName>
    <definedName name="______tem1">#N/A</definedName>
    <definedName name="______wnb1">#REF!</definedName>
    <definedName name="______wnb7">#REF!</definedName>
    <definedName name="______wng1">#REF!</definedName>
    <definedName name="______wng2">#REF!</definedName>
    <definedName name="______wng3">#REF!</definedName>
    <definedName name="______wng4">#REF!</definedName>
    <definedName name="______wng5">#REF!</definedName>
    <definedName name="______wng6">#REF!</definedName>
    <definedName name="______wng7">#REF!</definedName>
    <definedName name="______ww2">#REF!</definedName>
    <definedName name="______xlfn_BAHTTEXT">NA()</definedName>
    <definedName name="______xlfn_IFERROR">#N/A</definedName>
    <definedName name="______xlnm._FilterDatabase">#REF!</definedName>
    <definedName name="______xlnm._FilterDatabase_1">#REF!</definedName>
    <definedName name="______xlnm._FilterDatabase_1_1">#REF!</definedName>
    <definedName name="______xlnm._FilterDatabase_2">#REF!</definedName>
    <definedName name="______xlnm._FilterDatabase_2_1">#REF!</definedName>
    <definedName name="______xlnm._FilterDatabase_3">#REF!</definedName>
    <definedName name="______xlnm._FilterDatabase_3_1">#REF!</definedName>
    <definedName name="______xlnm._FilterDatabase_4">#REF!</definedName>
    <definedName name="______xlnm.Print_Area">#REF!</definedName>
    <definedName name="______xlnm.Print_Area_1">#REF!</definedName>
    <definedName name="______xlnm.Print_Area_10">#REF!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9">#REF!</definedName>
    <definedName name="______xlnm.Print_Titles">#REF!</definedName>
    <definedName name="______xlnm.Print_Titles_1">#REF!</definedName>
    <definedName name="______xlnm.Print_Titles_10">#REF!</definedName>
    <definedName name="______xlnm.Print_Titles_3">#REF!</definedName>
    <definedName name="______xlnm.Print_Titles_7">'[2]Sch.Main Bldg.'!#REF!</definedName>
    <definedName name="______xlnm.Print_Titles_9">#REF!</definedName>
    <definedName name="_____A1">#REF!</definedName>
    <definedName name="_____A165536">#REF!</definedName>
    <definedName name="_____a3">#N/A</definedName>
    <definedName name="_____aaa5">#REF!</definedName>
    <definedName name="_____att2">#N/A</definedName>
    <definedName name="_____b111121">#REF!</definedName>
    <definedName name="_____BLK1">#REF!</definedName>
    <definedName name="_____bol1">#REF!</definedName>
    <definedName name="_____can430">40.73</definedName>
    <definedName name="_____can435">43.3</definedName>
    <definedName name="_____car2">#REF!</definedName>
    <definedName name="_____crt5">#REF!</definedName>
    <definedName name="_____crt50">#REF!</definedName>
    <definedName name="_____crt6">#REF!</definedName>
    <definedName name="_____crt7">#REF!</definedName>
    <definedName name="_____FIT1">#REF!</definedName>
    <definedName name="_____FIT2">#REF!</definedName>
    <definedName name="_____Ki1">#REF!</definedName>
    <definedName name="_____Ki2">#REF!</definedName>
    <definedName name="_____m4031">#REF!</definedName>
    <definedName name="_____ma1">#REF!</definedName>
    <definedName name="_____ma2">#REF!</definedName>
    <definedName name="_____MAN1">#REF!</definedName>
    <definedName name="_____mi2">#REF!</definedName>
    <definedName name="_____mnt1">#REF!</definedName>
    <definedName name="_____mnt2">#REF!</definedName>
    <definedName name="_____mnt3">#REF!</definedName>
    <definedName name="_____mnt4">#REF!</definedName>
    <definedName name="_____mnt5">#REF!</definedName>
    <definedName name="_____MS2">#REF!</definedName>
    <definedName name="_____ms6">#REF!</definedName>
    <definedName name="_____mz1">#REF!</definedName>
    <definedName name="_____mz2">#REF!</definedName>
    <definedName name="_____NP31000">#REF!</definedName>
    <definedName name="_____NP3450">#REF!</definedName>
    <definedName name="_____ohp1">#REF!</definedName>
    <definedName name="_____PB1">#REF!</definedName>
    <definedName name="_____pcc148">#REF!</definedName>
    <definedName name="_____rtP1">#REF!</definedName>
    <definedName name="_____sd4">#REF!</definedName>
    <definedName name="_____ssb4563">#REF!</definedName>
    <definedName name="_____st1">#REF!</definedName>
    <definedName name="_____st12">#REF!</definedName>
    <definedName name="_____ST2">#REF!</definedName>
    <definedName name="_____st4">#REF!</definedName>
    <definedName name="_____st53">#REF!</definedName>
    <definedName name="_____st6">#REF!</definedName>
    <definedName name="_____st63">#REF!</definedName>
    <definedName name="_____st7">#REF!</definedName>
    <definedName name="_____st8">#REF!</definedName>
    <definedName name="_____st90">#REF!</definedName>
    <definedName name="_____TB2">#REF!</definedName>
    <definedName name="_____tem1">#N/A</definedName>
    <definedName name="_____wnb1">#REF!</definedName>
    <definedName name="_____wnb7">#REF!</definedName>
    <definedName name="_____wng1">#REF!</definedName>
    <definedName name="_____wng2">#REF!</definedName>
    <definedName name="_____wng3">#REF!</definedName>
    <definedName name="_____wng4">#REF!</definedName>
    <definedName name="_____wng5">#REF!</definedName>
    <definedName name="_____wng6">#REF!</definedName>
    <definedName name="_____wng7">#REF!</definedName>
    <definedName name="_____ww2">#REF!</definedName>
    <definedName name="_____xlfn_BAHTTEXT">#N/A</definedName>
    <definedName name="_____xlfn_IFERROR">#N/A</definedName>
    <definedName name="_____xlnm._FilterDatabase">#REF!</definedName>
    <definedName name="_____xlnm._FilterDatabase_1">#REF!</definedName>
    <definedName name="_____xlnm._FilterDatabase_1_1">#REF!</definedName>
    <definedName name="_____xlnm._FilterDatabase_2">#REF!</definedName>
    <definedName name="_____xlnm._FilterDatabase_2_1">#REF!</definedName>
    <definedName name="_____xlnm._FilterDatabase_3">#REF!</definedName>
    <definedName name="_____xlnm._FilterDatabase_3_1">#REF!</definedName>
    <definedName name="_____xlnm._FilterDatabase_4">#REF!</definedName>
    <definedName name="_____xlnm.Print_Area">#REF!</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9">#REF!</definedName>
    <definedName name="_____xlnm.Print_Titles">#REF!</definedName>
    <definedName name="_____xlnm.Print_Titles_1">#REF!</definedName>
    <definedName name="_____xlnm.Print_Titles_10">#REF!</definedName>
    <definedName name="_____xlnm.Print_Titles_3">#REF!</definedName>
    <definedName name="_____xlnm.Print_Titles_7">'[2]Sch.Main Bldg.'!#REF!</definedName>
    <definedName name="_____xlnm.Print_Titles_9">#REF!</definedName>
    <definedName name="____A1">#REF!</definedName>
    <definedName name="____A165536">#REF!</definedName>
    <definedName name="____a3">#N/A</definedName>
    <definedName name="____aaa5">#REF!</definedName>
    <definedName name="____att2">#N/A</definedName>
    <definedName name="____b111121">#REF!</definedName>
    <definedName name="____BLK1">#REF!</definedName>
    <definedName name="____bol1">#REF!</definedName>
    <definedName name="____can430">40.73</definedName>
    <definedName name="____can435">43.3</definedName>
    <definedName name="____crt5">#REF!</definedName>
    <definedName name="____crt50">#REF!</definedName>
    <definedName name="____crt6">#REF!</definedName>
    <definedName name="____crt7">#REF!</definedName>
    <definedName name="____FIT1">#REF!</definedName>
    <definedName name="____FIT2">#REF!</definedName>
    <definedName name="____Ki1">#REF!</definedName>
    <definedName name="____Ki2">#REF!</definedName>
    <definedName name="____m4031">#REF!</definedName>
    <definedName name="____ma1">#REF!</definedName>
    <definedName name="____MAN1">#REF!</definedName>
    <definedName name="____mi2">#REF!</definedName>
    <definedName name="____mnt1">#REF!</definedName>
    <definedName name="____mnt2">#REF!</definedName>
    <definedName name="____mnt3">#REF!</definedName>
    <definedName name="____mnt4">#REF!</definedName>
    <definedName name="____mnt5">#REF!</definedName>
    <definedName name="____MS2">#REF!</definedName>
    <definedName name="____mz2">#REF!</definedName>
    <definedName name="____NP31000">#REF!</definedName>
    <definedName name="____NP3450">#REF!</definedName>
    <definedName name="____PB1">#REF!</definedName>
    <definedName name="____RJ45">#REF!</definedName>
    <definedName name="____rtP1">#REF!</definedName>
    <definedName name="____sep05">#REF!</definedName>
    <definedName name="____ssb4563">#REF!</definedName>
    <definedName name="____st1">#REF!</definedName>
    <definedName name="____ST2">#REF!</definedName>
    <definedName name="____TB2">#REF!</definedName>
    <definedName name="____tem1">#N/A</definedName>
    <definedName name="____wnb1">#REF!</definedName>
    <definedName name="____wnb7">#REF!</definedName>
    <definedName name="____wng1">#REF!</definedName>
    <definedName name="____wng2">#REF!</definedName>
    <definedName name="____wng3">#REF!</definedName>
    <definedName name="____wng4">#REF!</definedName>
    <definedName name="____wng5">#REF!</definedName>
    <definedName name="____wng6">#REF!</definedName>
    <definedName name="____wng7">#REF!</definedName>
    <definedName name="____xlfn_BAHTTEXT">#N/A</definedName>
    <definedName name="____xlfn_IFERROR">#N/A</definedName>
    <definedName name="____xlnm._FilterDatabase">#REF!</definedName>
    <definedName name="____xlnm._FilterDatabase_1">#REF!</definedName>
    <definedName name="____xlnm._FilterDatabase_1_1">#REF!</definedName>
    <definedName name="____xlnm._FilterDatabase_2">#REF!</definedName>
    <definedName name="____xlnm._FilterDatabase_2_1">#REF!</definedName>
    <definedName name="____xlnm._FilterDatabase_3">#REF!</definedName>
    <definedName name="____xlnm._FilterDatabase_3_1">#REF!</definedName>
    <definedName name="____xlnm._FilterDatabase_4">#REF!</definedName>
    <definedName name="____xlnm.Print_Area">#REF!</definedName>
    <definedName name="____xlnm.Print_Area_1">#REF!</definedName>
    <definedName name="____xlnm.Print_Area_10">#REF!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9">#REF!</definedName>
    <definedName name="____xlnm.Print_Titles">#REF!</definedName>
    <definedName name="____xlnm.Print_Titles_1">#REF!</definedName>
    <definedName name="____xlnm.Print_Titles_10">#REF!</definedName>
    <definedName name="____xlnm.Print_Titles_3">#REF!</definedName>
    <definedName name="____xlnm.Print_Titles_7">'[2]Sch.Main Bldg.'!#REF!</definedName>
    <definedName name="____xlnm.Print_Titles_9">#REF!</definedName>
    <definedName name="___A1">#REF!</definedName>
    <definedName name="___A165536">#REF!</definedName>
    <definedName name="___a3">#N/A</definedName>
    <definedName name="___aaa5">#REF!</definedName>
    <definedName name="___ans2">#REF!</definedName>
    <definedName name="___att2">#N/A</definedName>
    <definedName name="___b111121">#REF!</definedName>
    <definedName name="___BLK1">#N/A</definedName>
    <definedName name="___bol1">#REF!</definedName>
    <definedName name="___can430">40.73</definedName>
    <definedName name="___can435">43.3</definedName>
    <definedName name="___cat12" hidden="1">{#N/A,#N/A,TRUE,"Front";#N/A,#N/A,TRUE,"Simple Letter";#N/A,#N/A,TRUE,"Inside";#N/A,#N/A,TRUE,"Contents";#N/A,#N/A,TRUE,"Basis";#N/A,#N/A,TRUE,"Inclusions";#N/A,#N/A,TRUE,"Exclusions";#N/A,#N/A,TRUE,"Areas";#N/A,#N/A,TRUE,"Summary";#N/A,#N/A,TRUE,"Detail"}</definedName>
    <definedName name="___crt5">#REF!</definedName>
    <definedName name="___crt50">#REF!</definedName>
    <definedName name="___crt6">#REF!</definedName>
    <definedName name="___crt7">#REF!</definedName>
    <definedName name="___dim4">NA()</definedName>
    <definedName name="___dim4_1">NA()</definedName>
    <definedName name="___dim4_1_5">#REF!</definedName>
    <definedName name="___dim4_5">#REF!</definedName>
    <definedName name="___FIT1">#N/A</definedName>
    <definedName name="___FIT2">#N/A</definedName>
    <definedName name="___Ki1">#REF!</definedName>
    <definedName name="___Ki2">#REF!</definedName>
    <definedName name="___m4031">#REF!</definedName>
    <definedName name="___MAN1">#REF!</definedName>
    <definedName name="___mi2">#REF!</definedName>
    <definedName name="___mnt1">#REF!</definedName>
    <definedName name="___mnt2">#REF!</definedName>
    <definedName name="___mnt3">#REF!</definedName>
    <definedName name="___mnt4">#REF!</definedName>
    <definedName name="___mnt5">#REF!</definedName>
    <definedName name="___MS2">#N/A</definedName>
    <definedName name="___NP31000">#REF!</definedName>
    <definedName name="___NP3450">#REF!</definedName>
    <definedName name="___PB1">#REF!</definedName>
    <definedName name="___RJ45">#REF!</definedName>
    <definedName name="___rm4">NA()</definedName>
    <definedName name="___rm4_1">NA()</definedName>
    <definedName name="___rm4_1_5">#REF!</definedName>
    <definedName name="___rm4_5">#REF!</definedName>
    <definedName name="___rt112">#REF!</definedName>
    <definedName name="___rt4563">#REF!</definedName>
    <definedName name="___rtP1">#REF!</definedName>
    <definedName name="___ssb4563">#REF!</definedName>
    <definedName name="___st1">#REF!</definedName>
    <definedName name="___ST2">#REF!</definedName>
    <definedName name="___TB2">#REF!</definedName>
    <definedName name="___tem1">#N/A</definedName>
    <definedName name="___wnb1">#REF!</definedName>
    <definedName name="___wnb7">#REF!</definedName>
    <definedName name="___wng1">#REF!</definedName>
    <definedName name="___wng2">#REF!</definedName>
    <definedName name="___wng3">#REF!</definedName>
    <definedName name="___wng4">#REF!</definedName>
    <definedName name="___wng5">#REF!</definedName>
    <definedName name="___wng6">#REF!</definedName>
    <definedName name="___wng7">#REF!</definedName>
    <definedName name="___xlfn_BAHTTEXT">#N/A</definedName>
    <definedName name="___xlfn_IFERROR">#N/A</definedName>
    <definedName name="___xlnm._FilterDatabase">#N/A</definedName>
    <definedName name="___xlnm._FilterDatabase_1">#REF!</definedName>
    <definedName name="___xlnm._FilterDatabase_1_1">#REF!</definedName>
    <definedName name="___xlnm._FilterDatabase_2">#REF!</definedName>
    <definedName name="___xlnm._FilterDatabase_2_1">#REF!</definedName>
    <definedName name="___xlnm._FilterDatabase_3">#REF!</definedName>
    <definedName name="___xlnm._FilterDatabase_3_1">#REF!</definedName>
    <definedName name="___xlnm._FilterDatabase_4">#REF!</definedName>
    <definedName name="___xlnm.Print_Area">#REF!</definedName>
    <definedName name="___xlnm.Print_Area.2">#REF!</definedName>
    <definedName name="___xlnm.Print_Area.3">#REF!</definedName>
    <definedName name="___xlnm.Print_Area_1">#REF!</definedName>
    <definedName name="___xlnm.Print_Area_10">#REF!</definedName>
    <definedName name="___xlnm.Print_Area_2">#REF!</definedName>
    <definedName name="___xlnm.Print_Area_3">"$#REF!.$A$1:$G$35"</definedName>
    <definedName name="___xlnm.Print_Area_4">#REF!</definedName>
    <definedName name="___xlnm.Print_Area_5">#REF!</definedName>
    <definedName name="___xlnm.Print_Area_6">#REF!</definedName>
    <definedName name="___xlnm.Print_Area_9">#REF!</definedName>
    <definedName name="___xlnm.Print_Titles">#REF!</definedName>
    <definedName name="___xlnm.Print_Titles.2">#REF!</definedName>
    <definedName name="___xlnm.Print_Titles.3">#REF!</definedName>
    <definedName name="___xlnm.Print_Titles_1">#REF!</definedName>
    <definedName name="___xlnm.Print_Titles_10">#REF!</definedName>
    <definedName name="___xlnm.Print_Titles_3">#REF!</definedName>
    <definedName name="___xlnm.Print_Titles_5">#REF!</definedName>
    <definedName name="___xlnm.Print_Titles_7">'[2]Sch.Main Bldg.'!#REF!</definedName>
    <definedName name="___xlnm.Print_Titles_9">#REF!</definedName>
    <definedName name="__123Graph_A" hidden="1">'[3]Rate Analysis'!#REF!</definedName>
    <definedName name="__123Graph_ACURRENT" hidden="1">'[1]INFLUENCES ON GM'!#REF!</definedName>
    <definedName name="__123Graph_ACURVE" hidden="1">'[3]1'!$D$20:$D$31</definedName>
    <definedName name="__123Graph_APAY" hidden="1">'[3]1'!$I$20:$I$46</definedName>
    <definedName name="__123Graph_B" hidden="1">'[3]Rate Analysis'!#REF!</definedName>
    <definedName name="__123Graph_C" hidden="1">'[3]Rate Analysis'!#REF!</definedName>
    <definedName name="__123Graph_D" hidden="1">'[3]Rate Analysis'!#REF!</definedName>
    <definedName name="__123Graph_E" hidden="1">'[3]Rate Analysis'!#REF!</definedName>
    <definedName name="__123Graph_F" hidden="1">'[3]Rate Analysis'!#REF!</definedName>
    <definedName name="__123Graph_X" hidden="1">'[3]Rate Analysis'!#REF!</definedName>
    <definedName name="__123Graph_XCURVE" hidden="1">'[3]1'!$B$20:$B$31</definedName>
    <definedName name="__123Graph_XPAY" hidden="1">'[3]1'!$B$20:$B$46</definedName>
    <definedName name="__1Excel_BuiltIn_Print_Area_1_1_1">NA()</definedName>
    <definedName name="__5">#REF!</definedName>
    <definedName name="__A1">#REF!</definedName>
    <definedName name="__A165536">#REF!</definedName>
    <definedName name="__a3">#N/A</definedName>
    <definedName name="__aaa5">#REF!</definedName>
    <definedName name="__aoc10">#N/A</definedName>
    <definedName name="__aoc11">#REF!</definedName>
    <definedName name="__aoc7">#REF!</definedName>
    <definedName name="__aoc8">#REF!</definedName>
    <definedName name="__aoc9">#REF!</definedName>
    <definedName name="__att2">#N/A</definedName>
    <definedName name="__b111121">#REF!</definedName>
    <definedName name="__blg4">#N/A</definedName>
    <definedName name="__BLK1">#REF!</definedName>
    <definedName name="__bol1">#REF!</definedName>
    <definedName name="__can430">40.73</definedName>
    <definedName name="__can435">43.3</definedName>
    <definedName name="__car2">#REF!</definedName>
    <definedName name="__cat12" hidden="1">{#N/A,#N/A,TRUE,"Front";#N/A,#N/A,TRUE,"Simple Letter";#N/A,#N/A,TRUE,"Inside";#N/A,#N/A,TRUE,"Contents";#N/A,#N/A,TRUE,"Basis";#N/A,#N/A,TRUE,"Inclusions";#N/A,#N/A,TRUE,"Exclusions";#N/A,#N/A,TRUE,"Areas";#N/A,#N/A,TRUE,"Summary";#N/A,#N/A,TRUE,"Detail"}</definedName>
    <definedName name="__CJR1">#REF!</definedName>
    <definedName name="__CJR2">#REF!</definedName>
    <definedName name="__CJR3">#REF!</definedName>
    <definedName name="__CJR4">#REF!</definedName>
    <definedName name="__CJR5">#REF!</definedName>
    <definedName name="__crt5">#REF!</definedName>
    <definedName name="__crt50">#REF!</definedName>
    <definedName name="__crt6">#REF!</definedName>
    <definedName name="__crt7">#REF!</definedName>
    <definedName name="__csa40">#REF!</definedName>
    <definedName name="__csb40">#REF!</definedName>
    <definedName name="__dim4">NA()</definedName>
    <definedName name="__dim4_5">#REF!</definedName>
    <definedName name="__dxv1">#REF!</definedName>
    <definedName name="__dxv2">#REF!</definedName>
    <definedName name="__EdFJsKAA_3">NA()</definedName>
    <definedName name="__EPP1">#REF!</definedName>
    <definedName name="__EPP2">#REF!</definedName>
    <definedName name="__EPP3">#REF!</definedName>
    <definedName name="__EPP4">#REF!</definedName>
    <definedName name="__EPP5">#REF!</definedName>
    <definedName name="__FIT1">#REF!</definedName>
    <definedName name="__FIT2">#REF!</definedName>
    <definedName name="__FWM1">#REF!</definedName>
    <definedName name="__FWM2">#REF!</definedName>
    <definedName name="__FWM3">#REF!</definedName>
    <definedName name="__FWM4">#REF!</definedName>
    <definedName name="__FWM5">#REF!</definedName>
    <definedName name="__HDD1">#N/A</definedName>
    <definedName name="__HDD1111" hidden="1">{#N/A,#N/A,TRUE,"Front";#N/A,#N/A,TRUE,"Simple Letter";#N/A,#N/A,TRUE,"Inside";#N/A,#N/A,TRUE,"Contents";#N/A,#N/A,TRUE,"Basis";#N/A,#N/A,TRUE,"Inclusions";#N/A,#N/A,TRUE,"Exclusions";#N/A,#N/A,TRUE,"Areas";#N/A,#N/A,TRUE,"Summary";#N/A,#N/A,TRUE,"Detail"}</definedName>
    <definedName name="__HJK1">#REF!</definedName>
    <definedName name="__HJK2">#REF!</definedName>
    <definedName name="__HJK3">#REF!</definedName>
    <definedName name="__HJK4">#REF!</definedName>
    <definedName name="__HJK5">#REF!</definedName>
    <definedName name="__HJK6">#REF!</definedName>
    <definedName name="__HJK7">#REF!</definedName>
    <definedName name="__HJK8">#REF!</definedName>
    <definedName name="__hmp100">#REF!</definedName>
    <definedName name="__hmp120">#REF!</definedName>
    <definedName name="__hp10" hidden="1">{#N/A,#N/A,TRUE,"Front";#N/A,#N/A,TRUE,"Simple Letter";#N/A,#N/A,TRUE,"Inside";#N/A,#N/A,TRUE,"Contents";#N/A,#N/A,TRUE,"Basis";#N/A,#N/A,TRUE,"Inclusions";#N/A,#N/A,TRUE,"Exclusions";#N/A,#N/A,TRUE,"Areas";#N/A,#N/A,TRUE,"Summary";#N/A,#N/A,TRUE,"Detail"}</definedName>
    <definedName name="__HPP1">#REF!</definedName>
    <definedName name="__HPP2">#REF!</definedName>
    <definedName name="__HPP3">#REF!</definedName>
    <definedName name="__Ind1">#REF!</definedName>
    <definedName name="__Ind3">#REF!</definedName>
    <definedName name="__Ind4">#REF!</definedName>
    <definedName name="__Iri2">#N/A</definedName>
    <definedName name="__Iro2">#REF!</definedName>
    <definedName name="__JJ1">#REF!</definedName>
    <definedName name="__JJ2">#REF!</definedName>
    <definedName name="__JJ3">#REF!</definedName>
    <definedName name="__JJ4">#REF!</definedName>
    <definedName name="__JJ5">#REF!</definedName>
    <definedName name="__JJ6">#REF!</definedName>
    <definedName name="__JJ7">#REF!</definedName>
    <definedName name="__JK1">#REF!</definedName>
    <definedName name="__JK2">#REF!</definedName>
    <definedName name="__JK3">#REF!</definedName>
    <definedName name="__Ki1">#REF!</definedName>
    <definedName name="__Ki2">#REF!</definedName>
    <definedName name="__m4031">#REF!</definedName>
    <definedName name="__ma1">#REF!</definedName>
    <definedName name="__ma2">#REF!</definedName>
    <definedName name="__MAN1">#REF!</definedName>
    <definedName name="__mas1">#REF!</definedName>
    <definedName name="__MC1">#REF!</definedName>
    <definedName name="__MC2">#REF!</definedName>
    <definedName name="__MC3">#REF!</definedName>
    <definedName name="__MC4">#REF!</definedName>
    <definedName name="__MC5">#REF!</definedName>
    <definedName name="__MC6">#REF!</definedName>
    <definedName name="__MC7">#REF!</definedName>
    <definedName name="__mi2">#REF!</definedName>
    <definedName name="__mnt1">#REF!</definedName>
    <definedName name="__mnt2">#REF!</definedName>
    <definedName name="__mnt3">#REF!</definedName>
    <definedName name="__mnt4">#REF!</definedName>
    <definedName name="__mnt5">#REF!</definedName>
    <definedName name="__MP1">#REF!</definedName>
    <definedName name="__MP2">#REF!</definedName>
    <definedName name="__MP3">#REF!</definedName>
    <definedName name="__MP4">#REF!</definedName>
    <definedName name="__MP5">#REF!</definedName>
    <definedName name="__MS2">#REF!</definedName>
    <definedName name="__ms6">#REF!</definedName>
    <definedName name="__ms8">#REF!</definedName>
    <definedName name="__mz1">#REF!</definedName>
    <definedName name="__mz2">#REF!</definedName>
    <definedName name="__NB1">#REF!</definedName>
    <definedName name="__NB2">#REF!</definedName>
    <definedName name="__NB3">#REF!</definedName>
    <definedName name="__NB4">#REF!</definedName>
    <definedName name="__NB5">#REF!</definedName>
    <definedName name="__NB6">#REF!</definedName>
    <definedName name="__NB7">#REF!</definedName>
    <definedName name="__NP31000">#REF!</definedName>
    <definedName name="__NP3450">#REF!</definedName>
    <definedName name="__obm1">#REF!</definedName>
    <definedName name="__obm2">#REF!</definedName>
    <definedName name="__obm3">#REF!</definedName>
    <definedName name="__obm4">#REF!</definedName>
    <definedName name="__Od1">#REF!</definedName>
    <definedName name="__Od3">#REF!</definedName>
    <definedName name="__Od4">#REF!</definedName>
    <definedName name="__ohp1">#REF!</definedName>
    <definedName name="__osf1">#REF!</definedName>
    <definedName name="__osf2">#REF!</definedName>
    <definedName name="__osf3">#REF!</definedName>
    <definedName name="__osf4">#REF!</definedName>
    <definedName name="__PB1">#REF!</definedName>
    <definedName name="__pcc148">#REF!</definedName>
    <definedName name="__PJ1">#REF!</definedName>
    <definedName name="__PJ11">#REF!</definedName>
    <definedName name="__PJ2">#REF!</definedName>
    <definedName name="__PJ22">#REF!</definedName>
    <definedName name="__PJ3">#REF!</definedName>
    <definedName name="__PJ33">#REF!</definedName>
    <definedName name="__rim4">#REF!</definedName>
    <definedName name="__RJ45">#REF!</definedName>
    <definedName name="__rm4">NA()</definedName>
    <definedName name="__rm4_5">#REF!</definedName>
    <definedName name="__rt132">#REF!</definedName>
    <definedName name="__rt2550">#REF!</definedName>
    <definedName name="__rtG2">#REF!</definedName>
    <definedName name="__rtG3">#REF!</definedName>
    <definedName name="__rtP1">#REF!</definedName>
    <definedName name="__SA10">#REF!</definedName>
    <definedName name="__SA20">#REF!</definedName>
    <definedName name="__SA40">#REF!</definedName>
    <definedName name="__Saa40">#REF!</definedName>
    <definedName name="__Sab40">#REF!</definedName>
    <definedName name="__sbm1">#REF!</definedName>
    <definedName name="__sbm2">#REF!</definedName>
    <definedName name="__sbm3">#REF!</definedName>
    <definedName name="__sbm4">#REF!</definedName>
    <definedName name="__SD1">#REF!</definedName>
    <definedName name="__SD2">#REF!</definedName>
    <definedName name="__SD3">#REF!</definedName>
    <definedName name="__sd4">#REF!</definedName>
    <definedName name="__sep05">#REF!</definedName>
    <definedName name="__shared_2_0">"#REF!*#REF!"</definedName>
    <definedName name="__shared_2_0.1">"#REF!1*#REF!1"</definedName>
    <definedName name="__shared_2_1">"#REF!*#REF!"</definedName>
    <definedName name="__shared_2_2">"#REF!*#REF!"</definedName>
    <definedName name="__shared_3_0">"#REF!*#REF!"</definedName>
    <definedName name="__shared_3_0.1">"#REF!1*#REF!1"</definedName>
    <definedName name="__shared_3_1">"#REF!*#REF!"</definedName>
    <definedName name="__shared_3_1.1">"#REF!1*#REF!1"</definedName>
    <definedName name="__shared_3_2">"#REF!*#REF!"</definedName>
    <definedName name="__shared_3_2.1">"#REF!1*#REF!1"</definedName>
    <definedName name="__SJ1">#REF!</definedName>
    <definedName name="__SJ2">#REF!</definedName>
    <definedName name="__SJ3">#REF!</definedName>
    <definedName name="__SJ4">#REF!</definedName>
    <definedName name="__ssb4563">#REF!</definedName>
    <definedName name="__ssf1">#REF!</definedName>
    <definedName name="__ssf2">#REF!</definedName>
    <definedName name="__ssf3">#REF!</definedName>
    <definedName name="__ssf4">#REF!</definedName>
    <definedName name="__st1">#REF!</definedName>
    <definedName name="__st53">#REF!</definedName>
    <definedName name="__st6">#REF!</definedName>
    <definedName name="__st63">#REF!</definedName>
    <definedName name="__st7">#REF!</definedName>
    <definedName name="__st8">#REF!</definedName>
    <definedName name="__st90">#REF!</definedName>
    <definedName name="__SZ1">#REF!</definedName>
    <definedName name="__SZ2">#REF!</definedName>
    <definedName name="__TB2">#REF!</definedName>
    <definedName name="__tem1">#N/A</definedName>
    <definedName name="__tra1">#N/A</definedName>
    <definedName name="__tra2">#N/A</definedName>
    <definedName name="__UB1">#REF!</definedName>
    <definedName name="__UB10">#REF!</definedName>
    <definedName name="__UB2">#REF!</definedName>
    <definedName name="__UB3">#REF!</definedName>
    <definedName name="__UB4">#REF!</definedName>
    <definedName name="__UB5">#REF!</definedName>
    <definedName name="__UB6">#REF!</definedName>
    <definedName name="__UB7">#REF!</definedName>
    <definedName name="__UB8">#REF!</definedName>
    <definedName name="__UB9">#REF!</definedName>
    <definedName name="__vat5">#REF!</definedName>
    <definedName name="__vma1420">#REF!</definedName>
    <definedName name="__WD2">#N/A</definedName>
    <definedName name="__WD3">#N/A</definedName>
    <definedName name="__WD4">#N/A</definedName>
    <definedName name="__WL1">#N/A</definedName>
    <definedName name="__WL2">#N/A</definedName>
    <definedName name="__WL3">#N/A</definedName>
    <definedName name="__WL4">#N/A</definedName>
    <definedName name="__wnb1">#REF!</definedName>
    <definedName name="__wnb7">#REF!</definedName>
    <definedName name="__wng1">#REF!</definedName>
    <definedName name="__wng2">#REF!</definedName>
    <definedName name="__wng3">#REF!</definedName>
    <definedName name="__wng4">#REF!</definedName>
    <definedName name="__wng5">#REF!</definedName>
    <definedName name="__wng6">#REF!</definedName>
    <definedName name="__wng7">#REF!</definedName>
    <definedName name="__ww2">#REF!</definedName>
    <definedName name="__xlfn.BAHTTEXT" hidden="1">#NAME?</definedName>
    <definedName name="__xlfn.IFERROR" hidden="1">#NAME?</definedName>
    <definedName name="__xlfn_BAHTTEXT">#N/A</definedName>
    <definedName name="__xlfn_IFERROR">#N/A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Print_Area">#REF!</definedName>
    <definedName name="__xlnm.Print_Area.2">#REF!</definedName>
    <definedName name="__xlnm.Print_Area.3">#REF!</definedName>
    <definedName name="__xlnm.Print_Area_1">#REF!</definedName>
    <definedName name="__xlnm.Print_Area_1_2">#REF!</definedName>
    <definedName name="__xlnm.Print_Area_1_2_1">#REF!</definedName>
    <definedName name="__xlnm.Print_Area_1_2_2">NA()</definedName>
    <definedName name="__xlnm.Print_Area_1_6">#REF!</definedName>
    <definedName name="__xlnm.Print_Area_10">#REF!</definedName>
    <definedName name="__xlnm.Print_Area_2">#REF!</definedName>
    <definedName name="__xlnm.Print_Area_2_2">#REF!</definedName>
    <definedName name="__xlnm.Print_Area_2_2_1">#REF!</definedName>
    <definedName name="__xlnm.Print_Area_2_2_2">NA()</definedName>
    <definedName name="__xlnm.Print_Area_3">#REF!</definedName>
    <definedName name="__xlnm.Print_Area_4">#REF!</definedName>
    <definedName name="__xlnm.Print_Area_4_1">#REF!</definedName>
    <definedName name="__xlnm.Print_Area_4_2">NA()</definedName>
    <definedName name="__xlnm.Print_Area_5">#REF!</definedName>
    <definedName name="__xlnm.Print_Area_6">#REF!</definedName>
    <definedName name="__xlnm.Print_Area_7">"$#REF!.$A$1:$K$59"</definedName>
    <definedName name="__xlnm.Print_Area_9">#REF!</definedName>
    <definedName name="__xlnm.Print_Titles">#REF!</definedName>
    <definedName name="__xlnm.Print_Titles.2">#REF!</definedName>
    <definedName name="__xlnm.Print_Titles.3">#REF!</definedName>
    <definedName name="__xlnm.Print_Titles_1">#REF!</definedName>
    <definedName name="__xlnm.Print_Titles_10">#REF!</definedName>
    <definedName name="__xlnm.Print_Titles_2">#REF!</definedName>
    <definedName name="__xlnm.Print_Titles_3">#REF!</definedName>
    <definedName name="__xlnm.Print_Titles_4">#REF!</definedName>
    <definedName name="__xlnm.Print_Titles_5">"$#REF!.$A$12:$AMJ$12"</definedName>
    <definedName name="__xlnm.Print_Titles_6">#REF!</definedName>
    <definedName name="__xlnm.Print_Titles_7">"$#REF!.$A$12:$AMJ$12"</definedName>
    <definedName name="__xlnm.Print_Titles_9">#REF!</definedName>
    <definedName name="__xp9102">#REF!</definedName>
    <definedName name="__xp9103">#REF!</definedName>
    <definedName name="__xp9104">#REF!</definedName>
    <definedName name="__xp9105">#REF!</definedName>
    <definedName name="__xp9106">#REF!</definedName>
    <definedName name="__xp9107">#REF!</definedName>
    <definedName name="__xt9100">#REF!</definedName>
    <definedName name="__YY1">#REF!</definedName>
    <definedName name="__YY2">#REF!</definedName>
    <definedName name="_0">#REF!</definedName>
    <definedName name="_0___0">#REF!</definedName>
    <definedName name="_1________Excel_BuiltIn_Print_Area_1_1">#REF!</definedName>
    <definedName name="_10.1">#REF!</definedName>
    <definedName name="_10____Excel_BuiltIn_Print_Area_1_1">#REF!</definedName>
    <definedName name="_10_1">#N/A</definedName>
    <definedName name="_1000A01">#N/A</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0">#N/A</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0">#N/A</definedName>
    <definedName name="_10Excel_BuiltIn_Print_Area_1">#REF!</definedName>
    <definedName name="_10Excel_BuiltIn_Print_Area_3_1_1_1_1_1_1_1_1_1_1">#REF!</definedName>
    <definedName name="_11" hidden="1">'[3]Rate Analysis'!#REF!</definedName>
    <definedName name="_11Excel_BuiltIn_Print_Area_2_1_1">#N/A</definedName>
    <definedName name="_11Excel_BuiltIn_Print_Area_4_1_1_1_1_1_1_1">NA()</definedName>
    <definedName name="_12___Excel_BuiltIn_Print_Area_1_1">#REF!</definedName>
    <definedName name="_12_Excel_BuiltIn_Print_Area_1_1">#REF!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Excel_BuiltIn_Print_Titles_2_1_1">#REF!</definedName>
    <definedName name="_13_Excel_BuiltIn_Print_Area_1_1">#REF!</definedName>
    <definedName name="_14__Excel_BuiltIn_Print_Area_1_1">#REF!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6Excel_BuiltIn_Print_Area_1_1">#REF!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Excel_BuiltIn_Print_Area_1_1">#REF!</definedName>
    <definedName name="_1Excel_BuiltIn__FilterDatabase_2_1">"$#REF!.$A$6:$N$193"</definedName>
    <definedName name="_1Excel_BuiltIn_Print_Area_1">#REF!</definedName>
    <definedName name="_1Excel_BuiltIn_Print_Area_1_1">#REF!</definedName>
    <definedName name="_1Excel_BuiltIn_Print_Area_1_1_1">#REF!</definedName>
    <definedName name="_1Excel_BuiltIn_Print_Area_1_1_1_1">#N/A</definedName>
    <definedName name="_1Excel_BuiltIn_Print_Area_1_1_1_2">#N/A</definedName>
    <definedName name="_1Excel_BuiltIn_Print_Area_1_1_1_3">#REF!</definedName>
    <definedName name="_1Excel_BuiltIn_Print_Area_1_1_2">#REF!</definedName>
    <definedName name="_1Excel_BuiltIn_Print_Area_1_1_2_1">#REF!</definedName>
    <definedName name="_1Excel_BuiltIn_Print_Area_1_1_2_2">NA()</definedName>
    <definedName name="_1Excel_BuiltIn_Print_Area_1_1_6">#REF!</definedName>
    <definedName name="_1Excel_BuiltIn_Print_Area_11_1_1_1_1_1_1_1_1_1">#REF!</definedName>
    <definedName name="_1Excel_BuiltIn_Print_Area_2_1_1">#N/A</definedName>
    <definedName name="_1Excel_BuiltIn_Print_Area_4">NA()</definedName>
    <definedName name="_1Excel_BuiltIn_Print_Titles_1">NA()</definedName>
    <definedName name="_1Excel_BuiltIn_Print_Titles_1_1">#REF!</definedName>
    <definedName name="_1HY3_">#REF!</definedName>
    <definedName name="_2________Excel_BuiltIn_Print_Area_1_1">#REF!</definedName>
    <definedName name="_2_______Excel_BuiltIn_Print_Area_1_1">#REF!</definedName>
    <definedName name="_2__123Graph_ACHART_1" hidden="1">[4]Cash2!$G$16:$G$31</definedName>
    <definedName name="_21" hidden="1">#REF!</definedName>
    <definedName name="_21_Excel_BuiltIn_Print_Area_1_1">#REF!</definedName>
    <definedName name="_22">#N/A</definedName>
    <definedName name="_26Excel_BuiltIn_Print_Area_1_1">#REF!</definedName>
    <definedName name="_2C_X_1_Sq._mm_unscreened">#REF!</definedName>
    <definedName name="_2Excel_BuiltIn_Print_Area_1_1_1">#N/A</definedName>
    <definedName name="_2Excel_BuiltIn_Print_Area_1_1_1_1">#N/A</definedName>
    <definedName name="_2Excel_BuiltIn_Print_Area_1_1_1_2">#REF!</definedName>
    <definedName name="_2Excel_BuiltIn_Print_Area_1_1_1_5">#N/A</definedName>
    <definedName name="_2Excel_BuiltIn_Print_Area_1_1_1_6">#N/A</definedName>
    <definedName name="_2Excel_BuiltIn_Print_Area_1_1_1_7">#N/A</definedName>
    <definedName name="_2Excel_BuiltIn_Print_Area_2_1_1">NA()</definedName>
    <definedName name="_2Excel_BuiltIn_Print_Area_3_1_1_1_1_1_1_1">NA()</definedName>
    <definedName name="_2Excel_BuiltIn_Print_Titles_2_1">#REF!</definedName>
    <definedName name="_2Print_Area_MI_1_1">NA()</definedName>
    <definedName name="_3.1">#REF!</definedName>
    <definedName name="_3.10">#REF!</definedName>
    <definedName name="_3.11">#REF!</definedName>
    <definedName name="_3.12">#REF!</definedName>
    <definedName name="_3.13">#REF!</definedName>
    <definedName name="_3.14">#REF!</definedName>
    <definedName name="_3.15">#REF!</definedName>
    <definedName name="_3.16">#REF!</definedName>
    <definedName name="_3.17">#REF!</definedName>
    <definedName name="_3.2">#REF!</definedName>
    <definedName name="_3.3">#REF!</definedName>
    <definedName name="_3.4">#REF!</definedName>
    <definedName name="_3.5">#REF!</definedName>
    <definedName name="_3.6">#REF!</definedName>
    <definedName name="_3.7">#REF!</definedName>
    <definedName name="_3.8">#REF!</definedName>
    <definedName name="_3.9">#REF!</definedName>
    <definedName name="_3______Excel_BuiltIn_Print_Area_1_1">#REF!</definedName>
    <definedName name="_3__123Graph_ACHART_2" hidden="1">[4]Z!$T$179:$AH$179</definedName>
    <definedName name="_3_1">#N/A</definedName>
    <definedName name="_3_10">#N/A</definedName>
    <definedName name="_3_11">#N/A</definedName>
    <definedName name="_3_12">#N/A</definedName>
    <definedName name="_3_13">#N/A</definedName>
    <definedName name="_3_14">#N/A</definedName>
    <definedName name="_3_15">#N/A</definedName>
    <definedName name="_3_16">#N/A</definedName>
    <definedName name="_3_17">#N/A</definedName>
    <definedName name="_3_2">#N/A</definedName>
    <definedName name="_3_3">#N/A</definedName>
    <definedName name="_3_4">#N/A</definedName>
    <definedName name="_3_5">#N/A</definedName>
    <definedName name="_3_6">#N/A</definedName>
    <definedName name="_3_7">#N/A</definedName>
    <definedName name="_3_8">#N/A</definedName>
    <definedName name="_3_9">#N/A</definedName>
    <definedName name="_30cd___Horizontal_Strobe_light_speaker__wall_mounted">#REF!</definedName>
    <definedName name="_30cd__Vertical_strobe_light__wall_mounted">#REF!</definedName>
    <definedName name="_3Excel_BuiltIn_Print_Area_1_1">#REF!</definedName>
    <definedName name="_3Excel_BuiltIn_Print_Area_2_1_1">#N/A</definedName>
    <definedName name="_3Excel_BuiltIn_Print_Area_2_1_1_1">#N/A</definedName>
    <definedName name="_3Excel_BuiltIn_Print_Area_2_1_1_1_1">#REF!</definedName>
    <definedName name="_3Excel_BuiltIn_Print_Area_2_1_1_2">#REF!</definedName>
    <definedName name="_3Excel_BuiltIn_Print_Area_2_1_1_5">#N/A</definedName>
    <definedName name="_3Excel_BuiltIn_Print_Area_2_1_1_6">#N/A</definedName>
    <definedName name="_3Excel_BuiltIn_Print_Area_2_1_1_7">#N/A</definedName>
    <definedName name="_4_______Excel_BuiltIn_Print_Area_1_1">#REF!</definedName>
    <definedName name="_4_____Excel_BuiltIn_Print_Area_1_1">#REF!</definedName>
    <definedName name="_4__123Graph_BCHART_2" hidden="1">[4]Z!$T$180:$AH$180</definedName>
    <definedName name="_4Excel_BuiltIn_Print_Area_1_1_1">#REF!</definedName>
    <definedName name="_4Excel_BuiltIn_Print_Area_2_1_1_1_1_1_1_1_1_1_1">#REF!</definedName>
    <definedName name="_5____Excel_BuiltIn_Print_Area_1_1">#REF!</definedName>
    <definedName name="_5__123Graph_CCHART_1" hidden="1">[4]Cash2!$J$16:$J$36</definedName>
    <definedName name="_5Excel_BuiltIn_Print_Area_2_1_1">#REF!</definedName>
    <definedName name="_5Excel_BuiltIn_Print_Area_2_1_1_1_1_1_1_1_1_1_1_1_1_1_1_1_1_1_1_1_1_1">#REF!</definedName>
    <definedName name="_6______Excel_BuiltIn_Print_Area_1_1">#REF!</definedName>
    <definedName name="_6___Excel_BuiltIn_Print_Area_1_1">#REF!</definedName>
    <definedName name="_6__123Graph_DCHART_1" hidden="1">[4]Cash2!$K$16:$K$36</definedName>
    <definedName name="_6Excel_BuiltIn_Print_Area_2_1_1_1_1_1_1_1">NA()</definedName>
    <definedName name="_6Excel_BuiltIn_Print_Area_2_1_1_1_1_1_1_1_1_1_1_1_1_1_1_1_1_1_1_1_1_1_1_1">"$#REF!.$A$1:$G$15"</definedName>
    <definedName name="_7__Excel_BuiltIn_Print_Area_1_1">#REF!</definedName>
    <definedName name="_7Excel_BuiltIn_Print_Area_2_1_1_1_1_1_1_1_1_1_1_1_1_1_1_1_1_1_1_1_1_1_1_1_1_1">"$#REF!.$A$1:$E$9"</definedName>
    <definedName name="_7Excel_BuiltIn_Print_Area_4_1_1">"$#REF!.$A$1:$K$60"</definedName>
    <definedName name="_8_____Excel_BuiltIn_Print_Area_1_1">#REF!</definedName>
    <definedName name="_8Excel_BuiltIn_Print_Area_3_1_1_1_1">#REF!</definedName>
    <definedName name="_a">NA()</definedName>
    <definedName name="_a_1">NA()</definedName>
    <definedName name="_a_1_1">NA()</definedName>
    <definedName name="_a_1_1_1">NA()</definedName>
    <definedName name="_a_1_1_1_1">NA()</definedName>
    <definedName name="_a_1_1_1_1_1">#REF!</definedName>
    <definedName name="_a_1_1_1_1_1_1">NA()</definedName>
    <definedName name="_a_1_1_1_1_1_1_1">NA()</definedName>
    <definedName name="_a_1_1_1_1_1_5">#REF!</definedName>
    <definedName name="_a_1_1_1_1_3">NA()</definedName>
    <definedName name="_a_1_1_1_1_3_5">#REF!</definedName>
    <definedName name="_a_1_1_1_1_5">#REF!</definedName>
    <definedName name="_a_1_1_1_3">NA()</definedName>
    <definedName name="_a_1_1_1_3_1">NA()</definedName>
    <definedName name="_a_1_1_1_3_1_5">#REF!</definedName>
    <definedName name="_a_1_1_1_3_5">#REF!</definedName>
    <definedName name="_a_1_1_1_5">#REF!</definedName>
    <definedName name="_a_1_1_3">NA()</definedName>
    <definedName name="_a_1_1_3_1">NA()</definedName>
    <definedName name="_a_1_1_3_1_5">#REF!</definedName>
    <definedName name="_a_1_1_3_5">#REF!</definedName>
    <definedName name="_a_1_1_5">#REF!</definedName>
    <definedName name="_a_1_3">NA()</definedName>
    <definedName name="_a_1_3_1">NA()</definedName>
    <definedName name="_a_1_3_1_5">#REF!</definedName>
    <definedName name="_a_1_3_5">#REF!</definedName>
    <definedName name="_a_1_5">#REF!</definedName>
    <definedName name="_a_1_9">NA()</definedName>
    <definedName name="_a_1_9_3">NA()</definedName>
    <definedName name="_a_1_9_3_5">#REF!</definedName>
    <definedName name="_a_1_9_5">#REF!</definedName>
    <definedName name="_a_10">NA()</definedName>
    <definedName name="_a_10_3">NA()</definedName>
    <definedName name="_a_10_3_5">#REF!</definedName>
    <definedName name="_a_10_5">#REF!</definedName>
    <definedName name="_a_11">NA()</definedName>
    <definedName name="_a_11_1">NA()</definedName>
    <definedName name="_a_11_1_3">NA()</definedName>
    <definedName name="_a_11_1_3_5">#REF!</definedName>
    <definedName name="_a_11_1_5">#REF!</definedName>
    <definedName name="_a_11_3">NA()</definedName>
    <definedName name="_a_11_3_5">#REF!</definedName>
    <definedName name="_a_11_5">#REF!</definedName>
    <definedName name="_a_14">NA()</definedName>
    <definedName name="_a_14_3">NA()</definedName>
    <definedName name="_a_14_3_5">#REF!</definedName>
    <definedName name="_a_14_5">#REF!</definedName>
    <definedName name="_a_15">NA()</definedName>
    <definedName name="_a_15_3">NA()</definedName>
    <definedName name="_a_15_3_5">#REF!</definedName>
    <definedName name="_a_15_5">#REF!</definedName>
    <definedName name="_a_16">NA()</definedName>
    <definedName name="_a_16_3">NA()</definedName>
    <definedName name="_a_16_3_5">#REF!</definedName>
    <definedName name="_a_16_5">#REF!</definedName>
    <definedName name="_a_17">NA()</definedName>
    <definedName name="_a_17_1">NA()</definedName>
    <definedName name="_a_17_1_3">NA()</definedName>
    <definedName name="_a_17_1_3_5">#REF!</definedName>
    <definedName name="_a_17_1_5">#REF!</definedName>
    <definedName name="_a_17_3">NA()</definedName>
    <definedName name="_a_17_3_5">#REF!</definedName>
    <definedName name="_a_17_5">#REF!</definedName>
    <definedName name="_a_18">NA()</definedName>
    <definedName name="_a_18_1">NA()</definedName>
    <definedName name="_a_18_1_1">NA()</definedName>
    <definedName name="_a_18_1_1_3">NA()</definedName>
    <definedName name="_a_18_1_1_3_5">#REF!</definedName>
    <definedName name="_a_18_1_1_5">#REF!</definedName>
    <definedName name="_a_18_1_3">NA()</definedName>
    <definedName name="_a_18_1_3_5">#REF!</definedName>
    <definedName name="_a_18_1_5">#REF!</definedName>
    <definedName name="_a_18_2">NA()</definedName>
    <definedName name="_a_18_2_3">NA()</definedName>
    <definedName name="_a_18_2_3_5">#REF!</definedName>
    <definedName name="_a_18_2_5">#REF!</definedName>
    <definedName name="_a_18_3">NA()</definedName>
    <definedName name="_a_18_3_5">#REF!</definedName>
    <definedName name="_a_18_5">#REF!</definedName>
    <definedName name="_a_19">NA()</definedName>
    <definedName name="_a_19_3">NA()</definedName>
    <definedName name="_a_19_3_5">#REF!</definedName>
    <definedName name="_a_19_5">#REF!</definedName>
    <definedName name="_a_2">NA()</definedName>
    <definedName name="_a_2_3">NA()</definedName>
    <definedName name="_a_2_3_5">#REF!</definedName>
    <definedName name="_a_2_5">#REF!</definedName>
    <definedName name="_a_20">NA()</definedName>
    <definedName name="_a_20_3">NA()</definedName>
    <definedName name="_a_20_3_5">#REF!</definedName>
    <definedName name="_a_20_5">#REF!</definedName>
    <definedName name="_a_21">NA()</definedName>
    <definedName name="_a_21_1">NA()</definedName>
    <definedName name="_a_21_1_3">NA()</definedName>
    <definedName name="_a_21_1_3_5">#REF!</definedName>
    <definedName name="_a_21_1_5">#REF!</definedName>
    <definedName name="_a_21_2">NA()</definedName>
    <definedName name="_a_21_2_3">NA()</definedName>
    <definedName name="_a_21_2_3_5">#REF!</definedName>
    <definedName name="_a_21_2_5">#REF!</definedName>
    <definedName name="_a_21_3">NA()</definedName>
    <definedName name="_a_21_3_5">#REF!</definedName>
    <definedName name="_a_21_5">#REF!</definedName>
    <definedName name="_a_26">NA()</definedName>
    <definedName name="_a_26_3">NA()</definedName>
    <definedName name="_a_26_3_5">#REF!</definedName>
    <definedName name="_a_26_5">#REF!</definedName>
    <definedName name="_a_27">NA()</definedName>
    <definedName name="_a_27_3">NA()</definedName>
    <definedName name="_a_27_3_5">#REF!</definedName>
    <definedName name="_a_27_5">#REF!</definedName>
    <definedName name="_a_28">NA()</definedName>
    <definedName name="_a_28_3">NA()</definedName>
    <definedName name="_a_28_3_5">#REF!</definedName>
    <definedName name="_a_28_5">#REF!</definedName>
    <definedName name="_a_29">NA()</definedName>
    <definedName name="_a_29_3">NA()</definedName>
    <definedName name="_a_29_3_5">#REF!</definedName>
    <definedName name="_a_29_5">#REF!</definedName>
    <definedName name="_a_3">NA()</definedName>
    <definedName name="_a_3_5">#REF!</definedName>
    <definedName name="_a_4">NA()</definedName>
    <definedName name="_a_4_1">NA()</definedName>
    <definedName name="_a_4_1_1">NA()</definedName>
    <definedName name="_a_4_1_1_1">NA()</definedName>
    <definedName name="_a_4_1_1_1_1">NA()</definedName>
    <definedName name="_a_4_1_1_1_1_1">NA()</definedName>
    <definedName name="_a_4_1_1_1_1_1_5">#REF!</definedName>
    <definedName name="_a_4_1_1_1_1_3">NA()</definedName>
    <definedName name="_a_4_1_1_1_1_3_5">#REF!</definedName>
    <definedName name="_a_4_1_1_1_1_5">#REF!</definedName>
    <definedName name="_a_4_1_1_1_3">NA()</definedName>
    <definedName name="_a_4_1_1_1_3_1">NA()</definedName>
    <definedName name="_a_4_1_1_1_3_1_5">#REF!</definedName>
    <definedName name="_a_4_1_1_1_3_5">#REF!</definedName>
    <definedName name="_a_4_1_1_1_5">#REF!</definedName>
    <definedName name="_a_4_1_1_3">NA()</definedName>
    <definedName name="_a_4_1_1_3_1">NA()</definedName>
    <definedName name="_a_4_1_1_3_1_5">#REF!</definedName>
    <definedName name="_a_4_1_1_3_5">#REF!</definedName>
    <definedName name="_a_4_1_1_5">#REF!</definedName>
    <definedName name="_a_4_1_3">NA()</definedName>
    <definedName name="_a_4_1_3_5">#REF!</definedName>
    <definedName name="_a_4_1_5">#REF!</definedName>
    <definedName name="_a_4_18">NA()</definedName>
    <definedName name="_a_4_18_1">NA()</definedName>
    <definedName name="_a_4_18_1_3">NA()</definedName>
    <definedName name="_a_4_18_1_3_5">#REF!</definedName>
    <definedName name="_a_4_18_1_5">#REF!</definedName>
    <definedName name="_a_4_18_3">NA()</definedName>
    <definedName name="_a_4_18_3_5">#REF!</definedName>
    <definedName name="_a_4_18_5">#REF!</definedName>
    <definedName name="_a_4_21">NA()</definedName>
    <definedName name="_a_4_21_3">NA()</definedName>
    <definedName name="_a_4_21_3_5">#REF!</definedName>
    <definedName name="_a_4_21_5">#REF!</definedName>
    <definedName name="_a_4_3">NA()</definedName>
    <definedName name="_a_4_3_5">#REF!</definedName>
    <definedName name="_a_4_5">#REF!</definedName>
    <definedName name="_a_5">#REF!</definedName>
    <definedName name="_a_5_1">NA()</definedName>
    <definedName name="_a_5_3">NA()</definedName>
    <definedName name="_a_5_3_5">#REF!</definedName>
    <definedName name="_a_5_5">#REF!</definedName>
    <definedName name="_a_6">NA()</definedName>
    <definedName name="_a_6_1">NA()</definedName>
    <definedName name="_a_6_1_3">NA()</definedName>
    <definedName name="_a_6_1_3_5">#REF!</definedName>
    <definedName name="_a_6_1_5">#REF!</definedName>
    <definedName name="_a_6_18">NA()</definedName>
    <definedName name="_a_6_18_1">NA()</definedName>
    <definedName name="_a_6_18_1_3">NA()</definedName>
    <definedName name="_a_6_18_1_3_5">#REF!</definedName>
    <definedName name="_a_6_18_1_5">#REF!</definedName>
    <definedName name="_a_6_18_3">NA()</definedName>
    <definedName name="_a_6_18_3_5">#REF!</definedName>
    <definedName name="_a_6_18_5">#REF!</definedName>
    <definedName name="_a_6_21">NA()</definedName>
    <definedName name="_a_6_21_3">NA()</definedName>
    <definedName name="_a_6_21_3_5">#REF!</definedName>
    <definedName name="_a_6_21_5">#REF!</definedName>
    <definedName name="_a_6_3">NA()</definedName>
    <definedName name="_a_6_3_5">#REF!</definedName>
    <definedName name="_a_6_5">#REF!</definedName>
    <definedName name="_a_7">NA()</definedName>
    <definedName name="_a_7_3">NA()</definedName>
    <definedName name="_a_7_3_5">#REF!</definedName>
    <definedName name="_a_7_5">#REF!</definedName>
    <definedName name="_A1">#REF!</definedName>
    <definedName name="_A165536">#REF!</definedName>
    <definedName name="_aaa5">NA()</definedName>
    <definedName name="_aaa5_5">#REF!</definedName>
    <definedName name="_agg10">#N/A</definedName>
    <definedName name="_agg20">#N/A</definedName>
    <definedName name="_ans2">#REF!</definedName>
    <definedName name="_aoc10">#REF!</definedName>
    <definedName name="_aoc11">#REF!</definedName>
    <definedName name="_aoc7">#REF!</definedName>
    <definedName name="_aoc8">#REF!</definedName>
    <definedName name="_aoc9">#REF!</definedName>
    <definedName name="_att2">#N/A</definedName>
    <definedName name="_b">#REF!</definedName>
    <definedName name="_b111121">#REF!</definedName>
    <definedName name="_BLK1">#REF!</definedName>
    <definedName name="_BLK2">#REF!</definedName>
    <definedName name="_bol1">NA()</definedName>
    <definedName name="_bol1_5">#REF!</definedName>
    <definedName name="_BOQ1">#REF!</definedName>
    <definedName name="_C">#REF!</definedName>
    <definedName name="_C___0">#REF!</definedName>
    <definedName name="_C___13">#REF!</definedName>
    <definedName name="_can430">40.73</definedName>
    <definedName name="_can435">43.3</definedName>
    <definedName name="_car2">#N/A</definedName>
    <definedName name="_carriage">#REF!</definedName>
    <definedName name="_cat12" hidden="1">{#N/A,#N/A,TRUE,"Front";#N/A,#N/A,TRUE,"Simple Letter";#N/A,#N/A,TRUE,"Inside";#N/A,#N/A,TRUE,"Contents";#N/A,#N/A,TRUE,"Basis";#N/A,#N/A,TRUE,"Inclusions";#N/A,#N/A,TRUE,"Exclusions";#N/A,#N/A,TRUE,"Areas";#N/A,#N/A,TRUE,"Summary";#N/A,#N/A,TRUE,"Detail"}</definedName>
    <definedName name="_CJR1">#REF!</definedName>
    <definedName name="_CJR2">#REF!</definedName>
    <definedName name="_CJR3">#REF!</definedName>
    <definedName name="_CJR4">#REF!</definedName>
    <definedName name="_CJR5">#REF!</definedName>
    <definedName name="_crt5">#REF!</definedName>
    <definedName name="_crt50">#REF!</definedName>
    <definedName name="_crt6">#REF!</definedName>
    <definedName name="_crt7">#REF!</definedName>
    <definedName name="_csa40">#N/A</definedName>
    <definedName name="_csb40">#N/A</definedName>
    <definedName name="_CY53__">#REF!</definedName>
    <definedName name="_dim4">NA()</definedName>
    <definedName name="_dim4_1">NA()</definedName>
    <definedName name="_dim4_1_5">#REF!</definedName>
    <definedName name="_dim4_5">#REF!</definedName>
    <definedName name="_Dist_Bin" hidden="1">#REF!</definedName>
    <definedName name="_Dist_Values" hidden="1">#REF!</definedName>
    <definedName name="_dom4" hidden="1">#REF!</definedName>
    <definedName name="_dxv1">#REF!</definedName>
    <definedName name="_dxv2">#REF!</definedName>
    <definedName name="_dyo1">#REF!</definedName>
    <definedName name="_EPP1">#REF!</definedName>
    <definedName name="_EPP2">#REF!</definedName>
    <definedName name="_EPP3">#REF!</definedName>
    <definedName name="_EPP4">#REF!</definedName>
    <definedName name="_EPP5">#REF!</definedName>
    <definedName name="_exc1">#REF!</definedName>
    <definedName name="_exc11">#REF!</definedName>
    <definedName name="_exc2">#REF!</definedName>
    <definedName name="_EXC3">#REF!</definedName>
    <definedName name="_EXC4">#REF!</definedName>
    <definedName name="_ff">#REF!</definedName>
    <definedName name="_Fill" hidden="1">#REF!</definedName>
    <definedName name="_FIT1">#REF!</definedName>
    <definedName name="_FIT2">#REF!</definedName>
    <definedName name="_foo1">#REF!</definedName>
    <definedName name="_foo2">#REF!</definedName>
    <definedName name="_foo3">#REF!</definedName>
    <definedName name="_FOO4">#REF!</definedName>
    <definedName name="_FWM1">#REF!</definedName>
    <definedName name="_FWM2">#REF!</definedName>
    <definedName name="_FWM3">#REF!</definedName>
    <definedName name="_FWM4">#REF!</definedName>
    <definedName name="_FWM5">#REF!</definedName>
    <definedName name="_GOTO_I10_">#REF!</definedName>
    <definedName name="_HAD1">#REF!</definedName>
    <definedName name="_HDD1">NA()</definedName>
    <definedName name="_HDD1_5">#REF!</definedName>
    <definedName name="_HDD1111" hidden="1">{#N/A,#N/A,TRUE,"Front";#N/A,#N/A,TRUE,"Simple Letter";#N/A,#N/A,TRUE,"Inside";#N/A,#N/A,TRUE,"Contents";#N/A,#N/A,TRUE,"Basis";#N/A,#N/A,TRUE,"Inclusions";#N/A,#N/A,TRUE,"Exclusions";#N/A,#N/A,TRUE,"Areas";#N/A,#N/A,TRUE,"Summary";#N/A,#N/A,TRUE,"Detail"}</definedName>
    <definedName name="_HJK1">#REF!</definedName>
    <definedName name="_HJK2">#REF!</definedName>
    <definedName name="_HJK3">#REF!</definedName>
    <definedName name="_HJK4">#REF!</definedName>
    <definedName name="_HJK5">#REF!</definedName>
    <definedName name="_HJK6">#REF!</definedName>
    <definedName name="_HJK7">#REF!</definedName>
    <definedName name="_HJK8">#REF!</definedName>
    <definedName name="_hmp100">#N/A</definedName>
    <definedName name="_hmp120">#N/A</definedName>
    <definedName name="_HND1">#N/A</definedName>
    <definedName name="_HND2">#N/A</definedName>
    <definedName name="_HNW1">#N/A</definedName>
    <definedName name="_HNW2">#N/A</definedName>
    <definedName name="_hp10" hidden="1">{#N/A,#N/A,TRUE,"Front";#N/A,#N/A,TRUE,"Simple Letter";#N/A,#N/A,TRUE,"Inside";#N/A,#N/A,TRUE,"Contents";#N/A,#N/A,TRUE,"Basis";#N/A,#N/A,TRUE,"Inclusions";#N/A,#N/A,TRUE,"Exclusions";#N/A,#N/A,TRUE,"Areas";#N/A,#N/A,TRUE,"Summary";#N/A,#N/A,TRUE,"Detail"}</definedName>
    <definedName name="_HPP1">#REF!</definedName>
    <definedName name="_HPP2">#REF!</definedName>
    <definedName name="_HPP3">#REF!</definedName>
    <definedName name="_HY3">#REF!</definedName>
    <definedName name="_ig541">#REF!</definedName>
    <definedName name="_Ind1">#N/A</definedName>
    <definedName name="_Ind3">#N/A</definedName>
    <definedName name="_Ind4">#N/A</definedName>
    <definedName name="_ird1">#REF!</definedName>
    <definedName name="_ird2">#REF!</definedName>
    <definedName name="_ird3">#REF!</definedName>
    <definedName name="_ird4">#REF!</definedName>
    <definedName name="_Iri2">#REF!</definedName>
    <definedName name="_Iro2">#N/A</definedName>
    <definedName name="_iv66666">#REF!</definedName>
    <definedName name="_jai" hidden="1">#REF!</definedName>
    <definedName name="_JJ1">#REF!</definedName>
    <definedName name="_JJ2">#REF!</definedName>
    <definedName name="_JJ3">#REF!</definedName>
    <definedName name="_JJ4">#REF!</definedName>
    <definedName name="_JJ5">#REF!</definedName>
    <definedName name="_JJ6">#REF!</definedName>
    <definedName name="_JJ7">#REF!</definedName>
    <definedName name="_JK1">#REF!</definedName>
    <definedName name="_JK2">#REF!</definedName>
    <definedName name="_JK3">#REF!</definedName>
    <definedName name="_jry2">#REF!</definedName>
    <definedName name="_Key1" hidden="1">[5]SEW4!#REF!</definedName>
    <definedName name="_Key2" hidden="1">[5]SEW4!#REF!</definedName>
    <definedName name="_Ki1">#REF!</definedName>
    <definedName name="_Ki2">#REF!</definedName>
    <definedName name="_l">NA()</definedName>
    <definedName name="_l_1">NA()</definedName>
    <definedName name="_l_1_1">NA()</definedName>
    <definedName name="_l_1_1_1">NA()</definedName>
    <definedName name="_l_1_1_1_1">NA()</definedName>
    <definedName name="_l_1_1_1_1_1">#REF!</definedName>
    <definedName name="_l_1_1_1_1_1_1">NA()</definedName>
    <definedName name="_l_1_1_1_1_1_1_1">NA()</definedName>
    <definedName name="_l_1_1_1_1_1_5">#REF!</definedName>
    <definedName name="_l_1_1_1_1_5">#REF!</definedName>
    <definedName name="_l_1_1_1_5">#REF!</definedName>
    <definedName name="_l_1_1_17">NA()</definedName>
    <definedName name="_l_1_1_17_5">#REF!</definedName>
    <definedName name="_l_1_1_28">NA()</definedName>
    <definedName name="_l_1_1_28_5">#REF!</definedName>
    <definedName name="_l_1_1_5">#REF!</definedName>
    <definedName name="_l_1_1_6">NA()</definedName>
    <definedName name="_l_1_1_6_5">#REF!</definedName>
    <definedName name="_l_1_17">NA()</definedName>
    <definedName name="_l_1_17_5">#REF!</definedName>
    <definedName name="_l_1_2">NA()</definedName>
    <definedName name="_l_1_2_5">#REF!</definedName>
    <definedName name="_l_1_28">NA()</definedName>
    <definedName name="_l_1_28_5">#REF!</definedName>
    <definedName name="_l_1_5">#REF!</definedName>
    <definedName name="_l_1_6">NA()</definedName>
    <definedName name="_l_1_6_5">#REF!</definedName>
    <definedName name="_l_1_9">NA()</definedName>
    <definedName name="_l_1_9_5">#REF!</definedName>
    <definedName name="_l_10">NA()</definedName>
    <definedName name="_l_10_1">NA()</definedName>
    <definedName name="_l_10_1_1">NA()</definedName>
    <definedName name="_l_10_1_1_5">#REF!</definedName>
    <definedName name="_l_10_1_5">#REF!</definedName>
    <definedName name="_l_10_17">NA()</definedName>
    <definedName name="_l_10_17_5">#REF!</definedName>
    <definedName name="_l_10_5">#REF!</definedName>
    <definedName name="_l_11">NA()</definedName>
    <definedName name="_l_11_1">NA()</definedName>
    <definedName name="_l_11_1_5">#REF!</definedName>
    <definedName name="_l_11_5">#REF!</definedName>
    <definedName name="_l_12">NA()</definedName>
    <definedName name="_l_12_5">#REF!</definedName>
    <definedName name="_l_13">NA()</definedName>
    <definedName name="_l_13_5">#REF!</definedName>
    <definedName name="_l_14">NA()</definedName>
    <definedName name="_l_14_1">NA()</definedName>
    <definedName name="_l_14_1_5">#REF!</definedName>
    <definedName name="_l_14_17">NA()</definedName>
    <definedName name="_l_14_17_5">#REF!</definedName>
    <definedName name="_l_14_5">#REF!</definedName>
    <definedName name="_l_15">NA()</definedName>
    <definedName name="_l_15_1">NA()</definedName>
    <definedName name="_l_15_1_5">#REF!</definedName>
    <definedName name="_l_15_5">#REF!</definedName>
    <definedName name="_l_16">NA()</definedName>
    <definedName name="_l_16_1">NA()</definedName>
    <definedName name="_l_16_1_5">#REF!</definedName>
    <definedName name="_l_16_5">#REF!</definedName>
    <definedName name="_l_17">NA()</definedName>
    <definedName name="_l_17_1">NA()</definedName>
    <definedName name="_l_17_1_5">#REF!</definedName>
    <definedName name="_l_17_2">NA()</definedName>
    <definedName name="_l_17_2_5">#REF!</definedName>
    <definedName name="_l_17_5">#REF!</definedName>
    <definedName name="_l_18">NA()</definedName>
    <definedName name="_l_18_1">NA()</definedName>
    <definedName name="_l_18_1_1">NA()</definedName>
    <definedName name="_l_18_1_1_5">#REF!</definedName>
    <definedName name="_l_18_1_5">#REF!</definedName>
    <definedName name="_l_18_2">NA()</definedName>
    <definedName name="_l_18_2_5">#REF!</definedName>
    <definedName name="_l_18_5">#REF!</definedName>
    <definedName name="_l_19">NA()</definedName>
    <definedName name="_l_19_1">NA()</definedName>
    <definedName name="_l_19_1_5">#REF!</definedName>
    <definedName name="_l_19_5">#REF!</definedName>
    <definedName name="_l_2">NA()</definedName>
    <definedName name="_l_2_5">#REF!</definedName>
    <definedName name="_l_20">NA()</definedName>
    <definedName name="_l_20_1">NA()</definedName>
    <definedName name="_l_20_1_5">#REF!</definedName>
    <definedName name="_l_20_5">#REF!</definedName>
    <definedName name="_l_21">NA()</definedName>
    <definedName name="_l_21_1">NA()</definedName>
    <definedName name="_l_21_1_1">NA()</definedName>
    <definedName name="_l_21_1_1_5">#REF!</definedName>
    <definedName name="_l_21_1_5">#REF!</definedName>
    <definedName name="_l_21_2">NA()</definedName>
    <definedName name="_l_21_2_5">#REF!</definedName>
    <definedName name="_l_21_5">#REF!</definedName>
    <definedName name="_l_22">NA()</definedName>
    <definedName name="_l_22_5">#REF!</definedName>
    <definedName name="_l_23">NA()</definedName>
    <definedName name="_l_23_5">#REF!</definedName>
    <definedName name="_l_24">NA()</definedName>
    <definedName name="_l_24_5">#REF!</definedName>
    <definedName name="_l_25">NA()</definedName>
    <definedName name="_l_25_5">#REF!</definedName>
    <definedName name="_l_26">NA()</definedName>
    <definedName name="_l_26_1">NA()</definedName>
    <definedName name="_l_26_1_5">#REF!</definedName>
    <definedName name="_l_26_5">#REF!</definedName>
    <definedName name="_l_27">NA()</definedName>
    <definedName name="_l_27_1">NA()</definedName>
    <definedName name="_l_27_1_5">#REF!</definedName>
    <definedName name="_l_27_5">#REF!</definedName>
    <definedName name="_l_28">NA()</definedName>
    <definedName name="_l_28_1">NA()</definedName>
    <definedName name="_l_28_1_5">#REF!</definedName>
    <definedName name="_l_28_5">#REF!</definedName>
    <definedName name="_l_29">NA()</definedName>
    <definedName name="_l_29_5">#REF!</definedName>
    <definedName name="_l_4">NA()</definedName>
    <definedName name="_l_4_1">NA()</definedName>
    <definedName name="_l_4_1_1">NA()</definedName>
    <definedName name="_l_4_1_1_1">NA()</definedName>
    <definedName name="_l_4_1_1_1_1">NA()</definedName>
    <definedName name="_l_4_1_1_1_1_1">NA()</definedName>
    <definedName name="_l_4_1_1_1_1_1_5">#REF!</definedName>
    <definedName name="_l_4_1_1_1_1_5">#REF!</definedName>
    <definedName name="_l_4_1_1_1_5">#REF!</definedName>
    <definedName name="_l_4_1_1_5">#REF!</definedName>
    <definedName name="_l_4_1_17">NA()</definedName>
    <definedName name="_l_4_1_17_5">#REF!</definedName>
    <definedName name="_l_4_1_28">NA()</definedName>
    <definedName name="_l_4_1_28_5">#REF!</definedName>
    <definedName name="_l_4_1_5">#REF!</definedName>
    <definedName name="_l_4_1_6">NA()</definedName>
    <definedName name="_l_4_1_6_5">#REF!</definedName>
    <definedName name="_l_4_10">NA()</definedName>
    <definedName name="_l_4_10_5">#REF!</definedName>
    <definedName name="_l_4_12">NA()</definedName>
    <definedName name="_l_4_12_5">#REF!</definedName>
    <definedName name="_l_4_13">NA()</definedName>
    <definedName name="_l_4_13_5">#REF!</definedName>
    <definedName name="_l_4_14">NA()</definedName>
    <definedName name="_l_4_14_5">#REF!</definedName>
    <definedName name="_l_4_15">NA()</definedName>
    <definedName name="_l_4_15_5">#REF!</definedName>
    <definedName name="_l_4_16">NA()</definedName>
    <definedName name="_l_4_16_5">#REF!</definedName>
    <definedName name="_l_4_17">NA()</definedName>
    <definedName name="_l_4_17_5">#REF!</definedName>
    <definedName name="_l_4_18">NA()</definedName>
    <definedName name="_l_4_18_1">NA()</definedName>
    <definedName name="_l_4_18_1_5">#REF!</definedName>
    <definedName name="_l_4_18_5">#REF!</definedName>
    <definedName name="_l_4_19">NA()</definedName>
    <definedName name="_l_4_19_5">#REF!</definedName>
    <definedName name="_l_4_20">NA()</definedName>
    <definedName name="_l_4_20_5">#REF!</definedName>
    <definedName name="_l_4_21">NA()</definedName>
    <definedName name="_l_4_21_1">NA()</definedName>
    <definedName name="_l_4_21_1_5">#REF!</definedName>
    <definedName name="_l_4_21_5">#REF!</definedName>
    <definedName name="_l_4_22">NA()</definedName>
    <definedName name="_l_4_22_5">#REF!</definedName>
    <definedName name="_l_4_23">NA()</definedName>
    <definedName name="_l_4_23_5">#REF!</definedName>
    <definedName name="_l_4_24">NA()</definedName>
    <definedName name="_l_4_24_5">#REF!</definedName>
    <definedName name="_l_4_25">NA()</definedName>
    <definedName name="_l_4_25_5">#REF!</definedName>
    <definedName name="_l_4_26">NA()</definedName>
    <definedName name="_l_4_26_5">#REF!</definedName>
    <definedName name="_l_4_27">NA()</definedName>
    <definedName name="_l_4_27_5">#REF!</definedName>
    <definedName name="_l_4_28">NA()</definedName>
    <definedName name="_l_4_28_5">#REF!</definedName>
    <definedName name="_l_4_5">#REF!</definedName>
    <definedName name="_l_4_6">NA()</definedName>
    <definedName name="_l_4_6_5">#REF!</definedName>
    <definedName name="_l_4_7">NA()</definedName>
    <definedName name="_l_4_7_5">#REF!</definedName>
    <definedName name="_l_4_8">NA()</definedName>
    <definedName name="_l_4_8_5">#REF!</definedName>
    <definedName name="_l_4_9">NA()</definedName>
    <definedName name="_l_4_9_5">#REF!</definedName>
    <definedName name="_l_5">#REF!</definedName>
    <definedName name="_l_5_1">NA()</definedName>
    <definedName name="_l_5_17">NA()</definedName>
    <definedName name="_l_5_17_5">#REF!</definedName>
    <definedName name="_l_5_28">NA()</definedName>
    <definedName name="_l_5_28_5">#REF!</definedName>
    <definedName name="_l_5_5">#REF!</definedName>
    <definedName name="_l_5_6">NA()</definedName>
    <definedName name="_l_5_6_5">#REF!</definedName>
    <definedName name="_l_6">NA()</definedName>
    <definedName name="_l_6_1">NA()</definedName>
    <definedName name="_l_6_1_5">#REF!</definedName>
    <definedName name="_l_6_10">NA()</definedName>
    <definedName name="_l_6_10_5">#REF!</definedName>
    <definedName name="_l_6_12">NA()</definedName>
    <definedName name="_l_6_12_5">#REF!</definedName>
    <definedName name="_l_6_13">NA()</definedName>
    <definedName name="_l_6_13_5">#REF!</definedName>
    <definedName name="_l_6_14">NA()</definedName>
    <definedName name="_l_6_14_5">#REF!</definedName>
    <definedName name="_l_6_15">NA()</definedName>
    <definedName name="_l_6_15_5">#REF!</definedName>
    <definedName name="_l_6_16">NA()</definedName>
    <definedName name="_l_6_16_5">#REF!</definedName>
    <definedName name="_l_6_17">NA()</definedName>
    <definedName name="_l_6_17_5">#REF!</definedName>
    <definedName name="_l_6_18">NA()</definedName>
    <definedName name="_l_6_18_1">NA()</definedName>
    <definedName name="_l_6_18_1_5">#REF!</definedName>
    <definedName name="_l_6_18_5">#REF!</definedName>
    <definedName name="_l_6_19">NA()</definedName>
    <definedName name="_l_6_19_5">#REF!</definedName>
    <definedName name="_l_6_20">NA()</definedName>
    <definedName name="_l_6_20_5">#REF!</definedName>
    <definedName name="_l_6_21">NA()</definedName>
    <definedName name="_l_6_21_1">NA()</definedName>
    <definedName name="_l_6_21_1_5">#REF!</definedName>
    <definedName name="_l_6_21_5">#REF!</definedName>
    <definedName name="_l_6_22">NA()</definedName>
    <definedName name="_l_6_22_5">#REF!</definedName>
    <definedName name="_l_6_23">NA()</definedName>
    <definedName name="_l_6_23_5">#REF!</definedName>
    <definedName name="_l_6_24">NA()</definedName>
    <definedName name="_l_6_24_5">#REF!</definedName>
    <definedName name="_l_6_25">NA()</definedName>
    <definedName name="_l_6_25_5">#REF!</definedName>
    <definedName name="_l_6_26">NA()</definedName>
    <definedName name="_l_6_26_5">#REF!</definedName>
    <definedName name="_l_6_27">NA()</definedName>
    <definedName name="_l_6_27_5">#REF!</definedName>
    <definedName name="_l_6_28">NA()</definedName>
    <definedName name="_l_6_28_5">#REF!</definedName>
    <definedName name="_l_6_5">#REF!</definedName>
    <definedName name="_l_6_6">NA()</definedName>
    <definedName name="_l_6_6_5">#REF!</definedName>
    <definedName name="_l_6_7">NA()</definedName>
    <definedName name="_l_6_7_5">#REF!</definedName>
    <definedName name="_l_6_8">NA()</definedName>
    <definedName name="_l_6_8_5">#REF!</definedName>
    <definedName name="_l_6_9">NA()</definedName>
    <definedName name="_l_6_9_1">NA()</definedName>
    <definedName name="_l_6_9_1_1">NA()</definedName>
    <definedName name="_l_6_9_1_1_5">#REF!</definedName>
    <definedName name="_l_6_9_1_5">#REF!</definedName>
    <definedName name="_l_6_9_5">#REF!</definedName>
    <definedName name="_l_7">NA()</definedName>
    <definedName name="_l_7_5">#REF!</definedName>
    <definedName name="_l_8">NA()</definedName>
    <definedName name="_l_8_5">#REF!</definedName>
    <definedName name="_l_9">NA()</definedName>
    <definedName name="_l_9_1">NA()</definedName>
    <definedName name="_l_9_1_5">#REF!</definedName>
    <definedName name="_l_9_5">#REF!</definedName>
    <definedName name="_ll17">#REF!</definedName>
    <definedName name="_m4031">#REF!</definedName>
    <definedName name="_ma1">#N/A</definedName>
    <definedName name="_ma2">#N/A</definedName>
    <definedName name="_MAN1">#REF!</definedName>
    <definedName name="_mas1">#N/A</definedName>
    <definedName name="_MC1">#REF!</definedName>
    <definedName name="_MC2">#REF!</definedName>
    <definedName name="_MC3">#REF!</definedName>
    <definedName name="_MC4">#REF!</definedName>
    <definedName name="_MC5">#REF!</definedName>
    <definedName name="_MC6">#REF!</definedName>
    <definedName name="_MC7">#REF!</definedName>
    <definedName name="_mi2">#REF!</definedName>
    <definedName name="_mnt1">#REF!</definedName>
    <definedName name="_mnt2">#REF!</definedName>
    <definedName name="_mnt3">#REF!</definedName>
    <definedName name="_mnt4">#REF!</definedName>
    <definedName name="_mnt5">#REF!</definedName>
    <definedName name="_MP1">#REF!</definedName>
    <definedName name="_MP2">#REF!</definedName>
    <definedName name="_MP3">#REF!</definedName>
    <definedName name="_MP4">#REF!</definedName>
    <definedName name="_MP5">#REF!</definedName>
    <definedName name="_MRS1">#REF!</definedName>
    <definedName name="_MS2">#REF!</definedName>
    <definedName name="_ms6">#N/A</definedName>
    <definedName name="_ms8">#N/A</definedName>
    <definedName name="_mz1">#N/A</definedName>
    <definedName name="_mz2">#N/A</definedName>
    <definedName name="_NB1">#REF!</definedName>
    <definedName name="_NB2">#REF!</definedName>
    <definedName name="_NB3">#REF!</definedName>
    <definedName name="_NB4">#REF!</definedName>
    <definedName name="_NB5">#REF!</definedName>
    <definedName name="_NB6">#REF!</definedName>
    <definedName name="_NB7">#REF!</definedName>
    <definedName name="_NP31000">#REF!</definedName>
    <definedName name="_NP3450">#REF!</definedName>
    <definedName name="_obm1">#N/A</definedName>
    <definedName name="_obm2">#N/A</definedName>
    <definedName name="_obm3">#N/A</definedName>
    <definedName name="_obm4">#N/A</definedName>
    <definedName name="_Od1">#N/A</definedName>
    <definedName name="_Od3">#N/A</definedName>
    <definedName name="_Od4">#N/A</definedName>
    <definedName name="_ohp1">#N/A</definedName>
    <definedName name="_Order1" hidden="1">1</definedName>
    <definedName name="_Order2" hidden="1">1</definedName>
    <definedName name="_osf1">#N/A</definedName>
    <definedName name="_osf2">#N/A</definedName>
    <definedName name="_osf3">#N/A</definedName>
    <definedName name="_osf4">#N/A</definedName>
    <definedName name="_p">NA()</definedName>
    <definedName name="_p_1">NA()</definedName>
    <definedName name="_p_1_1">NA()</definedName>
    <definedName name="_p_1_1_1">NA()</definedName>
    <definedName name="_p_1_1_1_1">NA()</definedName>
    <definedName name="_p_1_1_1_1_1">#REF!</definedName>
    <definedName name="_p_1_1_1_1_1_1">NA()</definedName>
    <definedName name="_p_1_1_1_1_1_1_1">NA()</definedName>
    <definedName name="_p_1_1_1_1_1_5">#REF!</definedName>
    <definedName name="_p_1_1_1_1_5">#REF!</definedName>
    <definedName name="_p_1_1_1_5">#REF!</definedName>
    <definedName name="_p_1_1_17">NA()</definedName>
    <definedName name="_p_1_1_17_5">#REF!</definedName>
    <definedName name="_p_1_1_28">NA()</definedName>
    <definedName name="_p_1_1_28_5">#REF!</definedName>
    <definedName name="_p_1_1_5">#REF!</definedName>
    <definedName name="_p_1_1_6">NA()</definedName>
    <definedName name="_p_1_1_6_5">#REF!</definedName>
    <definedName name="_p_1_17">NA()</definedName>
    <definedName name="_p_1_17_5">#REF!</definedName>
    <definedName name="_p_1_2">NA()</definedName>
    <definedName name="_p_1_2_5">#REF!</definedName>
    <definedName name="_p_1_28">NA()</definedName>
    <definedName name="_p_1_28_5">#REF!</definedName>
    <definedName name="_p_1_5">#REF!</definedName>
    <definedName name="_p_1_6">NA()</definedName>
    <definedName name="_p_1_6_5">#REF!</definedName>
    <definedName name="_p_1_9">NA()</definedName>
    <definedName name="_p_1_9_5">#REF!</definedName>
    <definedName name="_p_10">NA()</definedName>
    <definedName name="_p_10_1">NA()</definedName>
    <definedName name="_p_10_1_1">NA()</definedName>
    <definedName name="_p_10_1_1_5">#REF!</definedName>
    <definedName name="_p_10_1_5">#REF!</definedName>
    <definedName name="_p_10_17">NA()</definedName>
    <definedName name="_p_10_17_5">#REF!</definedName>
    <definedName name="_p_10_5">#REF!</definedName>
    <definedName name="_p_11">NA()</definedName>
    <definedName name="_p_11_1">NA()</definedName>
    <definedName name="_p_11_1_5">#REF!</definedName>
    <definedName name="_p_11_5">#REF!</definedName>
    <definedName name="_p_12">NA()</definedName>
    <definedName name="_p_12_5">#REF!</definedName>
    <definedName name="_p_13">NA()</definedName>
    <definedName name="_p_13_5">#REF!</definedName>
    <definedName name="_p_14">NA()</definedName>
    <definedName name="_p_14_1">NA()</definedName>
    <definedName name="_p_14_1_5">#REF!</definedName>
    <definedName name="_p_14_17">NA()</definedName>
    <definedName name="_p_14_17_5">#REF!</definedName>
    <definedName name="_p_14_5">#REF!</definedName>
    <definedName name="_p_15">NA()</definedName>
    <definedName name="_p_15_1">NA()</definedName>
    <definedName name="_p_15_1_5">#REF!</definedName>
    <definedName name="_p_15_5">#REF!</definedName>
    <definedName name="_p_16">NA()</definedName>
    <definedName name="_p_16_1">NA()</definedName>
    <definedName name="_p_16_1_5">#REF!</definedName>
    <definedName name="_p_16_5">#REF!</definedName>
    <definedName name="_p_17">NA()</definedName>
    <definedName name="_p_17_1">NA()</definedName>
    <definedName name="_p_17_1_5">#REF!</definedName>
    <definedName name="_p_17_2">NA()</definedName>
    <definedName name="_p_17_2_5">#REF!</definedName>
    <definedName name="_p_17_5">#REF!</definedName>
    <definedName name="_p_18">NA()</definedName>
    <definedName name="_p_18_1">NA()</definedName>
    <definedName name="_p_18_1_1">NA()</definedName>
    <definedName name="_p_18_1_1_5">#REF!</definedName>
    <definedName name="_p_18_1_5">#REF!</definedName>
    <definedName name="_p_18_2">NA()</definedName>
    <definedName name="_p_18_2_5">#REF!</definedName>
    <definedName name="_p_18_5">#REF!</definedName>
    <definedName name="_p_19">NA()</definedName>
    <definedName name="_p_19_1">NA()</definedName>
    <definedName name="_p_19_1_5">#REF!</definedName>
    <definedName name="_p_19_5">#REF!</definedName>
    <definedName name="_p_2">NA()</definedName>
    <definedName name="_p_2_5">#REF!</definedName>
    <definedName name="_p_20">NA()</definedName>
    <definedName name="_p_20_1">NA()</definedName>
    <definedName name="_p_20_1_5">#REF!</definedName>
    <definedName name="_p_20_5">#REF!</definedName>
    <definedName name="_p_21">NA()</definedName>
    <definedName name="_p_21_1">NA()</definedName>
    <definedName name="_p_21_1_1">NA()</definedName>
    <definedName name="_p_21_1_1_5">#REF!</definedName>
    <definedName name="_p_21_1_5">#REF!</definedName>
    <definedName name="_p_21_2">NA()</definedName>
    <definedName name="_p_21_2_5">#REF!</definedName>
    <definedName name="_p_21_5">#REF!</definedName>
    <definedName name="_p_22">NA()</definedName>
    <definedName name="_p_22_5">#REF!</definedName>
    <definedName name="_p_23">NA()</definedName>
    <definedName name="_p_23_5">#REF!</definedName>
    <definedName name="_p_24">NA()</definedName>
    <definedName name="_p_24_5">#REF!</definedName>
    <definedName name="_p_25">NA()</definedName>
    <definedName name="_p_25_5">#REF!</definedName>
    <definedName name="_p_26">NA()</definedName>
    <definedName name="_p_26_1">NA()</definedName>
    <definedName name="_p_26_1_5">#REF!</definedName>
    <definedName name="_p_26_5">#REF!</definedName>
    <definedName name="_p_27">NA()</definedName>
    <definedName name="_p_27_1">NA()</definedName>
    <definedName name="_p_27_1_5">#REF!</definedName>
    <definedName name="_p_27_5">#REF!</definedName>
    <definedName name="_p_28">NA()</definedName>
    <definedName name="_p_28_1">NA()</definedName>
    <definedName name="_p_28_1_5">#REF!</definedName>
    <definedName name="_p_28_5">#REF!</definedName>
    <definedName name="_p_29">NA()</definedName>
    <definedName name="_p_29_5">#REF!</definedName>
    <definedName name="_p_4">NA()</definedName>
    <definedName name="_p_4_1">NA()</definedName>
    <definedName name="_p_4_1_1">NA()</definedName>
    <definedName name="_p_4_1_1_1">NA()</definedName>
    <definedName name="_p_4_1_1_1_1">NA()</definedName>
    <definedName name="_p_4_1_1_1_1_1">NA()</definedName>
    <definedName name="_p_4_1_1_1_1_1_5">#REF!</definedName>
    <definedName name="_p_4_1_1_1_1_5">#REF!</definedName>
    <definedName name="_p_4_1_1_1_5">#REF!</definedName>
    <definedName name="_p_4_1_1_5">#REF!</definedName>
    <definedName name="_p_4_1_17">NA()</definedName>
    <definedName name="_p_4_1_17_5">#REF!</definedName>
    <definedName name="_p_4_1_28">NA()</definedName>
    <definedName name="_p_4_1_28_5">#REF!</definedName>
    <definedName name="_p_4_1_5">#REF!</definedName>
    <definedName name="_p_4_1_6">NA()</definedName>
    <definedName name="_p_4_1_6_5">#REF!</definedName>
    <definedName name="_p_4_10">NA()</definedName>
    <definedName name="_p_4_10_5">#REF!</definedName>
    <definedName name="_p_4_12">NA()</definedName>
    <definedName name="_p_4_12_5">#REF!</definedName>
    <definedName name="_p_4_13">NA()</definedName>
    <definedName name="_p_4_13_5">#REF!</definedName>
    <definedName name="_p_4_14">NA()</definedName>
    <definedName name="_p_4_14_5">#REF!</definedName>
    <definedName name="_p_4_15">NA()</definedName>
    <definedName name="_p_4_15_5">#REF!</definedName>
    <definedName name="_p_4_16">NA()</definedName>
    <definedName name="_p_4_16_5">#REF!</definedName>
    <definedName name="_p_4_17">NA()</definedName>
    <definedName name="_p_4_17_5">#REF!</definedName>
    <definedName name="_p_4_18">NA()</definedName>
    <definedName name="_p_4_18_1">NA()</definedName>
    <definedName name="_p_4_18_1_5">#REF!</definedName>
    <definedName name="_p_4_18_5">#REF!</definedName>
    <definedName name="_p_4_19">NA()</definedName>
    <definedName name="_p_4_19_5">#REF!</definedName>
    <definedName name="_p_4_20">NA()</definedName>
    <definedName name="_p_4_20_5">#REF!</definedName>
    <definedName name="_p_4_21">NA()</definedName>
    <definedName name="_p_4_21_1">NA()</definedName>
    <definedName name="_p_4_21_1_5">#REF!</definedName>
    <definedName name="_p_4_21_5">#REF!</definedName>
    <definedName name="_p_4_22">NA()</definedName>
    <definedName name="_p_4_22_5">#REF!</definedName>
    <definedName name="_p_4_23">NA()</definedName>
    <definedName name="_p_4_23_5">#REF!</definedName>
    <definedName name="_p_4_24">NA()</definedName>
    <definedName name="_p_4_24_5">#REF!</definedName>
    <definedName name="_p_4_25">NA()</definedName>
    <definedName name="_p_4_25_5">#REF!</definedName>
    <definedName name="_p_4_26">NA()</definedName>
    <definedName name="_p_4_26_5">#REF!</definedName>
    <definedName name="_p_4_27">NA()</definedName>
    <definedName name="_p_4_27_5">#REF!</definedName>
    <definedName name="_p_4_28">NA()</definedName>
    <definedName name="_p_4_28_5">#REF!</definedName>
    <definedName name="_p_4_5">#REF!</definedName>
    <definedName name="_p_4_6">NA()</definedName>
    <definedName name="_p_4_6_5">#REF!</definedName>
    <definedName name="_p_4_7">NA()</definedName>
    <definedName name="_p_4_7_5">#REF!</definedName>
    <definedName name="_p_4_8">NA()</definedName>
    <definedName name="_p_4_8_5">#REF!</definedName>
    <definedName name="_p_4_9">NA()</definedName>
    <definedName name="_p_4_9_5">#REF!</definedName>
    <definedName name="_p_5">#REF!</definedName>
    <definedName name="_p_5_1">NA()</definedName>
    <definedName name="_p_5_17">NA()</definedName>
    <definedName name="_p_5_17_5">#REF!</definedName>
    <definedName name="_p_5_28">NA()</definedName>
    <definedName name="_p_5_28_5">#REF!</definedName>
    <definedName name="_p_5_5">#REF!</definedName>
    <definedName name="_p_5_6">NA()</definedName>
    <definedName name="_p_5_6_5">#REF!</definedName>
    <definedName name="_p_6">NA()</definedName>
    <definedName name="_p_6_1">NA()</definedName>
    <definedName name="_p_6_1_5">#REF!</definedName>
    <definedName name="_p_6_10">NA()</definedName>
    <definedName name="_p_6_10_5">#REF!</definedName>
    <definedName name="_p_6_12">NA()</definedName>
    <definedName name="_p_6_12_5">#REF!</definedName>
    <definedName name="_p_6_13">NA()</definedName>
    <definedName name="_p_6_13_5">#REF!</definedName>
    <definedName name="_p_6_14">NA()</definedName>
    <definedName name="_p_6_14_5">#REF!</definedName>
    <definedName name="_p_6_15">NA()</definedName>
    <definedName name="_p_6_15_5">#REF!</definedName>
    <definedName name="_p_6_16">NA()</definedName>
    <definedName name="_p_6_16_5">#REF!</definedName>
    <definedName name="_p_6_17">NA()</definedName>
    <definedName name="_p_6_17_5">#REF!</definedName>
    <definedName name="_p_6_18">NA()</definedName>
    <definedName name="_p_6_18_1">NA()</definedName>
    <definedName name="_p_6_18_1_5">#REF!</definedName>
    <definedName name="_p_6_18_5">#REF!</definedName>
    <definedName name="_p_6_19">NA()</definedName>
    <definedName name="_p_6_19_5">#REF!</definedName>
    <definedName name="_p_6_20">NA()</definedName>
    <definedName name="_p_6_20_5">#REF!</definedName>
    <definedName name="_p_6_21">NA()</definedName>
    <definedName name="_p_6_21_1">NA()</definedName>
    <definedName name="_p_6_21_1_5">#REF!</definedName>
    <definedName name="_p_6_21_5">#REF!</definedName>
    <definedName name="_p_6_22">NA()</definedName>
    <definedName name="_p_6_22_5">#REF!</definedName>
    <definedName name="_p_6_23">NA()</definedName>
    <definedName name="_p_6_23_5">#REF!</definedName>
    <definedName name="_p_6_24">NA()</definedName>
    <definedName name="_p_6_24_5">#REF!</definedName>
    <definedName name="_p_6_25">NA()</definedName>
    <definedName name="_p_6_25_5">#REF!</definedName>
    <definedName name="_p_6_26">NA()</definedName>
    <definedName name="_p_6_26_5">#REF!</definedName>
    <definedName name="_p_6_27">NA()</definedName>
    <definedName name="_p_6_27_5">#REF!</definedName>
    <definedName name="_p_6_28">NA()</definedName>
    <definedName name="_p_6_28_5">#REF!</definedName>
    <definedName name="_p_6_5">#REF!</definedName>
    <definedName name="_p_6_6">NA()</definedName>
    <definedName name="_p_6_6_5">#REF!</definedName>
    <definedName name="_p_6_7">NA()</definedName>
    <definedName name="_p_6_7_5">#REF!</definedName>
    <definedName name="_p_6_8">NA()</definedName>
    <definedName name="_p_6_8_5">#REF!</definedName>
    <definedName name="_p_6_9">NA()</definedName>
    <definedName name="_p_6_9_1">NA()</definedName>
    <definedName name="_p_6_9_1_1">NA()</definedName>
    <definedName name="_p_6_9_1_1_5">#REF!</definedName>
    <definedName name="_p_6_9_1_5">#REF!</definedName>
    <definedName name="_p_6_9_5">#REF!</definedName>
    <definedName name="_p_7">NA()</definedName>
    <definedName name="_p_7_5">#REF!</definedName>
    <definedName name="_p_8">NA()</definedName>
    <definedName name="_p_8_5">#REF!</definedName>
    <definedName name="_p_9">NA()</definedName>
    <definedName name="_p_9_1">NA()</definedName>
    <definedName name="_p_9_1_5">#REF!</definedName>
    <definedName name="_p_9_5">#REF!</definedName>
    <definedName name="_PA1" hidden="1">{#N/A,#N/A,TRUE,"Front";#N/A,#N/A,TRUE,"Simple Letter";#N/A,#N/A,TRUE,"Inside";#N/A,#N/A,TRUE,"Contents";#N/A,#N/A,TRUE,"Basis";#N/A,#N/A,TRUE,"Inclusions";#N/A,#N/A,TRUE,"Exclusions";#N/A,#N/A,TRUE,"Areas";#N/A,#N/A,TRUE,"Summary";#N/A,#N/A,TRUE,"Detail"}</definedName>
    <definedName name="_Parse_Out" hidden="1">#REF!</definedName>
    <definedName name="_PB1">#REF!</definedName>
    <definedName name="_pcc1">#REF!</definedName>
    <definedName name="_pcc148">#N/A</definedName>
    <definedName name="_pcc2">#REF!</definedName>
    <definedName name="_pcc3">#REF!</definedName>
    <definedName name="_PCC4">#REF!</definedName>
    <definedName name="_PJ1">#REF!</definedName>
    <definedName name="_PJ11">#REF!</definedName>
    <definedName name="_PJ2">#REF!</definedName>
    <definedName name="_PJ22">#REF!</definedName>
    <definedName name="_PJ3">#REF!</definedName>
    <definedName name="_PJ33">#REF!</definedName>
    <definedName name="_plb1">#REF!</definedName>
    <definedName name="_plb2">#REF!</definedName>
    <definedName name="_plb3">#REF!</definedName>
    <definedName name="_plb4">#REF!</definedName>
    <definedName name="_PPRN3..AF242">#REF!</definedName>
    <definedName name="_pro5">#REF!</definedName>
    <definedName name="_pvc100">#N/A</definedName>
    <definedName name="_qry112">#REF!</definedName>
    <definedName name="_qry132">#REF!</definedName>
    <definedName name="_qry2550">#REF!</definedName>
    <definedName name="_qry4563">#REF!</definedName>
    <definedName name="_Rate">#REF!</definedName>
    <definedName name="_Regression_Int" hidden="1">1</definedName>
    <definedName name="_rim4">NA()</definedName>
    <definedName name="_rim4_5">#REF!</definedName>
    <definedName name="_RJ45">#REF!</definedName>
    <definedName name="_rm4">NA()</definedName>
    <definedName name="_rm4_1">NA()</definedName>
    <definedName name="_rm4_1_5">#REF!</definedName>
    <definedName name="_rm4_5">#REF!</definedName>
    <definedName name="_rtM15">#REF!</definedName>
    <definedName name="_rtP1">#REF!</definedName>
    <definedName name="_RVAE306___DOWN">#REF!</definedName>
    <definedName name="_RVAE358___DOWN">#REF!</definedName>
    <definedName name="_RVAE395___DOWN">#REF!</definedName>
    <definedName name="_RVY53..AE53__">#REF!</definedName>
    <definedName name="_SA10">#N/A</definedName>
    <definedName name="_SA20">#N/A</definedName>
    <definedName name="_SA40">#N/A</definedName>
    <definedName name="_Saa40">#N/A</definedName>
    <definedName name="_Sab40">#N/A</definedName>
    <definedName name="_sb20">#REF!</definedName>
    <definedName name="_sb40">#REF!</definedName>
    <definedName name="_sb4563">#REF!</definedName>
    <definedName name="_sbm1">#N/A</definedName>
    <definedName name="_sbm2">#N/A</definedName>
    <definedName name="_sbm3">#N/A</definedName>
    <definedName name="_sbm4">#N/A</definedName>
    <definedName name="_SD1">#REF!</definedName>
    <definedName name="_SD2">#REF!</definedName>
    <definedName name="_SD3">#REF!</definedName>
    <definedName name="_sd4">#REF!</definedName>
    <definedName name="_SJ1">#REF!</definedName>
    <definedName name="_SJ2">#REF!</definedName>
    <definedName name="_SJ3">#REF!</definedName>
    <definedName name="_SJ4">#REF!</definedName>
    <definedName name="_Sort" hidden="1">#REF!</definedName>
    <definedName name="_SORT1" hidden="1">#REF!</definedName>
    <definedName name="_SORT2" hidden="1">#REF!</definedName>
    <definedName name="_ss1">#REF!</definedName>
    <definedName name="_ssb4563">#REF!</definedName>
    <definedName name="_ssf1">#N/A</definedName>
    <definedName name="_ssf2">#N/A</definedName>
    <definedName name="_ssf3">#N/A</definedName>
    <definedName name="_ssf4">#N/A</definedName>
    <definedName name="_st1">"Group 41"</definedName>
    <definedName name="_ST10">#REF!</definedName>
    <definedName name="_ST11">#REF!</definedName>
    <definedName name="_st53">#N/A</definedName>
    <definedName name="_st6">#N/A</definedName>
    <definedName name="_st63">#N/A</definedName>
    <definedName name="_ST7">#REF!</definedName>
    <definedName name="_ST8">#REF!</definedName>
    <definedName name="_ST9">#REF!</definedName>
    <definedName name="_st90">#N/A</definedName>
    <definedName name="_SZ1">#REF!</definedName>
    <definedName name="_SZ2">#REF!</definedName>
    <definedName name="_TB2">#REF!</definedName>
    <definedName name="_tem1">#N/A</definedName>
    <definedName name="_Toc458400507_2">NA()</definedName>
    <definedName name="_tra1">#REF!</definedName>
    <definedName name="_tra2">#REF!</definedName>
    <definedName name="_try1">#REF!</definedName>
    <definedName name="_UB1">#REF!</definedName>
    <definedName name="_UB10">#REF!</definedName>
    <definedName name="_UB2">#REF!</definedName>
    <definedName name="_UB3">#REF!</definedName>
    <definedName name="_UB4">#REF!</definedName>
    <definedName name="_UB5">#REF!</definedName>
    <definedName name="_UB6">#REF!</definedName>
    <definedName name="_UB7">#REF!</definedName>
    <definedName name="_UB8">#REF!</definedName>
    <definedName name="_UB9">#REF!</definedName>
    <definedName name="_vat5">#REF!</definedName>
    <definedName name="_vma1420">#REF!</definedName>
    <definedName name="_WGZY_">#REF!</definedName>
    <definedName name="_wnb1">#REF!</definedName>
    <definedName name="_wnb7">#REF!</definedName>
    <definedName name="_wng1">#REF!</definedName>
    <definedName name="_wng2">#REF!</definedName>
    <definedName name="_wng3">#REF!</definedName>
    <definedName name="_wng4">#REF!</definedName>
    <definedName name="_wng5">#REF!</definedName>
    <definedName name="_wng6">#REF!</definedName>
    <definedName name="_wng7">#REF!</definedName>
    <definedName name="_ww2">#N/A</definedName>
    <definedName name="_XH1">#N/A</definedName>
    <definedName name="_XH2">#N/A</definedName>
    <definedName name="_xp9102">#REF!</definedName>
    <definedName name="_xp9103">#REF!</definedName>
    <definedName name="_xp9104">#REF!</definedName>
    <definedName name="_xp9105">#REF!</definedName>
    <definedName name="_xp9106">#REF!</definedName>
    <definedName name="_xp9107">#REF!</definedName>
    <definedName name="_xt9100">#REF!</definedName>
    <definedName name="_YY1">#REF!</definedName>
    <definedName name="_YY2">#REF!</definedName>
    <definedName name="_zz93">#REF!</definedName>
    <definedName name="√">"SQRT"</definedName>
    <definedName name="A">#REF!</definedName>
    <definedName name="a___0">#REF!</definedName>
    <definedName name="a___13">#REF!</definedName>
    <definedName name="a_1">NA()</definedName>
    <definedName name="A_10">"'file://Deserver/design/USER/HOUSING/SIRISH/temp.xls'#$'PRECAST lightconc_II'.$J$19"</definedName>
    <definedName name="A_12">"'file://Deserver/design/USER/HOUSING/SIRISH/temp.xls'#$'PRECAST lightconc_II'.$J$19"</definedName>
    <definedName name="A_13">"'file://Deserver/design/USER/HOUSING/SIRISH/temp.xls'#$'PRECAST lightconc_II'.$J$19"</definedName>
    <definedName name="A_14">"'file://Deserver/design/USER/HOUSING/SIRISH/temp.xls'#$'PRECAST lightconc_II'.$J$19"</definedName>
    <definedName name="A_15">"'file://Deserver/design/USER/HOUSING/SIRISH/temp.xls'#$'PRECAST lightconc_II'.$J$19"</definedName>
    <definedName name="A_16">"'file://Deserver/design/USER/HOUSING/SIRISH/temp.xls'#$'PRECAST lightconc_II'.$J$19"</definedName>
    <definedName name="A_17">"'file://Deserver/design/USER/HOUSING/SIRISH/temp.xls'#$'PRECAST lightconc_II'.$J$19"</definedName>
    <definedName name="A_18">"'file://Deserver/design/USER/HOUSING/SIRISH/temp.xls'#$'PRECAST lightconc_II'.$J$19"</definedName>
    <definedName name="A_19">"'file://Deserver/design/USER/HOUSING/SIRISH/temp.xls'#$'PRECAST lightconc_II'.$J$19"</definedName>
    <definedName name="A_2">#REF!</definedName>
    <definedName name="A_20">"'file://Deserver/design/USER/HOUSING/SIRISH/temp.xls'#$'PRECAST lightconc_II'.$J$19"</definedName>
    <definedName name="A_21">"'file://Deserver/design/USER/HOUSING/SIRISH/temp.xls'#$'PRECAST lightconc_II'.$J$19"</definedName>
    <definedName name="A_22">"'file://Deserver/design/USER/HOUSING/SIRISH/temp.xls'#$'PRECAST lightconc_II'.$J$19"</definedName>
    <definedName name="A_23">"'file://Deserver/design/USER/HOUSING/SIRISH/temp.xls'#$'PRECAST lightconc_II'.$J$19"</definedName>
    <definedName name="A_24">"'file://Deserver/design/USER/HOUSING/SIRISH/temp.xls'#$'PRECAST lightconc_II'.$J$19"</definedName>
    <definedName name="A_25">"'file://Deserver/design/USER/HOUSING/SIRISH/temp.xls'#$'PRECAST lightconc_II'.$J$19"</definedName>
    <definedName name="A_26">"'file://Deserver/design/USER/HOUSING/SIRISH/temp.xls'#$'PRECAST lightconc_II'.$J$19"</definedName>
    <definedName name="A_27">"'file://Deserver/design/USER/HOUSING/SIRISH/temp.xls'#$'PRECAST lightconc_II'.$J$19"</definedName>
    <definedName name="A_28">"'file://Deserver/design/USER/HOUSING/SIRISH/temp.xls'#$'PRECAST lightconc_II'.$J$19"</definedName>
    <definedName name="a_4">NA()</definedName>
    <definedName name="A_5">#REF!</definedName>
    <definedName name="A_6">"'file://Deserver/design/USER/HOUSING/SIRISH/temp.xls'#$'PRECAST lightconc_II'.$J$19"</definedName>
    <definedName name="A_7">"'file://Deserver/design/USER/HOUSING/SIRISH/temp.xls'#$'PRECAST lightconc_II'.$J$19"</definedName>
    <definedName name="A_8">"'file://Deserver/design/USER/HOUSING/SIRISH/temp.xls'#$'PRECAST lightconc_II'.$J$19"</definedName>
    <definedName name="A_9">"'file://Deserver/design/USER/HOUSING/SIRISH/temp.xls'#$'PRECAST lightconc_II'.$J$19"</definedName>
    <definedName name="A_9_1">"'file://Deserver/design/USER/HOUSING/SIRISH/temp.xls'#$'PRECAST lightconc_II'.$J$19"</definedName>
    <definedName name="A_9_1_1">"'file://Deserver/design/USER/HOUSING/SIRISH/temp.xls'#$'PRECAST lightconc_II'.$J$19"</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#REF!</definedName>
    <definedName name="A1_">#REF!</definedName>
    <definedName name="A1____0">#REF!</definedName>
    <definedName name="A1____13">#REF!</definedName>
    <definedName name="A1__5">#REF!</definedName>
    <definedName name="A10_">#REF!</definedName>
    <definedName name="A10____0">#REF!</definedName>
    <definedName name="A10____13">#REF!</definedName>
    <definedName name="A10__5">#REF!</definedName>
    <definedName name="a10BM65536">#REF!</definedName>
    <definedName name="A13_">#REF!</definedName>
    <definedName name="A13____0">#REF!</definedName>
    <definedName name="A13____13">#REF!</definedName>
    <definedName name="A13__1">NA()</definedName>
    <definedName name="A13__1_5">#REF!</definedName>
    <definedName name="A13__5">#REF!</definedName>
    <definedName name="A1Print_Titles">#REF!</definedName>
    <definedName name="A2_">#REF!</definedName>
    <definedName name="A2____0">#REF!</definedName>
    <definedName name="A2____13">#REF!</definedName>
    <definedName name="A2__5">#REF!</definedName>
    <definedName name="A3_">#REF!</definedName>
    <definedName name="A3____0">#REF!</definedName>
    <definedName name="A3____13">#REF!</definedName>
    <definedName name="A3__5">#REF!</definedName>
    <definedName name="A4_">#REF!</definedName>
    <definedName name="A4____0">#REF!</definedName>
    <definedName name="A4____13">#REF!</definedName>
    <definedName name="A4__5">#REF!</definedName>
    <definedName name="A5_">#REF!</definedName>
    <definedName name="A5____0">#REF!</definedName>
    <definedName name="A5____13">#REF!</definedName>
    <definedName name="A5__5">#REF!</definedName>
    <definedName name="A6_">#REF!</definedName>
    <definedName name="A6____0">#REF!</definedName>
    <definedName name="A6____13">#REF!</definedName>
    <definedName name="A6__5">#REF!</definedName>
    <definedName name="A7_">#REF!</definedName>
    <definedName name="A7____0">#REF!</definedName>
    <definedName name="A7____13">#REF!</definedName>
    <definedName name="A7__5">#REF!</definedName>
    <definedName name="A8_">#REF!</definedName>
    <definedName name="A8____0">#REF!</definedName>
    <definedName name="A8____13">#REF!</definedName>
    <definedName name="A8__5">#REF!</definedName>
    <definedName name="A9_">#REF!</definedName>
    <definedName name="A9____0">#REF!</definedName>
    <definedName name="A9____13">#REF!</definedName>
    <definedName name="A9__5">#REF!</definedName>
    <definedName name="AA" hidden="1">#REF!</definedName>
    <definedName name="aaa">'[6]CIVIL WORK'!#REF!</definedName>
    <definedName name="AAAA">#REF!</definedName>
    <definedName name="AAAAA">#REF!</definedName>
    <definedName name="AAC_Blocks">#REF!</definedName>
    <definedName name="AB">#REF!</definedName>
    <definedName name="AbadiBOE">#REF!</definedName>
    <definedName name="abcd">#REF!</definedName>
    <definedName name="abst" hidden="1">{#N/A,#N/A,TRUE,"Front";#N/A,#N/A,TRUE,"Simple Letter";#N/A,#N/A,TRUE,"Inside";#N/A,#N/A,TRUE,"Contents";#N/A,#N/A,TRUE,"Basis";#N/A,#N/A,TRUE,"Inclusions";#N/A,#N/A,TRUE,"Exclusions";#N/A,#N/A,TRUE,"Areas";#N/A,#N/A,TRUE,"Summary";#N/A,#N/A,TRUE,"Detail"}</definedName>
    <definedName name="absth" hidden="1">{#N/A,#N/A,TRUE,"Front";#N/A,#N/A,TRUE,"Simple Letter";#N/A,#N/A,TRUE,"Inside";#N/A,#N/A,TRUE,"Contents";#N/A,#N/A,TRUE,"Basis";#N/A,#N/A,TRUE,"Inclusions";#N/A,#N/A,TRUE,"Exclusions";#N/A,#N/A,TRUE,"Areas";#N/A,#N/A,TRUE,"Summary";#N/A,#N/A,TRUE,"Detail"}</definedName>
    <definedName name="abstractEB" hidden="1">{#N/A,#N/A,TRUE,"Front";#N/A,#N/A,TRUE,"Simple Letter";#N/A,#N/A,TRUE,"Inside";#N/A,#N/A,TRUE,"Contents";#N/A,#N/A,TRUE,"Basis";#N/A,#N/A,TRUE,"Inclusions";#N/A,#N/A,TRUE,"Exclusions";#N/A,#N/A,TRUE,"Areas";#N/A,#N/A,TRUE,"Summary";#N/A,#N/A,TRUE,"Detail"}</definedName>
    <definedName name="ac" hidden="1">#REF!</definedName>
    <definedName name="acab">NA()</definedName>
    <definedName name="acab_5">#REF!</definedName>
    <definedName name="acabl">NA()</definedName>
    <definedName name="acabl_5">#REF!</definedName>
    <definedName name="acBridge">#REF!</definedName>
    <definedName name="accab">NA()</definedName>
    <definedName name="accab_5">#REF!</definedName>
    <definedName name="AccessDatabase" hidden="1">"D:\MIS\TALLY  31.09.04 sep\AS PER TALLY 31.09.04.mdb"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tName">NA()</definedName>
    <definedName name="AcctName_1">NA()</definedName>
    <definedName name="AcctName_1_3">NA()</definedName>
    <definedName name="AcctName_1_3_5">#REF!</definedName>
    <definedName name="AcctName_1_5">#REF!</definedName>
    <definedName name="AcctName_10">NA()</definedName>
    <definedName name="AcctName_10_1">NA()</definedName>
    <definedName name="AcctName_10_1_3">NA()</definedName>
    <definedName name="AcctName_10_1_3_5">#REF!</definedName>
    <definedName name="AcctName_10_1_5">#REF!</definedName>
    <definedName name="AcctName_10_17">NA()</definedName>
    <definedName name="AcctName_10_17_3">NA()</definedName>
    <definedName name="AcctName_10_17_3_5">#REF!</definedName>
    <definedName name="AcctName_10_17_5">#REF!</definedName>
    <definedName name="AcctName_10_5">#REF!</definedName>
    <definedName name="AcctName_11">NA()</definedName>
    <definedName name="AcctName_11_1">NA()</definedName>
    <definedName name="AcctName_11_1_5">#REF!</definedName>
    <definedName name="AcctName_11_5">#REF!</definedName>
    <definedName name="AcctName_12">NA()</definedName>
    <definedName name="AcctName_12_3">NA()</definedName>
    <definedName name="AcctName_12_3_5">#REF!</definedName>
    <definedName name="AcctName_12_5">#REF!</definedName>
    <definedName name="AcctName_13">NA()</definedName>
    <definedName name="AcctName_13_3">NA()</definedName>
    <definedName name="AcctName_13_3_5">#REF!</definedName>
    <definedName name="AcctName_13_5">#REF!</definedName>
    <definedName name="AcctName_14">NA()</definedName>
    <definedName name="AcctName_14_5">#REF!</definedName>
    <definedName name="AcctName_15">NA()</definedName>
    <definedName name="AcctName_15_1">NA()</definedName>
    <definedName name="AcctName_15_1_5">#REF!</definedName>
    <definedName name="AcctName_15_5">#REF!</definedName>
    <definedName name="AcctName_16">NA()</definedName>
    <definedName name="AcctName_16_1">NA()</definedName>
    <definedName name="AcctName_16_1_3">NA()</definedName>
    <definedName name="AcctName_16_1_3_5">#REF!</definedName>
    <definedName name="AcctName_16_1_5">#REF!</definedName>
    <definedName name="AcctName_16_3">NA()</definedName>
    <definedName name="AcctName_16_3_5">#REF!</definedName>
    <definedName name="AcctName_16_5">#REF!</definedName>
    <definedName name="AcctName_17">NA()</definedName>
    <definedName name="AcctName_17_1">NA()</definedName>
    <definedName name="AcctName_17_1_5">#REF!</definedName>
    <definedName name="AcctName_17_3">NA()</definedName>
    <definedName name="AcctName_17_3_5">#REF!</definedName>
    <definedName name="AcctName_17_5">#REF!</definedName>
    <definedName name="AcctName_18">NA()</definedName>
    <definedName name="AcctName_18_1">NA()</definedName>
    <definedName name="AcctName_18_1_3">NA()</definedName>
    <definedName name="AcctName_18_1_3_5">#REF!</definedName>
    <definedName name="AcctName_18_1_5">#REF!</definedName>
    <definedName name="AcctName_18_5">#REF!</definedName>
    <definedName name="AcctName_19">NA()</definedName>
    <definedName name="AcctName_19_1">NA()</definedName>
    <definedName name="AcctName_19_1_5">#REF!</definedName>
    <definedName name="AcctName_19_5">#REF!</definedName>
    <definedName name="AcctName_2">NA()</definedName>
    <definedName name="AcctName_2_5">#REF!</definedName>
    <definedName name="AcctName_20">NA()</definedName>
    <definedName name="AcctName_20_1">NA()</definedName>
    <definedName name="AcctName_20_1_3">NA()</definedName>
    <definedName name="AcctName_20_1_3_5">#REF!</definedName>
    <definedName name="AcctName_20_1_5">#REF!</definedName>
    <definedName name="AcctName_20_5">#REF!</definedName>
    <definedName name="AcctName_21">NA()</definedName>
    <definedName name="AcctName_21_1">NA()</definedName>
    <definedName name="AcctName_21_1_1">NA()</definedName>
    <definedName name="AcctName_21_1_1_5">#REF!</definedName>
    <definedName name="AcctName_21_1_5">#REF!</definedName>
    <definedName name="AcctName_21_5">#REF!</definedName>
    <definedName name="AcctName_22">NA()</definedName>
    <definedName name="AcctName_22_3">NA()</definedName>
    <definedName name="AcctName_22_3_5">#REF!</definedName>
    <definedName name="AcctName_22_5">#REF!</definedName>
    <definedName name="AcctName_23">NA()</definedName>
    <definedName name="AcctName_23_3">NA()</definedName>
    <definedName name="AcctName_23_3_5">#REF!</definedName>
    <definedName name="AcctName_23_5">#REF!</definedName>
    <definedName name="AcctName_24">NA()</definedName>
    <definedName name="AcctName_24_3">NA()</definedName>
    <definedName name="AcctName_24_3_5">#REF!</definedName>
    <definedName name="AcctName_24_5">#REF!</definedName>
    <definedName name="AcctName_25">NA()</definedName>
    <definedName name="AcctName_25_3">NA()</definedName>
    <definedName name="AcctName_25_3_5">#REF!</definedName>
    <definedName name="AcctName_25_5">#REF!</definedName>
    <definedName name="AcctName_26">NA()</definedName>
    <definedName name="AcctName_26_1">NA()</definedName>
    <definedName name="AcctName_26_1_5">#REF!</definedName>
    <definedName name="AcctName_26_5">#REF!</definedName>
    <definedName name="AcctName_27">NA()</definedName>
    <definedName name="AcctName_27_1">NA()</definedName>
    <definedName name="AcctName_27_1_5">#REF!</definedName>
    <definedName name="AcctName_27_5">#REF!</definedName>
    <definedName name="AcctName_28">NA()</definedName>
    <definedName name="AcctName_28_1">NA()</definedName>
    <definedName name="AcctName_28_1_5">#REF!</definedName>
    <definedName name="AcctName_28_5">#REF!</definedName>
    <definedName name="AcctName_29">NA()</definedName>
    <definedName name="AcctName_29_5">#REF!</definedName>
    <definedName name="AcctName_3">NA()</definedName>
    <definedName name="AcctName_3_5">#REF!</definedName>
    <definedName name="AcctName_4">NA()</definedName>
    <definedName name="AcctName_4_1">NA()</definedName>
    <definedName name="AcctName_4_1_1">NA()</definedName>
    <definedName name="AcctName_4_1_1_1">NA()</definedName>
    <definedName name="AcctName_4_1_1_1_1">NA()</definedName>
    <definedName name="AcctName_4_1_1_1_1_1">NA()</definedName>
    <definedName name="AcctName_4_1_1_1_1_1_5">#REF!</definedName>
    <definedName name="AcctName_4_1_1_1_1_3">NA()</definedName>
    <definedName name="AcctName_4_1_1_1_1_3_5">#REF!</definedName>
    <definedName name="AcctName_4_1_1_1_1_5">#REF!</definedName>
    <definedName name="AcctName_4_1_1_1_3">NA()</definedName>
    <definedName name="AcctName_4_1_1_1_3_1">NA()</definedName>
    <definedName name="AcctName_4_1_1_1_3_1_5">#REF!</definedName>
    <definedName name="AcctName_4_1_1_1_3_5">#REF!</definedName>
    <definedName name="AcctName_4_1_1_1_5">#REF!</definedName>
    <definedName name="AcctName_4_1_1_3">NA()</definedName>
    <definedName name="AcctName_4_1_1_3_5">#REF!</definedName>
    <definedName name="AcctName_4_1_1_5">#REF!</definedName>
    <definedName name="AcctName_4_1_17">NA()</definedName>
    <definedName name="AcctName_4_1_17_3">NA()</definedName>
    <definedName name="AcctName_4_1_17_3_5">#REF!</definedName>
    <definedName name="AcctName_4_1_17_5">#REF!</definedName>
    <definedName name="AcctName_4_1_28">NA()</definedName>
    <definedName name="AcctName_4_1_28_5">#REF!</definedName>
    <definedName name="AcctName_4_1_3">NA()</definedName>
    <definedName name="AcctName_4_1_3_5">#REF!</definedName>
    <definedName name="AcctName_4_1_5">#REF!</definedName>
    <definedName name="AcctName_4_1_6">NA()</definedName>
    <definedName name="AcctName_4_1_6_5">#REF!</definedName>
    <definedName name="AcctName_4_10">NA()</definedName>
    <definedName name="AcctName_4_10_3">NA()</definedName>
    <definedName name="AcctName_4_10_3_5">#REF!</definedName>
    <definedName name="AcctName_4_10_5">#REF!</definedName>
    <definedName name="AcctName_4_12">NA()</definedName>
    <definedName name="AcctName_4_12_3">NA()</definedName>
    <definedName name="AcctName_4_12_3_5">#REF!</definedName>
    <definedName name="AcctName_4_12_5">#REF!</definedName>
    <definedName name="AcctName_4_13">NA()</definedName>
    <definedName name="AcctName_4_13_3">NA()</definedName>
    <definedName name="AcctName_4_13_3_5">#REF!</definedName>
    <definedName name="AcctName_4_13_5">#REF!</definedName>
    <definedName name="AcctName_4_14">NA()</definedName>
    <definedName name="AcctName_4_14_3">NA()</definedName>
    <definedName name="AcctName_4_14_3_5">#REF!</definedName>
    <definedName name="AcctName_4_14_5">#REF!</definedName>
    <definedName name="AcctName_4_15">NA()</definedName>
    <definedName name="AcctName_4_15_3">NA()</definedName>
    <definedName name="AcctName_4_15_3_5">#REF!</definedName>
    <definedName name="AcctName_4_15_5">#REF!</definedName>
    <definedName name="AcctName_4_16">NA()</definedName>
    <definedName name="AcctName_4_16_3">NA()</definedName>
    <definedName name="AcctName_4_16_3_5">#REF!</definedName>
    <definedName name="AcctName_4_16_5">#REF!</definedName>
    <definedName name="AcctName_4_17">NA()</definedName>
    <definedName name="AcctName_4_17_3">NA()</definedName>
    <definedName name="AcctName_4_17_3_5">#REF!</definedName>
    <definedName name="AcctName_4_17_5">#REF!</definedName>
    <definedName name="AcctName_4_18">NA()</definedName>
    <definedName name="AcctName_4_18_1">NA()</definedName>
    <definedName name="AcctName_4_18_1_3">NA()</definedName>
    <definedName name="AcctName_4_18_1_3_5">#REF!</definedName>
    <definedName name="AcctName_4_18_1_5">#REF!</definedName>
    <definedName name="AcctName_4_18_5">#REF!</definedName>
    <definedName name="AcctName_4_19">NA()</definedName>
    <definedName name="AcctName_4_19_5">#REF!</definedName>
    <definedName name="AcctName_4_20">NA()</definedName>
    <definedName name="AcctName_4_20_3">NA()</definedName>
    <definedName name="AcctName_4_20_3_5">#REF!</definedName>
    <definedName name="AcctName_4_20_5">#REF!</definedName>
    <definedName name="AcctName_4_21">NA()</definedName>
    <definedName name="AcctName_4_21_1">NA()</definedName>
    <definedName name="AcctName_4_21_1_3">NA()</definedName>
    <definedName name="AcctName_4_21_1_3_5">#REF!</definedName>
    <definedName name="AcctName_4_21_1_5">#REF!</definedName>
    <definedName name="AcctName_4_21_5">#REF!</definedName>
    <definedName name="AcctName_4_22">NA()</definedName>
    <definedName name="AcctName_4_22_3">NA()</definedName>
    <definedName name="AcctName_4_22_3_5">#REF!</definedName>
    <definedName name="AcctName_4_22_5">#REF!</definedName>
    <definedName name="AcctName_4_23">NA()</definedName>
    <definedName name="AcctName_4_23_3">NA()</definedName>
    <definedName name="AcctName_4_23_3_5">#REF!</definedName>
    <definedName name="AcctName_4_23_5">#REF!</definedName>
    <definedName name="AcctName_4_24">NA()</definedName>
    <definedName name="AcctName_4_24_3">NA()</definedName>
    <definedName name="AcctName_4_24_3_5">#REF!</definedName>
    <definedName name="AcctName_4_24_5">#REF!</definedName>
    <definedName name="AcctName_4_25">NA()</definedName>
    <definedName name="AcctName_4_25_3">NA()</definedName>
    <definedName name="AcctName_4_25_3_5">#REF!</definedName>
    <definedName name="AcctName_4_25_5">#REF!</definedName>
    <definedName name="AcctName_4_26">NA()</definedName>
    <definedName name="AcctName_4_26_3">NA()</definedName>
    <definedName name="AcctName_4_26_3_5">#REF!</definedName>
    <definedName name="AcctName_4_26_5">#REF!</definedName>
    <definedName name="AcctName_4_27">NA()</definedName>
    <definedName name="AcctName_4_27_3">NA()</definedName>
    <definedName name="AcctName_4_27_3_5">#REF!</definedName>
    <definedName name="AcctName_4_27_5">#REF!</definedName>
    <definedName name="AcctName_4_28">NA()</definedName>
    <definedName name="AcctName_4_28_5">#REF!</definedName>
    <definedName name="AcctName_4_5">#REF!</definedName>
    <definedName name="AcctName_4_6">NA()</definedName>
    <definedName name="AcctName_4_6_5">#REF!</definedName>
    <definedName name="AcctName_4_7">NA()</definedName>
    <definedName name="AcctName_4_7_3">NA()</definedName>
    <definedName name="AcctName_4_7_3_5">#REF!</definedName>
    <definedName name="AcctName_4_7_5">#REF!</definedName>
    <definedName name="AcctName_4_8">NA()</definedName>
    <definedName name="AcctName_4_8_3">NA()</definedName>
    <definedName name="AcctName_4_8_3_5">#REF!</definedName>
    <definedName name="AcctName_4_8_5">#REF!</definedName>
    <definedName name="AcctName_4_9">NA()</definedName>
    <definedName name="AcctName_4_9_3">NA()</definedName>
    <definedName name="AcctName_4_9_3_5">#REF!</definedName>
    <definedName name="AcctName_4_9_5">#REF!</definedName>
    <definedName name="AcctName_5">#REF!</definedName>
    <definedName name="AcctName_5_1">NA()</definedName>
    <definedName name="AcctName_5_17">NA()</definedName>
    <definedName name="AcctName_5_17_3">NA()</definedName>
    <definedName name="AcctName_5_17_3_5">#REF!</definedName>
    <definedName name="AcctName_5_17_5">#REF!</definedName>
    <definedName name="AcctName_5_28">NA()</definedName>
    <definedName name="AcctName_5_28_5">#REF!</definedName>
    <definedName name="AcctName_5_5">#REF!</definedName>
    <definedName name="AcctName_5_6">NA()</definedName>
    <definedName name="AcctName_5_6_5">#REF!</definedName>
    <definedName name="AcctName_6">NA()</definedName>
    <definedName name="AcctName_6_1">NA()</definedName>
    <definedName name="AcctName_6_1_5">#REF!</definedName>
    <definedName name="AcctName_6_10">NA()</definedName>
    <definedName name="AcctName_6_10_3">NA()</definedName>
    <definedName name="AcctName_6_10_3_5">#REF!</definedName>
    <definedName name="AcctName_6_10_5">#REF!</definedName>
    <definedName name="AcctName_6_12">NA()</definedName>
    <definedName name="AcctName_6_12_3">NA()</definedName>
    <definedName name="AcctName_6_12_3_5">#REF!</definedName>
    <definedName name="AcctName_6_12_5">#REF!</definedName>
    <definedName name="AcctName_6_13">NA()</definedName>
    <definedName name="AcctName_6_13_3">NA()</definedName>
    <definedName name="AcctName_6_13_3_5">#REF!</definedName>
    <definedName name="AcctName_6_13_5">#REF!</definedName>
    <definedName name="AcctName_6_14">NA()</definedName>
    <definedName name="AcctName_6_14_3">NA()</definedName>
    <definedName name="AcctName_6_14_3_5">#REF!</definedName>
    <definedName name="AcctName_6_14_5">#REF!</definedName>
    <definedName name="AcctName_6_15">NA()</definedName>
    <definedName name="AcctName_6_15_3">NA()</definedName>
    <definedName name="AcctName_6_15_3_5">#REF!</definedName>
    <definedName name="AcctName_6_15_5">#REF!</definedName>
    <definedName name="AcctName_6_16">NA()</definedName>
    <definedName name="AcctName_6_16_3">NA()</definedName>
    <definedName name="AcctName_6_16_3_5">#REF!</definedName>
    <definedName name="AcctName_6_16_5">#REF!</definedName>
    <definedName name="AcctName_6_17">NA()</definedName>
    <definedName name="AcctName_6_17_3">NA()</definedName>
    <definedName name="AcctName_6_17_3_5">#REF!</definedName>
    <definedName name="AcctName_6_17_5">#REF!</definedName>
    <definedName name="AcctName_6_18">NA()</definedName>
    <definedName name="AcctName_6_18_1">NA()</definedName>
    <definedName name="AcctName_6_18_1_3">NA()</definedName>
    <definedName name="AcctName_6_18_1_3_5">#REF!</definedName>
    <definedName name="AcctName_6_18_1_5">#REF!</definedName>
    <definedName name="AcctName_6_18_5">#REF!</definedName>
    <definedName name="AcctName_6_19">NA()</definedName>
    <definedName name="AcctName_6_19_5">#REF!</definedName>
    <definedName name="AcctName_6_20">NA()</definedName>
    <definedName name="AcctName_6_20_3">NA()</definedName>
    <definedName name="AcctName_6_20_3_5">#REF!</definedName>
    <definedName name="AcctName_6_20_5">#REF!</definedName>
    <definedName name="AcctName_6_21">NA()</definedName>
    <definedName name="AcctName_6_21_1">NA()</definedName>
    <definedName name="AcctName_6_21_1_3">NA()</definedName>
    <definedName name="AcctName_6_21_1_3_5">#REF!</definedName>
    <definedName name="AcctName_6_21_1_5">#REF!</definedName>
    <definedName name="AcctName_6_21_5">#REF!</definedName>
    <definedName name="AcctName_6_22">NA()</definedName>
    <definedName name="AcctName_6_22_3">NA()</definedName>
    <definedName name="AcctName_6_22_3_5">#REF!</definedName>
    <definedName name="AcctName_6_22_5">#REF!</definedName>
    <definedName name="AcctName_6_23">NA()</definedName>
    <definedName name="AcctName_6_23_3">NA()</definedName>
    <definedName name="AcctName_6_23_3_5">#REF!</definedName>
    <definedName name="AcctName_6_23_5">#REF!</definedName>
    <definedName name="AcctName_6_24">NA()</definedName>
    <definedName name="AcctName_6_24_3">NA()</definedName>
    <definedName name="AcctName_6_24_3_5">#REF!</definedName>
    <definedName name="AcctName_6_24_5">#REF!</definedName>
    <definedName name="AcctName_6_25">NA()</definedName>
    <definedName name="AcctName_6_25_3">NA()</definedName>
    <definedName name="AcctName_6_25_3_5">#REF!</definedName>
    <definedName name="AcctName_6_25_5">#REF!</definedName>
    <definedName name="AcctName_6_26">NA()</definedName>
    <definedName name="AcctName_6_26_3">NA()</definedName>
    <definedName name="AcctName_6_26_3_5">#REF!</definedName>
    <definedName name="AcctName_6_26_5">#REF!</definedName>
    <definedName name="AcctName_6_27">NA()</definedName>
    <definedName name="AcctName_6_27_3">NA()</definedName>
    <definedName name="AcctName_6_27_3_5">#REF!</definedName>
    <definedName name="AcctName_6_27_5">#REF!</definedName>
    <definedName name="AcctName_6_28">NA()</definedName>
    <definedName name="AcctName_6_28_5">#REF!</definedName>
    <definedName name="AcctName_6_5">#REF!</definedName>
    <definedName name="AcctName_6_6">NA()</definedName>
    <definedName name="AcctName_6_6_5">#REF!</definedName>
    <definedName name="AcctName_6_7">NA()</definedName>
    <definedName name="AcctName_6_7_3">NA()</definedName>
    <definedName name="AcctName_6_7_3_5">#REF!</definedName>
    <definedName name="AcctName_6_7_5">#REF!</definedName>
    <definedName name="AcctName_6_8">NA()</definedName>
    <definedName name="AcctName_6_8_3">NA()</definedName>
    <definedName name="AcctName_6_8_3_5">#REF!</definedName>
    <definedName name="AcctName_6_8_5">#REF!</definedName>
    <definedName name="AcctName_6_9">NA()</definedName>
    <definedName name="AcctName_6_9_1">NA()</definedName>
    <definedName name="AcctName_6_9_1_1">NA()</definedName>
    <definedName name="AcctName_6_9_1_1_3">NA()</definedName>
    <definedName name="AcctName_6_9_1_1_3_5">#REF!</definedName>
    <definedName name="AcctName_6_9_1_1_5">#REF!</definedName>
    <definedName name="AcctName_6_9_1_3">NA()</definedName>
    <definedName name="AcctName_6_9_1_3_5">#REF!</definedName>
    <definedName name="AcctName_6_9_1_5">#REF!</definedName>
    <definedName name="AcctName_6_9_5">#REF!</definedName>
    <definedName name="AcctName_7">NA()</definedName>
    <definedName name="AcctName_7_5">#REF!</definedName>
    <definedName name="AcctName_8">NA()</definedName>
    <definedName name="AcctName_8_3">NA()</definedName>
    <definedName name="AcctName_8_3_5">#REF!</definedName>
    <definedName name="AcctName_8_5">#REF!</definedName>
    <definedName name="AcctName_9">NA()</definedName>
    <definedName name="AcctName_9_3">NA()</definedName>
    <definedName name="AcctName_9_3_5">#REF!</definedName>
    <definedName name="AcctName_9_5">#REF!</definedName>
    <definedName name="AcctPrio">NA()</definedName>
    <definedName name="AcctPrio_1">NA()</definedName>
    <definedName name="AcctPrio_1_3">NA()</definedName>
    <definedName name="AcctPrio_1_3_5">#REF!</definedName>
    <definedName name="AcctPrio_1_5">#REF!</definedName>
    <definedName name="AcctPrio_10">NA()</definedName>
    <definedName name="AcctPrio_10_1">NA()</definedName>
    <definedName name="AcctPrio_10_1_5">#REF!</definedName>
    <definedName name="AcctPrio_10_17">NA()</definedName>
    <definedName name="AcctPrio_10_17_5">#REF!</definedName>
    <definedName name="AcctPrio_10_5">#REF!</definedName>
    <definedName name="AcctPrio_11">NA()</definedName>
    <definedName name="AcctPrio_11_1">NA()</definedName>
    <definedName name="AcctPrio_11_1_5">#REF!</definedName>
    <definedName name="AcctPrio_11_5">#REF!</definedName>
    <definedName name="AcctPrio_12">NA()</definedName>
    <definedName name="AcctPrio_12_5">#REF!</definedName>
    <definedName name="AcctPrio_13">NA()</definedName>
    <definedName name="AcctPrio_13_5">#REF!</definedName>
    <definedName name="AcctPrio_14">NA()</definedName>
    <definedName name="AcctPrio_14_5">#REF!</definedName>
    <definedName name="AcctPrio_15">NA()</definedName>
    <definedName name="AcctPrio_15_1">NA()</definedName>
    <definedName name="AcctPrio_15_1_5">#REF!</definedName>
    <definedName name="AcctPrio_15_5">#REF!</definedName>
    <definedName name="AcctPrio_16">NA()</definedName>
    <definedName name="AcctPrio_16_1">NA()</definedName>
    <definedName name="AcctPrio_16_1_5">#REF!</definedName>
    <definedName name="AcctPrio_16_5">#REF!</definedName>
    <definedName name="AcctPrio_17">NA()</definedName>
    <definedName name="AcctPrio_17_1">NA()</definedName>
    <definedName name="AcctPrio_17_1_5">#REF!</definedName>
    <definedName name="AcctPrio_17_5">#REF!</definedName>
    <definedName name="AcctPrio_18">NA()</definedName>
    <definedName name="AcctPrio_18_1">NA()</definedName>
    <definedName name="AcctPrio_18_1_3">NA()</definedName>
    <definedName name="AcctPrio_18_1_3_5">#REF!</definedName>
    <definedName name="AcctPrio_18_1_5">#REF!</definedName>
    <definedName name="AcctPrio_18_5">#REF!</definedName>
    <definedName name="AcctPrio_19">NA()</definedName>
    <definedName name="AcctPrio_19_1">NA()</definedName>
    <definedName name="AcctPrio_19_1_5">#REF!</definedName>
    <definedName name="AcctPrio_19_5">#REF!</definedName>
    <definedName name="AcctPrio_2">NA()</definedName>
    <definedName name="AcctPrio_2_5">#REF!</definedName>
    <definedName name="AcctPrio_20">NA()</definedName>
    <definedName name="AcctPrio_20_1">NA()</definedName>
    <definedName name="AcctPrio_20_1_5">#REF!</definedName>
    <definedName name="AcctPrio_20_5">#REF!</definedName>
    <definedName name="AcctPrio_21">NA()</definedName>
    <definedName name="AcctPrio_21_1">NA()</definedName>
    <definedName name="AcctPrio_21_1_1">NA()</definedName>
    <definedName name="AcctPrio_21_1_1_5">#REF!</definedName>
    <definedName name="AcctPrio_21_1_5">#REF!</definedName>
    <definedName name="AcctPrio_21_5">#REF!</definedName>
    <definedName name="AcctPrio_22">NA()</definedName>
    <definedName name="AcctPrio_22_5">#REF!</definedName>
    <definedName name="AcctPrio_23">NA()</definedName>
    <definedName name="AcctPrio_23_5">#REF!</definedName>
    <definedName name="AcctPrio_24">NA()</definedName>
    <definedName name="AcctPrio_24_5">#REF!</definedName>
    <definedName name="AcctPrio_25">NA()</definedName>
    <definedName name="AcctPrio_25_5">#REF!</definedName>
    <definedName name="AcctPrio_26">NA()</definedName>
    <definedName name="AcctPrio_26_1">NA()</definedName>
    <definedName name="AcctPrio_26_1_5">#REF!</definedName>
    <definedName name="AcctPrio_26_5">#REF!</definedName>
    <definedName name="AcctPrio_27">NA()</definedName>
    <definedName name="AcctPrio_27_1">NA()</definedName>
    <definedName name="AcctPrio_27_1_5">#REF!</definedName>
    <definedName name="AcctPrio_27_5">#REF!</definedName>
    <definedName name="AcctPrio_28">NA()</definedName>
    <definedName name="AcctPrio_28_1">NA()</definedName>
    <definedName name="AcctPrio_28_1_5">#REF!</definedName>
    <definedName name="AcctPrio_28_5">#REF!</definedName>
    <definedName name="AcctPrio_29">NA()</definedName>
    <definedName name="AcctPrio_29_5">#REF!</definedName>
    <definedName name="AcctPrio_3">NA()</definedName>
    <definedName name="AcctPrio_3_5">#REF!</definedName>
    <definedName name="AcctPrio_4">NA()</definedName>
    <definedName name="AcctPrio_4_1">NA()</definedName>
    <definedName name="AcctPrio_4_1_1">NA()</definedName>
    <definedName name="AcctPrio_4_1_1_1">NA()</definedName>
    <definedName name="AcctPrio_4_1_1_1_1">NA()</definedName>
    <definedName name="AcctPrio_4_1_1_1_1_1">NA()</definedName>
    <definedName name="AcctPrio_4_1_1_1_1_1_5">#REF!</definedName>
    <definedName name="AcctPrio_4_1_1_1_1_3">NA()</definedName>
    <definedName name="AcctPrio_4_1_1_1_1_3_5">#REF!</definedName>
    <definedName name="AcctPrio_4_1_1_1_1_5">#REF!</definedName>
    <definedName name="AcctPrio_4_1_1_1_3">NA()</definedName>
    <definedName name="AcctPrio_4_1_1_1_3_1">NA()</definedName>
    <definedName name="AcctPrio_4_1_1_1_3_1_5">#REF!</definedName>
    <definedName name="AcctPrio_4_1_1_1_3_5">#REF!</definedName>
    <definedName name="AcctPrio_4_1_1_1_5">#REF!</definedName>
    <definedName name="AcctPrio_4_1_1_3">NA()</definedName>
    <definedName name="AcctPrio_4_1_1_3_5">#REF!</definedName>
    <definedName name="AcctPrio_4_1_1_5">#REF!</definedName>
    <definedName name="AcctPrio_4_1_17">NA()</definedName>
    <definedName name="AcctPrio_4_1_17_3">NA()</definedName>
    <definedName name="AcctPrio_4_1_17_3_5">#REF!</definedName>
    <definedName name="AcctPrio_4_1_17_5">#REF!</definedName>
    <definedName name="AcctPrio_4_1_28">NA()</definedName>
    <definedName name="AcctPrio_4_1_28_5">#REF!</definedName>
    <definedName name="AcctPrio_4_1_3">NA()</definedName>
    <definedName name="AcctPrio_4_1_3_5">#REF!</definedName>
    <definedName name="AcctPrio_4_1_5">#REF!</definedName>
    <definedName name="AcctPrio_4_1_6">NA()</definedName>
    <definedName name="AcctPrio_4_1_6_5">#REF!</definedName>
    <definedName name="AcctPrio_4_10">NA()</definedName>
    <definedName name="AcctPrio_4_10_5">#REF!</definedName>
    <definedName name="AcctPrio_4_12">NA()</definedName>
    <definedName name="AcctPrio_4_12_5">#REF!</definedName>
    <definedName name="AcctPrio_4_13">NA()</definedName>
    <definedName name="AcctPrio_4_13_5">#REF!</definedName>
    <definedName name="AcctPrio_4_14">NA()</definedName>
    <definedName name="AcctPrio_4_14_5">#REF!</definedName>
    <definedName name="AcctPrio_4_15">NA()</definedName>
    <definedName name="AcctPrio_4_15_5">#REF!</definedName>
    <definedName name="AcctPrio_4_16">NA()</definedName>
    <definedName name="AcctPrio_4_16_5">#REF!</definedName>
    <definedName name="AcctPrio_4_17">NA()</definedName>
    <definedName name="AcctPrio_4_17_5">#REF!</definedName>
    <definedName name="AcctPrio_4_18">NA()</definedName>
    <definedName name="AcctPrio_4_18_1">NA()</definedName>
    <definedName name="AcctPrio_4_18_1_3">NA()</definedName>
    <definedName name="AcctPrio_4_18_1_3_5">#REF!</definedName>
    <definedName name="AcctPrio_4_18_1_5">#REF!</definedName>
    <definedName name="AcctPrio_4_18_5">#REF!</definedName>
    <definedName name="AcctPrio_4_19">NA()</definedName>
    <definedName name="AcctPrio_4_19_5">#REF!</definedName>
    <definedName name="AcctPrio_4_20">NA()</definedName>
    <definedName name="AcctPrio_4_20_5">#REF!</definedName>
    <definedName name="AcctPrio_4_21">NA()</definedName>
    <definedName name="AcctPrio_4_21_1">NA()</definedName>
    <definedName name="AcctPrio_4_21_1_5">#REF!</definedName>
    <definedName name="AcctPrio_4_21_5">#REF!</definedName>
    <definedName name="AcctPrio_4_22">NA()</definedName>
    <definedName name="AcctPrio_4_22_5">#REF!</definedName>
    <definedName name="AcctPrio_4_23">NA()</definedName>
    <definedName name="AcctPrio_4_23_5">#REF!</definedName>
    <definedName name="AcctPrio_4_24">NA()</definedName>
    <definedName name="AcctPrio_4_24_5">#REF!</definedName>
    <definedName name="AcctPrio_4_25">NA()</definedName>
    <definedName name="AcctPrio_4_25_5">#REF!</definedName>
    <definedName name="AcctPrio_4_26">NA()</definedName>
    <definedName name="AcctPrio_4_26_5">#REF!</definedName>
    <definedName name="AcctPrio_4_27">NA()</definedName>
    <definedName name="AcctPrio_4_27_5">#REF!</definedName>
    <definedName name="AcctPrio_4_28">NA()</definedName>
    <definedName name="AcctPrio_4_28_5">#REF!</definedName>
    <definedName name="AcctPrio_4_5">#REF!</definedName>
    <definedName name="AcctPrio_4_6">NA()</definedName>
    <definedName name="AcctPrio_4_6_5">#REF!</definedName>
    <definedName name="AcctPrio_4_7">NA()</definedName>
    <definedName name="AcctPrio_4_7_5">#REF!</definedName>
    <definedName name="AcctPrio_4_8">NA()</definedName>
    <definedName name="AcctPrio_4_8_5">#REF!</definedName>
    <definedName name="AcctPrio_4_9">NA()</definedName>
    <definedName name="AcctPrio_4_9_5">#REF!</definedName>
    <definedName name="AcctPrio_5">#REF!</definedName>
    <definedName name="AcctPrio_5_1">NA()</definedName>
    <definedName name="AcctPrio_5_17">NA()</definedName>
    <definedName name="AcctPrio_5_17_5">#REF!</definedName>
    <definedName name="AcctPrio_5_28">NA()</definedName>
    <definedName name="AcctPrio_5_28_5">#REF!</definedName>
    <definedName name="AcctPrio_5_5">#REF!</definedName>
    <definedName name="AcctPrio_5_6">NA()</definedName>
    <definedName name="AcctPrio_5_6_5">#REF!</definedName>
    <definedName name="AcctPrio_6">NA()</definedName>
    <definedName name="AcctPrio_6_1">NA()</definedName>
    <definedName name="AcctPrio_6_1_5">#REF!</definedName>
    <definedName name="AcctPrio_6_10">NA()</definedName>
    <definedName name="AcctPrio_6_10_5">#REF!</definedName>
    <definedName name="AcctPrio_6_12">NA()</definedName>
    <definedName name="AcctPrio_6_12_5">#REF!</definedName>
    <definedName name="AcctPrio_6_13">NA()</definedName>
    <definedName name="AcctPrio_6_13_5">#REF!</definedName>
    <definedName name="AcctPrio_6_14">NA()</definedName>
    <definedName name="AcctPrio_6_14_5">#REF!</definedName>
    <definedName name="AcctPrio_6_15">NA()</definedName>
    <definedName name="AcctPrio_6_15_5">#REF!</definedName>
    <definedName name="AcctPrio_6_16">NA()</definedName>
    <definedName name="AcctPrio_6_16_5">#REF!</definedName>
    <definedName name="AcctPrio_6_17">NA()</definedName>
    <definedName name="AcctPrio_6_17_5">#REF!</definedName>
    <definedName name="AcctPrio_6_18">NA()</definedName>
    <definedName name="AcctPrio_6_18_1">NA()</definedName>
    <definedName name="AcctPrio_6_18_1_3">NA()</definedName>
    <definedName name="AcctPrio_6_18_1_3_5">#REF!</definedName>
    <definedName name="AcctPrio_6_18_1_5">#REF!</definedName>
    <definedName name="AcctPrio_6_18_5">#REF!</definedName>
    <definedName name="AcctPrio_6_19">NA()</definedName>
    <definedName name="AcctPrio_6_19_5">#REF!</definedName>
    <definedName name="AcctPrio_6_20">NA()</definedName>
    <definedName name="AcctPrio_6_20_5">#REF!</definedName>
    <definedName name="AcctPrio_6_21">NA()</definedName>
    <definedName name="AcctPrio_6_21_1">NA()</definedName>
    <definedName name="AcctPrio_6_21_1_5">#REF!</definedName>
    <definedName name="AcctPrio_6_21_5">#REF!</definedName>
    <definedName name="AcctPrio_6_22">NA()</definedName>
    <definedName name="AcctPrio_6_22_5">#REF!</definedName>
    <definedName name="AcctPrio_6_23">NA()</definedName>
    <definedName name="AcctPrio_6_23_5">#REF!</definedName>
    <definedName name="AcctPrio_6_24">NA()</definedName>
    <definedName name="AcctPrio_6_24_5">#REF!</definedName>
    <definedName name="AcctPrio_6_25">NA()</definedName>
    <definedName name="AcctPrio_6_25_5">#REF!</definedName>
    <definedName name="AcctPrio_6_26">NA()</definedName>
    <definedName name="AcctPrio_6_26_5">#REF!</definedName>
    <definedName name="AcctPrio_6_27">NA()</definedName>
    <definedName name="AcctPrio_6_27_5">#REF!</definedName>
    <definedName name="AcctPrio_6_28">NA()</definedName>
    <definedName name="AcctPrio_6_28_5">#REF!</definedName>
    <definedName name="AcctPrio_6_5">#REF!</definedName>
    <definedName name="AcctPrio_6_6">NA()</definedName>
    <definedName name="AcctPrio_6_6_5">#REF!</definedName>
    <definedName name="AcctPrio_6_7">NA()</definedName>
    <definedName name="AcctPrio_6_7_5">#REF!</definedName>
    <definedName name="AcctPrio_6_8">NA()</definedName>
    <definedName name="AcctPrio_6_8_5">#REF!</definedName>
    <definedName name="AcctPrio_6_9">NA()</definedName>
    <definedName name="AcctPrio_6_9_1">NA()</definedName>
    <definedName name="AcctPrio_6_9_1_1">NA()</definedName>
    <definedName name="AcctPrio_6_9_1_1_5">#REF!</definedName>
    <definedName name="AcctPrio_6_9_1_5">#REF!</definedName>
    <definedName name="AcctPrio_6_9_5">#REF!</definedName>
    <definedName name="AcctPrio_7">NA()</definedName>
    <definedName name="AcctPrio_7_5">#REF!</definedName>
    <definedName name="AcctPrio_8">NA()</definedName>
    <definedName name="AcctPrio_8_5">#REF!</definedName>
    <definedName name="AcctPrio_9">NA()</definedName>
    <definedName name="AcctPrio_9_5">#REF!</definedName>
    <definedName name="AcctPrio_Text">NA()</definedName>
    <definedName name="AcctPrio_Text_1">NA()</definedName>
    <definedName name="AcctPrio_Text_1_3">NA()</definedName>
    <definedName name="AcctPrio_Text_1_3_5">#REF!</definedName>
    <definedName name="AcctPrio_Text_1_5">#REF!</definedName>
    <definedName name="AcctPrio_Text_10">NA()</definedName>
    <definedName name="AcctPrio_Text_10_1">NA()</definedName>
    <definedName name="AcctPrio_Text_10_1_5">#REF!</definedName>
    <definedName name="AcctPrio_Text_10_17">NA()</definedName>
    <definedName name="AcctPrio_Text_10_17_5">#REF!</definedName>
    <definedName name="AcctPrio_Text_10_5">#REF!</definedName>
    <definedName name="AcctPrio_Text_11">NA()</definedName>
    <definedName name="AcctPrio_Text_11_1">NA()</definedName>
    <definedName name="AcctPrio_Text_11_1_5">#REF!</definedName>
    <definedName name="AcctPrio_Text_11_5">#REF!</definedName>
    <definedName name="AcctPrio_Text_12">NA()</definedName>
    <definedName name="AcctPrio_Text_12_5">#REF!</definedName>
    <definedName name="AcctPrio_Text_13">NA()</definedName>
    <definedName name="AcctPrio_Text_13_5">#REF!</definedName>
    <definedName name="AcctPrio_Text_14">NA()</definedName>
    <definedName name="AcctPrio_Text_14_5">#REF!</definedName>
    <definedName name="AcctPrio_Text_15">NA()</definedName>
    <definedName name="AcctPrio_Text_15_1">NA()</definedName>
    <definedName name="AcctPrio_Text_15_1_5">#REF!</definedName>
    <definedName name="AcctPrio_Text_15_5">#REF!</definedName>
    <definedName name="AcctPrio_Text_16">NA()</definedName>
    <definedName name="AcctPrio_Text_16_1">NA()</definedName>
    <definedName name="AcctPrio_Text_16_1_5">#REF!</definedName>
    <definedName name="AcctPrio_Text_16_5">#REF!</definedName>
    <definedName name="AcctPrio_Text_17">NA()</definedName>
    <definedName name="AcctPrio_Text_17_1">NA()</definedName>
    <definedName name="AcctPrio_Text_17_1_5">#REF!</definedName>
    <definedName name="AcctPrio_Text_17_5">#REF!</definedName>
    <definedName name="AcctPrio_Text_18">NA()</definedName>
    <definedName name="AcctPrio_Text_18_1">NA()</definedName>
    <definedName name="AcctPrio_Text_18_1_3">NA()</definedName>
    <definedName name="AcctPrio_Text_18_1_3_5">#REF!</definedName>
    <definedName name="AcctPrio_Text_18_1_5">#REF!</definedName>
    <definedName name="AcctPrio_Text_18_5">#REF!</definedName>
    <definedName name="AcctPrio_Text_19">NA()</definedName>
    <definedName name="AcctPrio_Text_19_1">NA()</definedName>
    <definedName name="AcctPrio_Text_19_1_5">#REF!</definedName>
    <definedName name="AcctPrio_Text_19_5">#REF!</definedName>
    <definedName name="AcctPrio_Text_2">NA()</definedName>
    <definedName name="AcctPrio_Text_2_5">#REF!</definedName>
    <definedName name="AcctPrio_Text_20">NA()</definedName>
    <definedName name="AcctPrio_Text_20_1">NA()</definedName>
    <definedName name="AcctPrio_Text_20_1_5">#REF!</definedName>
    <definedName name="AcctPrio_Text_20_5">#REF!</definedName>
    <definedName name="AcctPrio_Text_21">NA()</definedName>
    <definedName name="AcctPrio_Text_21_1">NA()</definedName>
    <definedName name="AcctPrio_Text_21_1_1">NA()</definedName>
    <definedName name="AcctPrio_Text_21_1_1_5">#REF!</definedName>
    <definedName name="AcctPrio_Text_21_1_5">#REF!</definedName>
    <definedName name="AcctPrio_Text_21_5">#REF!</definedName>
    <definedName name="AcctPrio_Text_22">NA()</definedName>
    <definedName name="AcctPrio_Text_22_5">#REF!</definedName>
    <definedName name="AcctPrio_Text_23">NA()</definedName>
    <definedName name="AcctPrio_Text_23_5">#REF!</definedName>
    <definedName name="AcctPrio_Text_24">NA()</definedName>
    <definedName name="AcctPrio_Text_24_5">#REF!</definedName>
    <definedName name="AcctPrio_Text_25">NA()</definedName>
    <definedName name="AcctPrio_Text_25_5">#REF!</definedName>
    <definedName name="AcctPrio_Text_26">NA()</definedName>
    <definedName name="AcctPrio_Text_26_1">NA()</definedName>
    <definedName name="AcctPrio_Text_26_1_5">#REF!</definedName>
    <definedName name="AcctPrio_Text_26_5">#REF!</definedName>
    <definedName name="AcctPrio_Text_27">NA()</definedName>
    <definedName name="AcctPrio_Text_27_1">NA()</definedName>
    <definedName name="AcctPrio_Text_27_1_5">#REF!</definedName>
    <definedName name="AcctPrio_Text_27_5">#REF!</definedName>
    <definedName name="AcctPrio_Text_28">NA()</definedName>
    <definedName name="AcctPrio_Text_28_1">NA()</definedName>
    <definedName name="AcctPrio_Text_28_1_5">#REF!</definedName>
    <definedName name="AcctPrio_Text_28_5">#REF!</definedName>
    <definedName name="AcctPrio_Text_29">NA()</definedName>
    <definedName name="AcctPrio_Text_29_5">#REF!</definedName>
    <definedName name="AcctPrio_Text_3">NA()</definedName>
    <definedName name="AcctPrio_Text_3_5">#REF!</definedName>
    <definedName name="AcctPrio_Text_4">NA()</definedName>
    <definedName name="AcctPrio_Text_4_1">NA()</definedName>
    <definedName name="AcctPrio_Text_4_1_1">NA()</definedName>
    <definedName name="AcctPrio_Text_4_1_1_1">NA()</definedName>
    <definedName name="AcctPrio_Text_4_1_1_1_1">NA()</definedName>
    <definedName name="AcctPrio_Text_4_1_1_1_1_1">NA()</definedName>
    <definedName name="AcctPrio_Text_4_1_1_1_1_1_5">#REF!</definedName>
    <definedName name="AcctPrio_Text_4_1_1_1_1_3">NA()</definedName>
    <definedName name="AcctPrio_Text_4_1_1_1_1_3_5">#REF!</definedName>
    <definedName name="AcctPrio_Text_4_1_1_1_1_5">#REF!</definedName>
    <definedName name="AcctPrio_Text_4_1_1_1_3">NA()</definedName>
    <definedName name="AcctPrio_Text_4_1_1_1_3_1">NA()</definedName>
    <definedName name="AcctPrio_Text_4_1_1_1_3_1_5">#REF!</definedName>
    <definedName name="AcctPrio_Text_4_1_1_1_3_5">#REF!</definedName>
    <definedName name="AcctPrio_Text_4_1_1_1_5">#REF!</definedName>
    <definedName name="AcctPrio_Text_4_1_1_3">NA()</definedName>
    <definedName name="AcctPrio_Text_4_1_1_3_5">#REF!</definedName>
    <definedName name="AcctPrio_Text_4_1_1_5">#REF!</definedName>
    <definedName name="AcctPrio_Text_4_1_17">NA()</definedName>
    <definedName name="AcctPrio_Text_4_1_17_3">NA()</definedName>
    <definedName name="AcctPrio_Text_4_1_17_3_5">#REF!</definedName>
    <definedName name="AcctPrio_Text_4_1_17_5">#REF!</definedName>
    <definedName name="AcctPrio_Text_4_1_28">NA()</definedName>
    <definedName name="AcctPrio_Text_4_1_28_5">#REF!</definedName>
    <definedName name="AcctPrio_Text_4_1_3">NA()</definedName>
    <definedName name="AcctPrio_Text_4_1_3_5">#REF!</definedName>
    <definedName name="AcctPrio_Text_4_1_5">#REF!</definedName>
    <definedName name="AcctPrio_Text_4_1_6">NA()</definedName>
    <definedName name="AcctPrio_Text_4_1_6_5">#REF!</definedName>
    <definedName name="AcctPrio_Text_4_10">NA()</definedName>
    <definedName name="AcctPrio_Text_4_10_5">#REF!</definedName>
    <definedName name="AcctPrio_Text_4_12">NA()</definedName>
    <definedName name="AcctPrio_Text_4_12_5">#REF!</definedName>
    <definedName name="AcctPrio_Text_4_13">NA()</definedName>
    <definedName name="AcctPrio_Text_4_13_5">#REF!</definedName>
    <definedName name="AcctPrio_Text_4_14">NA()</definedName>
    <definedName name="AcctPrio_Text_4_14_5">#REF!</definedName>
    <definedName name="AcctPrio_Text_4_15">NA()</definedName>
    <definedName name="AcctPrio_Text_4_15_5">#REF!</definedName>
    <definedName name="AcctPrio_Text_4_16">NA()</definedName>
    <definedName name="AcctPrio_Text_4_16_5">#REF!</definedName>
    <definedName name="AcctPrio_Text_4_17">NA()</definedName>
    <definedName name="AcctPrio_Text_4_17_5">#REF!</definedName>
    <definedName name="AcctPrio_Text_4_18">NA()</definedName>
    <definedName name="AcctPrio_Text_4_18_1">NA()</definedName>
    <definedName name="AcctPrio_Text_4_18_1_3">NA()</definedName>
    <definedName name="AcctPrio_Text_4_18_1_3_5">#REF!</definedName>
    <definedName name="AcctPrio_Text_4_18_1_5">#REF!</definedName>
    <definedName name="AcctPrio_Text_4_18_5">#REF!</definedName>
    <definedName name="AcctPrio_Text_4_19">NA()</definedName>
    <definedName name="AcctPrio_Text_4_19_5">#REF!</definedName>
    <definedName name="AcctPrio_Text_4_20">NA()</definedName>
    <definedName name="AcctPrio_Text_4_20_5">#REF!</definedName>
    <definedName name="AcctPrio_Text_4_21">NA()</definedName>
    <definedName name="AcctPrio_Text_4_21_1">NA()</definedName>
    <definedName name="AcctPrio_Text_4_21_1_5">#REF!</definedName>
    <definedName name="AcctPrio_Text_4_21_5">#REF!</definedName>
    <definedName name="AcctPrio_Text_4_22">NA()</definedName>
    <definedName name="AcctPrio_Text_4_22_5">#REF!</definedName>
    <definedName name="AcctPrio_Text_4_23">NA()</definedName>
    <definedName name="AcctPrio_Text_4_23_5">#REF!</definedName>
    <definedName name="AcctPrio_Text_4_24">NA()</definedName>
    <definedName name="AcctPrio_Text_4_24_5">#REF!</definedName>
    <definedName name="AcctPrio_Text_4_25">NA()</definedName>
    <definedName name="AcctPrio_Text_4_25_5">#REF!</definedName>
    <definedName name="AcctPrio_Text_4_26">NA()</definedName>
    <definedName name="AcctPrio_Text_4_26_5">#REF!</definedName>
    <definedName name="AcctPrio_Text_4_27">NA()</definedName>
    <definedName name="AcctPrio_Text_4_27_5">#REF!</definedName>
    <definedName name="AcctPrio_Text_4_28">NA()</definedName>
    <definedName name="AcctPrio_Text_4_28_5">#REF!</definedName>
    <definedName name="AcctPrio_Text_4_5">#REF!</definedName>
    <definedName name="AcctPrio_Text_4_6">NA()</definedName>
    <definedName name="AcctPrio_Text_4_6_5">#REF!</definedName>
    <definedName name="AcctPrio_Text_4_7">NA()</definedName>
    <definedName name="AcctPrio_Text_4_7_5">#REF!</definedName>
    <definedName name="AcctPrio_Text_4_8">NA()</definedName>
    <definedName name="AcctPrio_Text_4_8_5">#REF!</definedName>
    <definedName name="AcctPrio_Text_4_9">NA()</definedName>
    <definedName name="AcctPrio_Text_4_9_5">#REF!</definedName>
    <definedName name="AcctPrio_Text_5">#REF!</definedName>
    <definedName name="AcctPrio_Text_5_1">NA()</definedName>
    <definedName name="AcctPrio_Text_5_17">NA()</definedName>
    <definedName name="AcctPrio_Text_5_17_5">#REF!</definedName>
    <definedName name="AcctPrio_Text_5_28">NA()</definedName>
    <definedName name="AcctPrio_Text_5_28_5">#REF!</definedName>
    <definedName name="AcctPrio_Text_5_5">#REF!</definedName>
    <definedName name="AcctPrio_Text_5_6">NA()</definedName>
    <definedName name="AcctPrio_Text_5_6_5">#REF!</definedName>
    <definedName name="AcctPrio_Text_6">NA()</definedName>
    <definedName name="AcctPrio_Text_6_1">NA()</definedName>
    <definedName name="AcctPrio_Text_6_1_5">#REF!</definedName>
    <definedName name="AcctPrio_Text_6_10">NA()</definedName>
    <definedName name="AcctPrio_Text_6_10_5">#REF!</definedName>
    <definedName name="AcctPrio_Text_6_12">NA()</definedName>
    <definedName name="AcctPrio_Text_6_12_5">#REF!</definedName>
    <definedName name="AcctPrio_Text_6_13">NA()</definedName>
    <definedName name="AcctPrio_Text_6_13_5">#REF!</definedName>
    <definedName name="AcctPrio_Text_6_14">NA()</definedName>
    <definedName name="AcctPrio_Text_6_14_5">#REF!</definedName>
    <definedName name="AcctPrio_Text_6_15">NA()</definedName>
    <definedName name="AcctPrio_Text_6_15_5">#REF!</definedName>
    <definedName name="AcctPrio_Text_6_16">NA()</definedName>
    <definedName name="AcctPrio_Text_6_16_5">#REF!</definedName>
    <definedName name="AcctPrio_Text_6_17">NA()</definedName>
    <definedName name="AcctPrio_Text_6_17_5">#REF!</definedName>
    <definedName name="AcctPrio_Text_6_18">NA()</definedName>
    <definedName name="AcctPrio_Text_6_18_1">NA()</definedName>
    <definedName name="AcctPrio_Text_6_18_1_3">NA()</definedName>
    <definedName name="AcctPrio_Text_6_18_1_3_5">#REF!</definedName>
    <definedName name="AcctPrio_Text_6_18_1_5">#REF!</definedName>
    <definedName name="AcctPrio_Text_6_18_5">#REF!</definedName>
    <definedName name="AcctPrio_Text_6_19">NA()</definedName>
    <definedName name="AcctPrio_Text_6_19_5">#REF!</definedName>
    <definedName name="AcctPrio_Text_6_20">NA()</definedName>
    <definedName name="AcctPrio_Text_6_20_5">#REF!</definedName>
    <definedName name="AcctPrio_Text_6_21">NA()</definedName>
    <definedName name="AcctPrio_Text_6_21_1">NA()</definedName>
    <definedName name="AcctPrio_Text_6_21_1_5">#REF!</definedName>
    <definedName name="AcctPrio_Text_6_21_5">#REF!</definedName>
    <definedName name="AcctPrio_Text_6_22">NA()</definedName>
    <definedName name="AcctPrio_Text_6_22_5">#REF!</definedName>
    <definedName name="AcctPrio_Text_6_23">NA()</definedName>
    <definedName name="AcctPrio_Text_6_23_5">#REF!</definedName>
    <definedName name="AcctPrio_Text_6_24">NA()</definedName>
    <definedName name="AcctPrio_Text_6_24_5">#REF!</definedName>
    <definedName name="AcctPrio_Text_6_25">NA()</definedName>
    <definedName name="AcctPrio_Text_6_25_5">#REF!</definedName>
    <definedName name="AcctPrio_Text_6_26">NA()</definedName>
    <definedName name="AcctPrio_Text_6_26_5">#REF!</definedName>
    <definedName name="AcctPrio_Text_6_27">NA()</definedName>
    <definedName name="AcctPrio_Text_6_27_5">#REF!</definedName>
    <definedName name="AcctPrio_Text_6_28">NA()</definedName>
    <definedName name="AcctPrio_Text_6_28_5">#REF!</definedName>
    <definedName name="AcctPrio_Text_6_5">#REF!</definedName>
    <definedName name="AcctPrio_Text_6_6">NA()</definedName>
    <definedName name="AcctPrio_Text_6_6_5">#REF!</definedName>
    <definedName name="AcctPrio_Text_6_7">NA()</definedName>
    <definedName name="AcctPrio_Text_6_7_5">#REF!</definedName>
    <definedName name="AcctPrio_Text_6_8">NA()</definedName>
    <definedName name="AcctPrio_Text_6_8_5">#REF!</definedName>
    <definedName name="AcctPrio_Text_6_9">NA()</definedName>
    <definedName name="AcctPrio_Text_6_9_1">NA()</definedName>
    <definedName name="AcctPrio_Text_6_9_1_1">NA()</definedName>
    <definedName name="AcctPrio_Text_6_9_1_1_5">#REF!</definedName>
    <definedName name="AcctPrio_Text_6_9_1_5">#REF!</definedName>
    <definedName name="AcctPrio_Text_6_9_5">#REF!</definedName>
    <definedName name="AcctPrio_Text_7">NA()</definedName>
    <definedName name="AcctPrio_Text_7_5">#REF!</definedName>
    <definedName name="AcctPrio_Text_8">NA()</definedName>
    <definedName name="AcctPrio_Text_8_5">#REF!</definedName>
    <definedName name="AcctPrio_Text_9">NA()</definedName>
    <definedName name="AcctPrio_Text_9_5">#REF!</definedName>
    <definedName name="acon">NA()</definedName>
    <definedName name="acon_5">#REF!</definedName>
    <definedName name="Acr">[7]Crackwidth!$C$14</definedName>
    <definedName name="ACRBB">[7]Crackwidth!$C$25</definedName>
    <definedName name="acs">#REF!</definedName>
    <definedName name="ACT">#REF!</definedName>
    <definedName name="ACT_14">#REF!</definedName>
    <definedName name="ActCode">NA()</definedName>
    <definedName name="ActCode_5">#REF!</definedName>
    <definedName name="ActPilot">NA()</definedName>
    <definedName name="ActPilot_1">NA()</definedName>
    <definedName name="ActPilot_1_5">#REF!</definedName>
    <definedName name="ActPilot_5">#REF!</definedName>
    <definedName name="ActSignal">NA()</definedName>
    <definedName name="ActSignal_5">#REF!</definedName>
    <definedName name="ActType">NA()</definedName>
    <definedName name="ActType_5">#REF!</definedName>
    <definedName name="ActualCv">NA()</definedName>
    <definedName name="ActualCv_1">NA()</definedName>
    <definedName name="ActualCv_1_5">#REF!</definedName>
    <definedName name="ActualCv_5">#REF!</definedName>
    <definedName name="ActualPress">NA()</definedName>
    <definedName name="ActualPress_1">NA()</definedName>
    <definedName name="ActualPress_1_5">#REF!</definedName>
    <definedName name="ActualPress_5">#REF!</definedName>
    <definedName name="Actuals">#REF!</definedName>
    <definedName name="Actuals_SWF">#REF!</definedName>
    <definedName name="acv">NA()</definedName>
    <definedName name="acv_1">NA()</definedName>
    <definedName name="acv_1_5">#REF!</definedName>
    <definedName name="acv_5">#REF!</definedName>
    <definedName name="AD">#REF!</definedName>
    <definedName name="adagshdhj" hidden="1">{#N/A,#N/A,TRUE,"Front";#N/A,#N/A,TRUE,"Simple Letter";#N/A,#N/A,TRUE,"Inside";#N/A,#N/A,TRUE,"Contents";#N/A,#N/A,TRUE,"Basis";#N/A,#N/A,TRUE,"Inclusions";#N/A,#N/A,TRUE,"Exclusions";#N/A,#N/A,TRUE,"Areas";#N/A,#N/A,TRUE,"Summary";#N/A,#N/A,TRUE,"Detail"}</definedName>
    <definedName name="add_BOQ" hidden="1">{#N/A,#N/A,TRUE,"Front";#N/A,#N/A,TRUE,"Simple Letter";#N/A,#N/A,TRUE,"Inside";#N/A,#N/A,TRUE,"Contents";#N/A,#N/A,TRUE,"Basis";#N/A,#N/A,TRUE,"Inclusions";#N/A,#N/A,TRUE,"Exclusions";#N/A,#N/A,TRUE,"Areas";#N/A,#N/A,TRUE,"Summary";#N/A,#N/A,TRUE,"Detail"}</definedName>
    <definedName name="Address">#REF!</definedName>
    <definedName name="adhesive">#REF!</definedName>
    <definedName name="aditya" hidden="1">{#N/A,#N/A,TRUE,"Front";#N/A,#N/A,TRUE,"Simple Letter";#N/A,#N/A,TRUE,"Inside";#N/A,#N/A,TRUE,"Contents";#N/A,#N/A,TRUE,"Basis";#N/A,#N/A,TRUE,"Inclusions";#N/A,#N/A,TRUE,"Exclusions";#N/A,#N/A,TRUE,"Areas";#N/A,#N/A,TRUE,"Summary";#N/A,#N/A,TRUE,"Detail"}</definedName>
    <definedName name="Adjustable_Span_ESOSI">#REF!</definedName>
    <definedName name="Adjustable_Telescopic_prop">#REF!</definedName>
    <definedName name="admixture">#REF!</definedName>
    <definedName name="admn_off">#REF!</definedName>
    <definedName name="admn_site">#REF!</definedName>
    <definedName name="ads">#REF!</definedName>
    <definedName name="ADVSV">#REF!</definedName>
    <definedName name="AE">#REF!</definedName>
    <definedName name="AE_1">#REF!</definedName>
    <definedName name="AE_1_1">NA()</definedName>
    <definedName name="AE_1_1_1">NA()</definedName>
    <definedName name="AE_1_8">NA()</definedName>
    <definedName name="ae_14">#REF!</definedName>
    <definedName name="AE_2">NA()</definedName>
    <definedName name="AE_2_1">NA()</definedName>
    <definedName name="AE_3">#REF!</definedName>
    <definedName name="AE_3_1">NA()</definedName>
    <definedName name="AE_3_8">NA()</definedName>
    <definedName name="AE_4">#REF!</definedName>
    <definedName name="AE_4_1">NA()</definedName>
    <definedName name="AE_4_1_1">NA()</definedName>
    <definedName name="AE_4_8">NA()</definedName>
    <definedName name="AE_5">#REF!</definedName>
    <definedName name="AE_5_1">NA()</definedName>
    <definedName name="AE_5_1_1">NA()</definedName>
    <definedName name="AE_6">#REF!</definedName>
    <definedName name="AE_6_1">NA()</definedName>
    <definedName name="AE_6_1_1">NA()</definedName>
    <definedName name="AE_7">#REF!</definedName>
    <definedName name="AE_7_1">NA()</definedName>
    <definedName name="AE_8">NA()</definedName>
    <definedName name="AF">#REF!</definedName>
    <definedName name="AFNFG">#REF!</definedName>
    <definedName name="Ag">#REF!</definedName>
    <definedName name="Ag___0">#REF!</definedName>
    <definedName name="Ag___13">#REF!</definedName>
    <definedName name="aggggggggggggg">#REF!</definedName>
    <definedName name="aggr10">#REF!</definedName>
    <definedName name="aggr11">#REF!</definedName>
    <definedName name="aggr13">#REF!</definedName>
    <definedName name="aggr2">#REF!</definedName>
    <definedName name="aggr2.36">#REF!</definedName>
    <definedName name="aggr20">#REF!</definedName>
    <definedName name="aggr22">#REF!</definedName>
    <definedName name="aggr26">#REF!</definedName>
    <definedName name="aggr40">#REF!</definedName>
    <definedName name="aggr53">#REF!</definedName>
    <definedName name="aggr6">#REF!</definedName>
    <definedName name="aggr63">#REF!</definedName>
    <definedName name="AGGR7">#REF!</definedName>
    <definedName name="AgreedTo">#REF!</definedName>
    <definedName name="AgreedTo_1">#REF!</definedName>
    <definedName name="AgreedTo_1_1">NA()</definedName>
    <definedName name="AgreedTo_1_1_1">NA()</definedName>
    <definedName name="AgreedTo_1_8">NA()</definedName>
    <definedName name="AgreedTo_2">NA()</definedName>
    <definedName name="AgreedTo_2_1">NA()</definedName>
    <definedName name="AgreedTo_3">#REF!</definedName>
    <definedName name="AgreedTo_3_1">NA()</definedName>
    <definedName name="AgreedTo_3_8">NA()</definedName>
    <definedName name="AgreedTo_4">#REF!</definedName>
    <definedName name="AgreedTo_4_1">NA()</definedName>
    <definedName name="AgreedTo_4_1_1">NA()</definedName>
    <definedName name="AgreedTo_4_8">NA()</definedName>
    <definedName name="AgreedTo_5">#REF!</definedName>
    <definedName name="AgreedTo_5_1">NA()</definedName>
    <definedName name="AgreedTo_5_1_1">NA()</definedName>
    <definedName name="AgreedTo_6">#REF!</definedName>
    <definedName name="AgreedTo_6_1">NA()</definedName>
    <definedName name="AgreedTo_6_1_1">NA()</definedName>
    <definedName name="AgreedTo_7">#REF!</definedName>
    <definedName name="AgreedTo_7_1">NA()</definedName>
    <definedName name="AgreedTo_8">NA()</definedName>
    <definedName name="agrr10">#REF!</definedName>
    <definedName name="agrr63mm">#REF!</definedName>
    <definedName name="AH">#REF!</definedName>
    <definedName name="ahu">NA()</definedName>
    <definedName name="ahu_1">NA()</definedName>
    <definedName name="ahu_1_5">#REF!</definedName>
    <definedName name="ahu_10">NA()</definedName>
    <definedName name="ahu_10_5">#REF!</definedName>
    <definedName name="ahu_12">NA()</definedName>
    <definedName name="ahu_12_5">#REF!</definedName>
    <definedName name="ahu_13">NA()</definedName>
    <definedName name="ahu_13_5">#REF!</definedName>
    <definedName name="ahu_14">NA()</definedName>
    <definedName name="ahu_14_5">#REF!</definedName>
    <definedName name="ahu_15">NA()</definedName>
    <definedName name="ahu_15_5">#REF!</definedName>
    <definedName name="ahu_16">NA()</definedName>
    <definedName name="ahu_16_5">#REF!</definedName>
    <definedName name="ahu_17">NA()</definedName>
    <definedName name="ahu_17_5">#REF!</definedName>
    <definedName name="ahu_18">NA()</definedName>
    <definedName name="ahu_18_5">#REF!</definedName>
    <definedName name="ahu_19">NA()</definedName>
    <definedName name="ahu_19_5">#REF!</definedName>
    <definedName name="ahu_20">NA()</definedName>
    <definedName name="ahu_20_5">#REF!</definedName>
    <definedName name="ahu_21">NA()</definedName>
    <definedName name="ahu_21_5">#REF!</definedName>
    <definedName name="ahu_22">NA()</definedName>
    <definedName name="ahu_22_5">#REF!</definedName>
    <definedName name="ahu_23">NA()</definedName>
    <definedName name="ahu_23_1">NA()</definedName>
    <definedName name="ahu_23_1_5">#REF!</definedName>
    <definedName name="ahu_23_17">NA()</definedName>
    <definedName name="ahu_23_17_5">#REF!</definedName>
    <definedName name="ahu_23_28">NA()</definedName>
    <definedName name="ahu_23_28_5">#REF!</definedName>
    <definedName name="ahu_23_5">#REF!</definedName>
    <definedName name="ahu_23_6">NA()</definedName>
    <definedName name="ahu_23_6_5">#REF!</definedName>
    <definedName name="ahu_24">NA()</definedName>
    <definedName name="ahu_24_5">#REF!</definedName>
    <definedName name="ahu_25">NA()</definedName>
    <definedName name="ahu_25_5">#REF!</definedName>
    <definedName name="ahu_26">NA()</definedName>
    <definedName name="ahu_26_5">#REF!</definedName>
    <definedName name="ahu_27">NA()</definedName>
    <definedName name="ahu_27_5">#REF!</definedName>
    <definedName name="ahu_28">NA()</definedName>
    <definedName name="ahu_28_5">#REF!</definedName>
    <definedName name="ahu_5">#REF!</definedName>
    <definedName name="ahu_6">NA()</definedName>
    <definedName name="ahu_6_5">#REF!</definedName>
    <definedName name="ahu_7">NA()</definedName>
    <definedName name="ahu_7_5">#REF!</definedName>
    <definedName name="ahu_8">NA()</definedName>
    <definedName name="ahu_8_5">#REF!</definedName>
    <definedName name="ahu_9">NA()</definedName>
    <definedName name="ahu_9_1">NA()</definedName>
    <definedName name="ahu_9_1_1">NA()</definedName>
    <definedName name="ahu_9_1_1_5">#REF!</definedName>
    <definedName name="ahu_9_1_5">#REF!</definedName>
    <definedName name="ahu_9_5">#REF!</definedName>
    <definedName name="ai_1">#REF!</definedName>
    <definedName name="ai_10">#REF!</definedName>
    <definedName name="ai_11">#REF!</definedName>
    <definedName name="ai_12">#REF!</definedName>
    <definedName name="ai_13">#REF!</definedName>
    <definedName name="ai_14">#REF!</definedName>
    <definedName name="ai_15">#REF!</definedName>
    <definedName name="ai_16">#REF!</definedName>
    <definedName name="ai_17">#REF!</definedName>
    <definedName name="ai_18">#REF!</definedName>
    <definedName name="ai_19">#REF!</definedName>
    <definedName name="ai_2">#REF!</definedName>
    <definedName name="ai_20">#REF!</definedName>
    <definedName name="ai_21">#REF!</definedName>
    <definedName name="ai_22">#REF!</definedName>
    <definedName name="ai_3">#REF!</definedName>
    <definedName name="ai_4">#REF!</definedName>
    <definedName name="ai_5">#REF!</definedName>
    <definedName name="ai_6">#REF!</definedName>
    <definedName name="ai_7">#REF!</definedName>
    <definedName name="ai_8">#REF!</definedName>
    <definedName name="ai_9">#REF!</definedName>
    <definedName name="aircom">#REF!</definedName>
    <definedName name="ajajaajajaj">#REF!</definedName>
    <definedName name="ajajajajajaajajajaajajaaj">#REF!</definedName>
    <definedName name="alalalalalaal">#REF!</definedName>
    <definedName name="Alarm_current_Amp_In_Minutes">#REF!</definedName>
    <definedName name="Aliganj">#REF!</definedName>
    <definedName name="Allahabad">#REF!</definedName>
    <definedName name="alloysteel">#REF!</definedName>
    <definedName name="alpha">#REF!</definedName>
    <definedName name="ALPIN">#N/A</definedName>
    <definedName name="ALPJYOU">#N/A</definedName>
    <definedName name="ALPTOI">#N/A</definedName>
    <definedName name="alround">#REF!</definedName>
    <definedName name="alround_1">#REF!</definedName>
    <definedName name="alround_10">#REF!</definedName>
    <definedName name="alround_11">#REF!</definedName>
    <definedName name="alround_14">#REF!</definedName>
    <definedName name="alround_4">#REF!</definedName>
    <definedName name="alround_8">#REF!</definedName>
    <definedName name="alround_9">#REF!</definedName>
    <definedName name="Alw">#REF!</definedName>
    <definedName name="ama">#REF!</definedName>
    <definedName name="amb">#REF!</definedName>
    <definedName name="Amen">13/100</definedName>
    <definedName name="AMIT">#REF!</definedName>
    <definedName name="an">#REF!</definedName>
    <definedName name="Ana">#REF!</definedName>
    <definedName name="anil">#REF!</definedName>
    <definedName name="ans2hp2">#REF!</definedName>
    <definedName name="anscount" hidden="1">1</definedName>
    <definedName name="anshp">#REF!</definedName>
    <definedName name="anu">#REF!</definedName>
    <definedName name="AO">#REF!</definedName>
    <definedName name="ao_1">#REF!</definedName>
    <definedName name="ao_10">#REF!</definedName>
    <definedName name="ao_11">#REF!</definedName>
    <definedName name="ao_2">#REF!</definedName>
    <definedName name="ao_3">#REF!</definedName>
    <definedName name="ao_4">#REF!</definedName>
    <definedName name="ao_5">#REF!</definedName>
    <definedName name="ao_6">#REF!</definedName>
    <definedName name="ao_7">#REF!</definedName>
    <definedName name="ao_8">#REF!</definedName>
    <definedName name="ao_9">#REF!</definedName>
    <definedName name="app_type">#REF!</definedName>
    <definedName name="app_type_1">#REF!</definedName>
    <definedName name="app_type_1_1">NA()</definedName>
    <definedName name="app_type_1_1_1">NA()</definedName>
    <definedName name="app_type_1_8">NA()</definedName>
    <definedName name="app_type_2">NA()</definedName>
    <definedName name="app_type_2_1">NA()</definedName>
    <definedName name="app_type_3">#REF!</definedName>
    <definedName name="app_type_3_1">NA()</definedName>
    <definedName name="app_type_3_8">NA()</definedName>
    <definedName name="app_type_4">#REF!</definedName>
    <definedName name="app_type_4_1">NA()</definedName>
    <definedName name="app_type_4_1_1">NA()</definedName>
    <definedName name="app_type_4_8">NA()</definedName>
    <definedName name="app_type_5">#REF!</definedName>
    <definedName name="app_type_5_1">NA()</definedName>
    <definedName name="app_type_5_1_1">NA()</definedName>
    <definedName name="app_type_6">#REF!</definedName>
    <definedName name="app_type_6_1">NA()</definedName>
    <definedName name="app_type_6_1_1">NA()</definedName>
    <definedName name="app_type_7">#REF!</definedName>
    <definedName name="app_type_7_1">NA()</definedName>
    <definedName name="app_type_8">NA()</definedName>
    <definedName name="Appliance_discount">NA()</definedName>
    <definedName name="Appliance_discount_1">NA()</definedName>
    <definedName name="approachslab">#REF!</definedName>
    <definedName name="AQ">#REF!</definedName>
    <definedName name="AS">#REF!</definedName>
    <definedName name="AS2DocOpenMode" hidden="1">"AS2DocumentEdit"</definedName>
    <definedName name="ASA">#REF!</definedName>
    <definedName name="ASBB">[7]DESIGN!$G$74</definedName>
    <definedName name="ASBT">[7]DESIGN!$G$96</definedName>
    <definedName name="asd">#REF!</definedName>
    <definedName name="ASDASDASD">#REF!</definedName>
    <definedName name="asdff">#REF!</definedName>
    <definedName name="asdfs" hidden="1">[4]Cash2!$G$16:$G$31</definedName>
    <definedName name="ase">#REF!</definedName>
    <definedName name="asf">NA()</definedName>
    <definedName name="asf_1">NA()</definedName>
    <definedName name="asf_1_5">#REF!</definedName>
    <definedName name="asf_5">#REF!</definedName>
    <definedName name="ASHOKA">#REF!</definedName>
    <definedName name="asq" hidden="1">#REF!</definedName>
    <definedName name="assdcx">#REF!</definedName>
    <definedName name="assdf" hidden="1">[4]Z!$T$179:$AH$179</definedName>
    <definedName name="ATATAT">#REF!</definedName>
    <definedName name="atul">{"Book1","Bhabuwa to Pindarn Link  Road (1 Km).xls","Gujeni  Link  Road (2 Km).xls"}</definedName>
    <definedName name="auxlp">NA()</definedName>
    <definedName name="auxlp_18">NA()</definedName>
    <definedName name="auxlp_18_1">NA()</definedName>
    <definedName name="auxlp_18_1_5">#REF!</definedName>
    <definedName name="auxlp_18_5">#REF!</definedName>
    <definedName name="auxlp_21">NA()</definedName>
    <definedName name="auxlp_21_5">#REF!</definedName>
    <definedName name="auxlp_5">#REF!</definedName>
    <definedName name="awa">#REF!</definedName>
    <definedName name="Awagarh">#REF!</definedName>
    <definedName name="b">#REF!</definedName>
    <definedName name="B___0">#REF!</definedName>
    <definedName name="B___13">#REF!</definedName>
    <definedName name="B_1">NA()</definedName>
    <definedName name="B_10">"'file://Deserver/design/USER/HOUSING/SIRISH/temp.xls'#$'PRECAST lightconc_II'.$K$19"</definedName>
    <definedName name="B_12">"'file://Deserver/design/USER/HOUSING/SIRISH/temp.xls'#$'PRECAST lightconc_II'.$K$19"</definedName>
    <definedName name="B_13">"'file://Deserver/design/USER/HOUSING/SIRISH/temp.xls'#$'PRECAST lightconc_II'.$K$19"</definedName>
    <definedName name="B_14">"'file://Deserver/design/USER/HOUSING/SIRISH/temp.xls'#$'PRECAST lightconc_II'.$K$19"</definedName>
    <definedName name="B_15">"'file://Deserver/design/USER/HOUSING/SIRISH/temp.xls'#$'PRECAST lightconc_II'.$K$19"</definedName>
    <definedName name="B_16">"'file://Deserver/design/USER/HOUSING/SIRISH/temp.xls'#$'PRECAST lightconc_II'.$K$19"</definedName>
    <definedName name="B_17">"'file://Deserver/design/USER/HOUSING/SIRISH/temp.xls'#$'PRECAST lightconc_II'.$K$19"</definedName>
    <definedName name="B_18">"'file://Deserver/design/USER/HOUSING/SIRISH/temp.xls'#$'PRECAST lightconc_II'.$K$19"</definedName>
    <definedName name="B_19">"'file://Deserver/design/USER/HOUSING/SIRISH/temp.xls'#$'PRECAST lightconc_II'.$K$19"</definedName>
    <definedName name="B_2">NA()</definedName>
    <definedName name="B_20">"'file://Deserver/design/USER/HOUSING/SIRISH/temp.xls'#$'PRECAST lightconc_II'.$K$19"</definedName>
    <definedName name="B_21">"'file://Deserver/design/USER/HOUSING/SIRISH/temp.xls'#$'PRECAST lightconc_II'.$K$19"</definedName>
    <definedName name="B_22">"'file://Deserver/design/USER/HOUSING/SIRISH/temp.xls'#$'PRECAST lightconc_II'.$K$19"</definedName>
    <definedName name="B_23">"'file://Deserver/design/USER/HOUSING/SIRISH/temp.xls'#$'PRECAST lightconc_II'.$K$19"</definedName>
    <definedName name="B_24">"'file://Deserver/design/USER/HOUSING/SIRISH/temp.xls'#$'PRECAST lightconc_II'.$K$19"</definedName>
    <definedName name="B_25">"'file://Deserver/design/USER/HOUSING/SIRISH/temp.xls'#$'PRECAST lightconc_II'.$K$19"</definedName>
    <definedName name="B_26">"'file://Deserver/design/USER/HOUSING/SIRISH/temp.xls'#$'PRECAST lightconc_II'.$K$19"</definedName>
    <definedName name="B_27">"'file://Deserver/design/USER/HOUSING/SIRISH/temp.xls'#$'PRECAST lightconc_II'.$K$19"</definedName>
    <definedName name="B_28">"'file://Deserver/design/USER/HOUSING/SIRISH/temp.xls'#$'PRECAST lightconc_II'.$K$19"</definedName>
    <definedName name="B_6">"'file://Deserver/design/USER/HOUSING/SIRISH/temp.xls'#$'PRECAST lightconc_II'.$K$19"</definedName>
    <definedName name="B_7">"'file://Deserver/design/USER/HOUSING/SIRISH/temp.xls'#$'PRECAST lightconc_II'.$K$19"</definedName>
    <definedName name="B_8">"'file://Deserver/design/USER/HOUSING/SIRISH/temp.xls'#$'PRECAST lightconc_II'.$K$19"</definedName>
    <definedName name="B_9">"'file://Deserver/design/USER/HOUSING/SIRISH/temp.xls'#$'PRECAST lightconc_II'.$K$19"</definedName>
    <definedName name="B_9_1">"'file://Deserver/design/USER/HOUSING/SIRISH/temp.xls'#$'PRECAST lightconc_II'.$K$19"</definedName>
    <definedName name="B_9_1_1">"'file://Deserver/design/USER/HOUSING/SIRISH/temp.xls'#$'PRECAST lightconc_II'.$K$19"</definedName>
    <definedName name="b5b">#REF!</definedName>
    <definedName name="b6fv6fd">NA()</definedName>
    <definedName name="b6fv6fd_5">#REF!</definedName>
    <definedName name="B8.15">#REF!</definedName>
    <definedName name="BA">#REF!</definedName>
    <definedName name="BA_1">NA()</definedName>
    <definedName name="BA_8">#REF!</definedName>
    <definedName name="BA_8_1">NA()</definedName>
    <definedName name="Band">NA()</definedName>
    <definedName name="bandwidth">#REF!</definedName>
    <definedName name="bargroup1" hidden="1">OR([8]SCHEDULE!$J1=0,[8]SCHEDULE!$J1=99)</definedName>
    <definedName name="bargroup2" hidden="1">OR([8]SCHEDULE!$J1=11,[8]SCHEDULE!$J1=33)</definedName>
    <definedName name="bargroup3" hidden="1">OR([8]SCHEDULE!$J1=21,[8]SCHEDULE!$J1=15,[8]SCHEDULE!$J1=13,[8]SCHEDULE!$J1=51,[8]SCHEDULE!$J1=77)</definedName>
    <definedName name="bargroup4" hidden="1">OR([8]SCHEDULE!$J1=26,[8]SCHEDULE!$J1=31)</definedName>
    <definedName name="bargroup5" hidden="1">OR([8]SCHEDULE!$J1=46,[8]SCHEDULE!$J1=25,[8]SCHEDULE!$J1=44,[8]SCHEDULE!$J1=41)</definedName>
    <definedName name="bargroup6" hidden="1">[8]SCHEDULE!$J1=67</definedName>
    <definedName name="bargroup7" hidden="1">[8]SCHEDULE!$J1=12</definedName>
    <definedName name="Barkedasalam">#REF!</definedName>
    <definedName name="Barkhedabondar">#REF!</definedName>
    <definedName name="bars">#REF!</definedName>
    <definedName name="base">#REF!</definedName>
    <definedName name="Basic_Material_List">'[9]Material Rate'!$B$5:$B$17</definedName>
    <definedName name="BasicCRMB">#REF!</definedName>
    <definedName name="BasicEmulsion">#REF!</definedName>
    <definedName name="bat">#REF!</definedName>
    <definedName name="Batonite">#REF!</definedName>
    <definedName name="BB" hidden="1">[10]analysis!#REF!</definedName>
    <definedName name="bbb">[11]Estimate!$A$1:$IU$3</definedName>
    <definedName name="bbone">#REF!</definedName>
    <definedName name="bbtwo">#REF!</definedName>
    <definedName name="BC" hidden="1">[10]analysis!#REF!</definedName>
    <definedName name="bcpcc">#REF!</definedName>
    <definedName name="BD" hidden="1">[10]analysis!#REF!</definedName>
    <definedName name="BE" hidden="1">[12]analysis!#REF!</definedName>
    <definedName name="be_1">#REF!</definedName>
    <definedName name="be_14">#REF!</definedName>
    <definedName name="Beam_Clamp">#REF!</definedName>
    <definedName name="BeamLength">#REF!</definedName>
    <definedName name="BED">#REF!</definedName>
    <definedName name="bed_block">#REF!</definedName>
    <definedName name="Beg_Bal">#REF!</definedName>
    <definedName name="beh1245632">#REF!</definedName>
    <definedName name="beh1245632_1">#REF!</definedName>
    <definedName name="beh1245632_2">#REF!</definedName>
    <definedName name="bel">#REF!</definedName>
    <definedName name="bel_14">#REF!</definedName>
    <definedName name="beldar">#REF!</definedName>
    <definedName name="BELL__Polarised">#REF!</definedName>
    <definedName name="bent">#REF!</definedName>
    <definedName name="bepressure">#REF!</definedName>
    <definedName name="beta">#REF!</definedName>
    <definedName name="BF" hidden="1">[10]analysis!#REF!</definedName>
    <definedName name="bfour">#REF!</definedName>
    <definedName name="BG" hidden="1">[10]analysis!#REF!</definedName>
    <definedName name="BH" hidden="1">[12]analysis!#REF!</definedName>
    <definedName name="bh_14">#REF!</definedName>
    <definedName name="Bhi">#REF!</definedName>
    <definedName name="Bhi_1">#REF!</definedName>
    <definedName name="Bhi_10">#REF!</definedName>
    <definedName name="Bhi_11">#REF!</definedName>
    <definedName name="Bhi_14">#REF!</definedName>
    <definedName name="Bhi_4">#REF!</definedName>
    <definedName name="Bhi_8">#REF!</definedName>
    <definedName name="Bhi_9">#REF!</definedName>
    <definedName name="Bhishti">#REF!</definedName>
    <definedName name="BHIST">#REF!</definedName>
    <definedName name="bhistee">#REF!</definedName>
    <definedName name="bhisti">#REF!</definedName>
    <definedName name="Bhisti101">#REF!</definedName>
    <definedName name="Bhuwan">#REF!</definedName>
    <definedName name="BI">[7]DATA!$E$24</definedName>
    <definedName name="bi_1">#REF!</definedName>
    <definedName name="bi_10">#REF!</definedName>
    <definedName name="bi_11">#REF!</definedName>
    <definedName name="bi_12">#REF!</definedName>
    <definedName name="bi_13">#REF!</definedName>
    <definedName name="bi_14">#REF!</definedName>
    <definedName name="bi_15">#REF!</definedName>
    <definedName name="bi_16">#REF!</definedName>
    <definedName name="bi_17">#REF!</definedName>
    <definedName name="bi_18">#REF!</definedName>
    <definedName name="bi_19">#REF!</definedName>
    <definedName name="bi_2">#REF!</definedName>
    <definedName name="bi_20">#REF!</definedName>
    <definedName name="bi_21">#REF!</definedName>
    <definedName name="bi_22">#REF!</definedName>
    <definedName name="bi_3">#REF!</definedName>
    <definedName name="bi_4">#REF!</definedName>
    <definedName name="bi_5">#REF!</definedName>
    <definedName name="bi_6">#REF!</definedName>
    <definedName name="bi_7">#REF!</definedName>
    <definedName name="bi_8">#REF!</definedName>
    <definedName name="bi_9">#REF!</definedName>
    <definedName name="BidClass">NA()</definedName>
    <definedName name="BidClass_1">NA()</definedName>
    <definedName name="BidClass_1_3">NA()</definedName>
    <definedName name="BidClass_1_3_5">#REF!</definedName>
    <definedName name="BidClass_1_5">#REF!</definedName>
    <definedName name="BidClass_10">NA()</definedName>
    <definedName name="BidClass_10_1">NA()</definedName>
    <definedName name="BidClass_10_1_3">NA()</definedName>
    <definedName name="BidClass_10_1_3_5">#REF!</definedName>
    <definedName name="BidClass_10_1_5">#REF!</definedName>
    <definedName name="BidClass_10_17">NA()</definedName>
    <definedName name="BidClass_10_17_3">NA()</definedName>
    <definedName name="BidClass_10_17_3_5">#REF!</definedName>
    <definedName name="BidClass_10_17_5">#REF!</definedName>
    <definedName name="BidClass_10_5">#REF!</definedName>
    <definedName name="BidClass_11">NA()</definedName>
    <definedName name="BidClass_11_1">NA()</definedName>
    <definedName name="BidClass_11_1_5">#REF!</definedName>
    <definedName name="BidClass_11_5">#REF!</definedName>
    <definedName name="BidClass_12">NA()</definedName>
    <definedName name="BidClass_12_3">NA()</definedName>
    <definedName name="BidClass_12_3_5">#REF!</definedName>
    <definedName name="BidClass_12_5">#REF!</definedName>
    <definedName name="BidClass_13">NA()</definedName>
    <definedName name="BidClass_13_3">NA()</definedName>
    <definedName name="BidClass_13_3_5">#REF!</definedName>
    <definedName name="BidClass_13_5">#REF!</definedName>
    <definedName name="BidClass_14">NA()</definedName>
    <definedName name="BidClass_14_5">#REF!</definedName>
    <definedName name="BidClass_15">NA()</definedName>
    <definedName name="BidClass_15_1">NA()</definedName>
    <definedName name="BidClass_15_1_3">NA()</definedName>
    <definedName name="BidClass_15_1_3_5">#REF!</definedName>
    <definedName name="BidClass_15_1_5">#REF!</definedName>
    <definedName name="BidClass_15_3">NA()</definedName>
    <definedName name="BidClass_15_3_5">#REF!</definedName>
    <definedName name="BidClass_15_5">#REF!</definedName>
    <definedName name="BidClass_16">NA()</definedName>
    <definedName name="BidClass_16_1">NA()</definedName>
    <definedName name="BidClass_16_1_3">NA()</definedName>
    <definedName name="BidClass_16_1_3_5">#REF!</definedName>
    <definedName name="BidClass_16_1_5">#REF!</definedName>
    <definedName name="BidClass_16_3">NA()</definedName>
    <definedName name="BidClass_16_3_5">#REF!</definedName>
    <definedName name="BidClass_16_5">#REF!</definedName>
    <definedName name="BidClass_17">NA()</definedName>
    <definedName name="BidClass_17_1">NA()</definedName>
    <definedName name="BidClass_17_1_5">#REF!</definedName>
    <definedName name="BidClass_17_3">NA()</definedName>
    <definedName name="BidClass_17_3_5">#REF!</definedName>
    <definedName name="BidClass_17_5">#REF!</definedName>
    <definedName name="BidClass_18">NA()</definedName>
    <definedName name="BidClass_18_1">NA()</definedName>
    <definedName name="BidClass_18_1_5">#REF!</definedName>
    <definedName name="BidClass_18_5">#REF!</definedName>
    <definedName name="BidClass_19">NA()</definedName>
    <definedName name="BidClass_19_1">NA()</definedName>
    <definedName name="BidClass_19_1_5">#REF!</definedName>
    <definedName name="BidClass_19_5">#REF!</definedName>
    <definedName name="BidClass_2">NA()</definedName>
    <definedName name="BidClass_2_5">#REF!</definedName>
    <definedName name="BidClass_20">NA()</definedName>
    <definedName name="BidClass_20_1">NA()</definedName>
    <definedName name="BidClass_20_1_3">NA()</definedName>
    <definedName name="BidClass_20_1_3_5">#REF!</definedName>
    <definedName name="BidClass_20_1_5">#REF!</definedName>
    <definedName name="BidClass_20_5">#REF!</definedName>
    <definedName name="BidClass_21">NA()</definedName>
    <definedName name="BidClass_21_1">NA()</definedName>
    <definedName name="BidClass_21_1_1">NA()</definedName>
    <definedName name="BidClass_21_1_1_3">NA()</definedName>
    <definedName name="BidClass_21_1_1_3_5">#REF!</definedName>
    <definedName name="BidClass_21_1_1_5">#REF!</definedName>
    <definedName name="BidClass_21_1_3">NA()</definedName>
    <definedName name="BidClass_21_1_3_5">#REF!</definedName>
    <definedName name="BidClass_21_1_5">#REF!</definedName>
    <definedName name="BidClass_21_5">#REF!</definedName>
    <definedName name="BidClass_22">NA()</definedName>
    <definedName name="BidClass_22_3">NA()</definedName>
    <definedName name="BidClass_22_3_5">#REF!</definedName>
    <definedName name="BidClass_22_5">#REF!</definedName>
    <definedName name="BidClass_23">NA()</definedName>
    <definedName name="BidClass_23_3">NA()</definedName>
    <definedName name="BidClass_23_3_5">#REF!</definedName>
    <definedName name="BidClass_23_5">#REF!</definedName>
    <definedName name="BidClass_24">NA()</definedName>
    <definedName name="BidClass_24_3">NA()</definedName>
    <definedName name="BidClass_24_3_5">#REF!</definedName>
    <definedName name="BidClass_24_5">#REF!</definedName>
    <definedName name="BidClass_25">NA()</definedName>
    <definedName name="BidClass_25_3">NA()</definedName>
    <definedName name="BidClass_25_3_5">#REF!</definedName>
    <definedName name="BidClass_25_5">#REF!</definedName>
    <definedName name="BidClass_26">NA()</definedName>
    <definedName name="BidClass_26_1">NA()</definedName>
    <definedName name="BidClass_26_1_3">NA()</definedName>
    <definedName name="BidClass_26_1_3_5">#REF!</definedName>
    <definedName name="BidClass_26_1_5">#REF!</definedName>
    <definedName name="BidClass_26_3">NA()</definedName>
    <definedName name="BidClass_26_3_5">#REF!</definedName>
    <definedName name="BidClass_26_5">#REF!</definedName>
    <definedName name="BidClass_27">NA()</definedName>
    <definedName name="BidClass_27_1">NA()</definedName>
    <definedName name="BidClass_27_1_3">NA()</definedName>
    <definedName name="BidClass_27_1_3_5">#REF!</definedName>
    <definedName name="BidClass_27_1_5">#REF!</definedName>
    <definedName name="BidClass_27_3">NA()</definedName>
    <definedName name="BidClass_27_3_5">#REF!</definedName>
    <definedName name="BidClass_27_5">#REF!</definedName>
    <definedName name="BidClass_28">NA()</definedName>
    <definedName name="BidClass_28_1">NA()</definedName>
    <definedName name="BidClass_28_1_3">NA()</definedName>
    <definedName name="BidClass_28_1_3_5">#REF!</definedName>
    <definedName name="BidClass_28_1_5">#REF!</definedName>
    <definedName name="BidClass_28_3">NA()</definedName>
    <definedName name="BidClass_28_3_5">#REF!</definedName>
    <definedName name="BidClass_28_5">#REF!</definedName>
    <definedName name="BidClass_29">NA()</definedName>
    <definedName name="BidClass_29_3">NA()</definedName>
    <definedName name="BidClass_29_3_5">#REF!</definedName>
    <definedName name="BidClass_29_5">#REF!</definedName>
    <definedName name="BidClass_3">NA()</definedName>
    <definedName name="BidClass_3_5">#REF!</definedName>
    <definedName name="BidClass_4">NA()</definedName>
    <definedName name="BidClass_4_1">NA()</definedName>
    <definedName name="BidClass_4_1_1">NA()</definedName>
    <definedName name="BidClass_4_1_1_1">NA()</definedName>
    <definedName name="BidClass_4_1_1_1_1">NA()</definedName>
    <definedName name="BidClass_4_1_1_1_1_1">NA()</definedName>
    <definedName name="BidClass_4_1_1_1_1_1_5">#REF!</definedName>
    <definedName name="BidClass_4_1_1_1_1_3">NA()</definedName>
    <definedName name="BidClass_4_1_1_1_1_3_5">#REF!</definedName>
    <definedName name="BidClass_4_1_1_1_1_5">#REF!</definedName>
    <definedName name="BidClass_4_1_1_1_3">NA()</definedName>
    <definedName name="BidClass_4_1_1_1_3_1">NA()</definedName>
    <definedName name="BidClass_4_1_1_1_3_1_5">#REF!</definedName>
    <definedName name="BidClass_4_1_1_1_3_5">#REF!</definedName>
    <definedName name="BidClass_4_1_1_1_5">#REF!</definedName>
    <definedName name="BidClass_4_1_1_3">NA()</definedName>
    <definedName name="BidClass_4_1_1_3_5">#REF!</definedName>
    <definedName name="BidClass_4_1_1_5">#REF!</definedName>
    <definedName name="BidClass_4_1_17">NA()</definedName>
    <definedName name="BidClass_4_1_17_3">NA()</definedName>
    <definedName name="BidClass_4_1_17_3_5">#REF!</definedName>
    <definedName name="BidClass_4_1_17_5">#REF!</definedName>
    <definedName name="BidClass_4_1_28">NA()</definedName>
    <definedName name="BidClass_4_1_28_3">NA()</definedName>
    <definedName name="BidClass_4_1_28_3_5">#REF!</definedName>
    <definedName name="BidClass_4_1_28_5">#REF!</definedName>
    <definedName name="BidClass_4_1_5">#REF!</definedName>
    <definedName name="BidClass_4_1_6">NA()</definedName>
    <definedName name="BidClass_4_1_6_3">NA()</definedName>
    <definedName name="BidClass_4_1_6_3_5">#REF!</definedName>
    <definedName name="BidClass_4_1_6_5">#REF!</definedName>
    <definedName name="BidClass_4_10">NA()</definedName>
    <definedName name="BidClass_4_10_3">NA()</definedName>
    <definedName name="BidClass_4_10_3_5">#REF!</definedName>
    <definedName name="BidClass_4_10_5">#REF!</definedName>
    <definedName name="BidClass_4_12">NA()</definedName>
    <definedName name="BidClass_4_12_3">NA()</definedName>
    <definedName name="BidClass_4_12_3_5">#REF!</definedName>
    <definedName name="BidClass_4_12_5">#REF!</definedName>
    <definedName name="BidClass_4_13">NA()</definedName>
    <definedName name="BidClass_4_13_3">NA()</definedName>
    <definedName name="BidClass_4_13_3_5">#REF!</definedName>
    <definedName name="BidClass_4_13_5">#REF!</definedName>
    <definedName name="BidClass_4_14">NA()</definedName>
    <definedName name="BidClass_4_14_3">NA()</definedName>
    <definedName name="BidClass_4_14_3_5">#REF!</definedName>
    <definedName name="BidClass_4_14_5">#REF!</definedName>
    <definedName name="BidClass_4_15">NA()</definedName>
    <definedName name="BidClass_4_15_3">NA()</definedName>
    <definedName name="BidClass_4_15_3_5">#REF!</definedName>
    <definedName name="BidClass_4_15_5">#REF!</definedName>
    <definedName name="BidClass_4_16">NA()</definedName>
    <definedName name="BidClass_4_16_3">NA()</definedName>
    <definedName name="BidClass_4_16_3_5">#REF!</definedName>
    <definedName name="BidClass_4_16_5">#REF!</definedName>
    <definedName name="BidClass_4_17">NA()</definedName>
    <definedName name="BidClass_4_17_3">NA()</definedName>
    <definedName name="BidClass_4_17_3_5">#REF!</definedName>
    <definedName name="BidClass_4_17_5">#REF!</definedName>
    <definedName name="BidClass_4_18">NA()</definedName>
    <definedName name="BidClass_4_18_1">NA()</definedName>
    <definedName name="BidClass_4_18_1_5">#REF!</definedName>
    <definedName name="BidClass_4_18_5">#REF!</definedName>
    <definedName name="BidClass_4_19">NA()</definedName>
    <definedName name="BidClass_4_19_5">#REF!</definedName>
    <definedName name="BidClass_4_20">NA()</definedName>
    <definedName name="BidClass_4_20_3">NA()</definedName>
    <definedName name="BidClass_4_20_3_5">#REF!</definedName>
    <definedName name="BidClass_4_20_5">#REF!</definedName>
    <definedName name="BidClass_4_21">NA()</definedName>
    <definedName name="BidClass_4_21_1">NA()</definedName>
    <definedName name="BidClass_4_21_1_3">NA()</definedName>
    <definedName name="BidClass_4_21_1_3_5">#REF!</definedName>
    <definedName name="BidClass_4_21_1_5">#REF!</definedName>
    <definedName name="BidClass_4_21_5">#REF!</definedName>
    <definedName name="BidClass_4_22">NA()</definedName>
    <definedName name="BidClass_4_22_3">NA()</definedName>
    <definedName name="BidClass_4_22_3_5">#REF!</definedName>
    <definedName name="BidClass_4_22_5">#REF!</definedName>
    <definedName name="BidClass_4_23">NA()</definedName>
    <definedName name="BidClass_4_23_3">NA()</definedName>
    <definedName name="BidClass_4_23_3_5">#REF!</definedName>
    <definedName name="BidClass_4_23_5">#REF!</definedName>
    <definedName name="BidClass_4_24">NA()</definedName>
    <definedName name="BidClass_4_24_3">NA()</definedName>
    <definedName name="BidClass_4_24_3_5">#REF!</definedName>
    <definedName name="BidClass_4_24_5">#REF!</definedName>
    <definedName name="BidClass_4_25">NA()</definedName>
    <definedName name="BidClass_4_25_3">NA()</definedName>
    <definedName name="BidClass_4_25_3_5">#REF!</definedName>
    <definedName name="BidClass_4_25_5">#REF!</definedName>
    <definedName name="BidClass_4_26">NA()</definedName>
    <definedName name="BidClass_4_26_3">NA()</definedName>
    <definedName name="BidClass_4_26_3_5">#REF!</definedName>
    <definedName name="BidClass_4_26_5">#REF!</definedName>
    <definedName name="BidClass_4_27">NA()</definedName>
    <definedName name="BidClass_4_27_3">NA()</definedName>
    <definedName name="BidClass_4_27_3_5">#REF!</definedName>
    <definedName name="BidClass_4_27_5">#REF!</definedName>
    <definedName name="BidClass_4_28">NA()</definedName>
    <definedName name="BidClass_4_28_3">NA()</definedName>
    <definedName name="BidClass_4_28_3_5">#REF!</definedName>
    <definedName name="BidClass_4_28_5">#REF!</definedName>
    <definedName name="BidClass_4_5">#REF!</definedName>
    <definedName name="BidClass_4_6">NA()</definedName>
    <definedName name="BidClass_4_6_3">NA()</definedName>
    <definedName name="BidClass_4_6_3_5">#REF!</definedName>
    <definedName name="BidClass_4_6_5">#REF!</definedName>
    <definedName name="BidClass_4_7">NA()</definedName>
    <definedName name="BidClass_4_7_3">NA()</definedName>
    <definedName name="BidClass_4_7_3_5">#REF!</definedName>
    <definedName name="BidClass_4_7_5">#REF!</definedName>
    <definedName name="BidClass_4_8">NA()</definedName>
    <definedName name="BidClass_4_8_3">NA()</definedName>
    <definedName name="BidClass_4_8_3_5">#REF!</definedName>
    <definedName name="BidClass_4_8_5">#REF!</definedName>
    <definedName name="BidClass_4_9">NA()</definedName>
    <definedName name="BidClass_4_9_3">NA()</definedName>
    <definedName name="BidClass_4_9_3_5">#REF!</definedName>
    <definedName name="BidClass_4_9_5">#REF!</definedName>
    <definedName name="BidClass_5">#REF!</definedName>
    <definedName name="BidClass_5_1">NA()</definedName>
    <definedName name="BidClass_5_17">NA()</definedName>
    <definedName name="BidClass_5_17_3">NA()</definedName>
    <definedName name="BidClass_5_17_3_5">#REF!</definedName>
    <definedName name="BidClass_5_17_5">#REF!</definedName>
    <definedName name="BidClass_5_28">NA()</definedName>
    <definedName name="BidClass_5_28_3">NA()</definedName>
    <definedName name="BidClass_5_28_3_5">#REF!</definedName>
    <definedName name="BidClass_5_28_5">#REF!</definedName>
    <definedName name="BidClass_5_3">NA()</definedName>
    <definedName name="BidClass_5_3_5">#REF!</definedName>
    <definedName name="BidClass_5_5">#REF!</definedName>
    <definedName name="BidClass_5_6">NA()</definedName>
    <definedName name="BidClass_5_6_3">NA()</definedName>
    <definedName name="BidClass_5_6_3_5">#REF!</definedName>
    <definedName name="BidClass_5_6_5">#REF!</definedName>
    <definedName name="BidClass_6">NA()</definedName>
    <definedName name="BidClass_6_1">NA()</definedName>
    <definedName name="BidClass_6_1_5">#REF!</definedName>
    <definedName name="BidClass_6_10">NA()</definedName>
    <definedName name="BidClass_6_10_3">NA()</definedName>
    <definedName name="BidClass_6_10_3_5">#REF!</definedName>
    <definedName name="BidClass_6_10_5">#REF!</definedName>
    <definedName name="BidClass_6_12">NA()</definedName>
    <definedName name="BidClass_6_12_3">NA()</definedName>
    <definedName name="BidClass_6_12_3_5">#REF!</definedName>
    <definedName name="BidClass_6_12_5">#REF!</definedName>
    <definedName name="BidClass_6_13">NA()</definedName>
    <definedName name="BidClass_6_13_3">NA()</definedName>
    <definedName name="BidClass_6_13_3_5">#REF!</definedName>
    <definedName name="BidClass_6_13_5">#REF!</definedName>
    <definedName name="BidClass_6_14">NA()</definedName>
    <definedName name="BidClass_6_14_3">NA()</definedName>
    <definedName name="BidClass_6_14_3_5">#REF!</definedName>
    <definedName name="BidClass_6_14_5">#REF!</definedName>
    <definedName name="BidClass_6_15">NA()</definedName>
    <definedName name="BidClass_6_15_3">NA()</definedName>
    <definedName name="BidClass_6_15_3_5">#REF!</definedName>
    <definedName name="BidClass_6_15_5">#REF!</definedName>
    <definedName name="BidClass_6_16">NA()</definedName>
    <definedName name="BidClass_6_16_3">NA()</definedName>
    <definedName name="BidClass_6_16_3_5">#REF!</definedName>
    <definedName name="BidClass_6_16_5">#REF!</definedName>
    <definedName name="BidClass_6_17">NA()</definedName>
    <definedName name="BidClass_6_17_3">NA()</definedName>
    <definedName name="BidClass_6_17_3_5">#REF!</definedName>
    <definedName name="BidClass_6_17_5">#REF!</definedName>
    <definedName name="BidClass_6_18">NA()</definedName>
    <definedName name="BidClass_6_18_1">NA()</definedName>
    <definedName name="BidClass_6_18_1_5">#REF!</definedName>
    <definedName name="BidClass_6_18_5">#REF!</definedName>
    <definedName name="BidClass_6_19">NA()</definedName>
    <definedName name="BidClass_6_19_5">#REF!</definedName>
    <definedName name="BidClass_6_20">NA()</definedName>
    <definedName name="BidClass_6_20_3">NA()</definedName>
    <definedName name="BidClass_6_20_3_5">#REF!</definedName>
    <definedName name="BidClass_6_20_5">#REF!</definedName>
    <definedName name="BidClass_6_21">NA()</definedName>
    <definedName name="BidClass_6_21_1">NA()</definedName>
    <definedName name="BidClass_6_21_1_3">NA()</definedName>
    <definedName name="BidClass_6_21_1_3_5">#REF!</definedName>
    <definedName name="BidClass_6_21_1_5">#REF!</definedName>
    <definedName name="BidClass_6_21_5">#REF!</definedName>
    <definedName name="BidClass_6_22">NA()</definedName>
    <definedName name="BidClass_6_22_3">NA()</definedName>
    <definedName name="BidClass_6_22_3_5">#REF!</definedName>
    <definedName name="BidClass_6_22_5">#REF!</definedName>
    <definedName name="BidClass_6_23">NA()</definedName>
    <definedName name="BidClass_6_23_3">NA()</definedName>
    <definedName name="BidClass_6_23_3_5">#REF!</definedName>
    <definedName name="BidClass_6_23_5">#REF!</definedName>
    <definedName name="BidClass_6_24">NA()</definedName>
    <definedName name="BidClass_6_24_3">NA()</definedName>
    <definedName name="BidClass_6_24_3_5">#REF!</definedName>
    <definedName name="BidClass_6_24_5">#REF!</definedName>
    <definedName name="BidClass_6_25">NA()</definedName>
    <definedName name="BidClass_6_25_3">NA()</definedName>
    <definedName name="BidClass_6_25_3_5">#REF!</definedName>
    <definedName name="BidClass_6_25_5">#REF!</definedName>
    <definedName name="BidClass_6_26">NA()</definedName>
    <definedName name="BidClass_6_26_3">NA()</definedName>
    <definedName name="BidClass_6_26_3_5">#REF!</definedName>
    <definedName name="BidClass_6_26_5">#REF!</definedName>
    <definedName name="BidClass_6_27">NA()</definedName>
    <definedName name="BidClass_6_27_3">NA()</definedName>
    <definedName name="BidClass_6_27_3_5">#REF!</definedName>
    <definedName name="BidClass_6_27_5">#REF!</definedName>
    <definedName name="BidClass_6_28">NA()</definedName>
    <definedName name="BidClass_6_28_3">NA()</definedName>
    <definedName name="BidClass_6_28_3_5">#REF!</definedName>
    <definedName name="BidClass_6_28_5">#REF!</definedName>
    <definedName name="BidClass_6_5">#REF!</definedName>
    <definedName name="BidClass_6_6">NA()</definedName>
    <definedName name="BidClass_6_6_3">NA()</definedName>
    <definedName name="BidClass_6_6_3_5">#REF!</definedName>
    <definedName name="BidClass_6_6_5">#REF!</definedName>
    <definedName name="BidClass_6_7">NA()</definedName>
    <definedName name="BidClass_6_7_3">NA()</definedName>
    <definedName name="BidClass_6_7_3_5">#REF!</definedName>
    <definedName name="BidClass_6_7_5">#REF!</definedName>
    <definedName name="BidClass_6_8">NA()</definedName>
    <definedName name="BidClass_6_8_3">NA()</definedName>
    <definedName name="BidClass_6_8_3_5">#REF!</definedName>
    <definedName name="BidClass_6_8_5">#REF!</definedName>
    <definedName name="BidClass_6_9">NA()</definedName>
    <definedName name="BidClass_6_9_1">NA()</definedName>
    <definedName name="BidClass_6_9_1_1">NA()</definedName>
    <definedName name="BidClass_6_9_1_1_3">NA()</definedName>
    <definedName name="BidClass_6_9_1_1_3_5">#REF!</definedName>
    <definedName name="BidClass_6_9_1_1_5">#REF!</definedName>
    <definedName name="BidClass_6_9_1_3">NA()</definedName>
    <definedName name="BidClass_6_9_1_3_5">#REF!</definedName>
    <definedName name="BidClass_6_9_1_5">#REF!</definedName>
    <definedName name="BidClass_6_9_5">#REF!</definedName>
    <definedName name="BidClass_7">NA()</definedName>
    <definedName name="BidClass_7_5">#REF!</definedName>
    <definedName name="BidClass_8">NA()</definedName>
    <definedName name="BidClass_8_3">NA()</definedName>
    <definedName name="BidClass_8_3_5">#REF!</definedName>
    <definedName name="BidClass_8_5">#REF!</definedName>
    <definedName name="BidClass_9">NA()</definedName>
    <definedName name="BidClass_9_3">NA()</definedName>
    <definedName name="BidClass_9_3_5">#REF!</definedName>
    <definedName name="BidClass_9_5">#REF!</definedName>
    <definedName name="BidClass_Text">NA()</definedName>
    <definedName name="BidClass_Text_1">NA()</definedName>
    <definedName name="BidClass_Text_1_3">NA()</definedName>
    <definedName name="BidClass_Text_1_3_5">#REF!</definedName>
    <definedName name="BidClass_Text_1_5">#REF!</definedName>
    <definedName name="BidClass_Text_10">NA()</definedName>
    <definedName name="BidClass_Text_10_1">NA()</definedName>
    <definedName name="BidClass_Text_10_1_3">NA()</definedName>
    <definedName name="BidClass_Text_10_1_3_5">#REF!</definedName>
    <definedName name="BidClass_Text_10_1_5">#REF!</definedName>
    <definedName name="BidClass_Text_10_17">NA()</definedName>
    <definedName name="BidClass_Text_10_17_3">NA()</definedName>
    <definedName name="BidClass_Text_10_17_3_5">#REF!</definedName>
    <definedName name="BidClass_Text_10_17_5">#REF!</definedName>
    <definedName name="BidClass_Text_10_5">#REF!</definedName>
    <definedName name="BidClass_Text_11">NA()</definedName>
    <definedName name="BidClass_Text_11_1">NA()</definedName>
    <definedName name="BidClass_Text_11_1_5">#REF!</definedName>
    <definedName name="BidClass_Text_11_5">#REF!</definedName>
    <definedName name="BidClass_Text_12">NA()</definedName>
    <definedName name="BidClass_Text_12_3">NA()</definedName>
    <definedName name="BidClass_Text_12_3_5">#REF!</definedName>
    <definedName name="BidClass_Text_12_5">#REF!</definedName>
    <definedName name="BidClass_Text_13">NA()</definedName>
    <definedName name="BidClass_Text_13_3">NA()</definedName>
    <definedName name="BidClass_Text_13_3_5">#REF!</definedName>
    <definedName name="BidClass_Text_13_5">#REF!</definedName>
    <definedName name="BidClass_Text_14">NA()</definedName>
    <definedName name="BidClass_Text_14_5">#REF!</definedName>
    <definedName name="BidClass_Text_15">NA()</definedName>
    <definedName name="BidClass_Text_15_1">NA()</definedName>
    <definedName name="BidClass_Text_15_1_3">NA()</definedName>
    <definedName name="BidClass_Text_15_1_3_5">#REF!</definedName>
    <definedName name="BidClass_Text_15_1_5">#REF!</definedName>
    <definedName name="BidClass_Text_15_3">NA()</definedName>
    <definedName name="BidClass_Text_15_3_5">#REF!</definedName>
    <definedName name="BidClass_Text_15_5">#REF!</definedName>
    <definedName name="BidClass_Text_16">NA()</definedName>
    <definedName name="BidClass_Text_16_1">NA()</definedName>
    <definedName name="BidClass_Text_16_1_3">NA()</definedName>
    <definedName name="BidClass_Text_16_1_3_5">#REF!</definedName>
    <definedName name="BidClass_Text_16_1_5">#REF!</definedName>
    <definedName name="BidClass_Text_16_3">NA()</definedName>
    <definedName name="BidClass_Text_16_3_5">#REF!</definedName>
    <definedName name="BidClass_Text_16_5">#REF!</definedName>
    <definedName name="BidClass_Text_17">NA()</definedName>
    <definedName name="BidClass_Text_17_1">NA()</definedName>
    <definedName name="BidClass_Text_17_1_5">#REF!</definedName>
    <definedName name="BidClass_Text_17_3">NA()</definedName>
    <definedName name="BidClass_Text_17_3_5">#REF!</definedName>
    <definedName name="BidClass_Text_17_5">#REF!</definedName>
    <definedName name="BidClass_Text_18">NA()</definedName>
    <definedName name="BidClass_Text_18_1">NA()</definedName>
    <definedName name="BidClass_Text_18_1_5">#REF!</definedName>
    <definedName name="BidClass_Text_18_5">#REF!</definedName>
    <definedName name="BidClass_Text_19">NA()</definedName>
    <definedName name="BidClass_Text_19_1">NA()</definedName>
    <definedName name="BidClass_Text_19_1_5">#REF!</definedName>
    <definedName name="BidClass_Text_19_5">#REF!</definedName>
    <definedName name="BidClass_Text_2">NA()</definedName>
    <definedName name="BidClass_Text_2_5">#REF!</definedName>
    <definedName name="BidClass_Text_20">NA()</definedName>
    <definedName name="BidClass_Text_20_1">NA()</definedName>
    <definedName name="BidClass_Text_20_1_3">NA()</definedName>
    <definedName name="BidClass_Text_20_1_3_5">#REF!</definedName>
    <definedName name="BidClass_Text_20_1_5">#REF!</definedName>
    <definedName name="BidClass_Text_20_5">#REF!</definedName>
    <definedName name="BidClass_Text_21">NA()</definedName>
    <definedName name="BidClass_Text_21_1">NA()</definedName>
    <definedName name="BidClass_Text_21_1_1">NA()</definedName>
    <definedName name="BidClass_Text_21_1_1_3">NA()</definedName>
    <definedName name="BidClass_Text_21_1_1_3_5">#REF!</definedName>
    <definedName name="BidClass_Text_21_1_1_5">#REF!</definedName>
    <definedName name="BidClass_Text_21_1_3">NA()</definedName>
    <definedName name="BidClass_Text_21_1_3_5">#REF!</definedName>
    <definedName name="BidClass_Text_21_1_5">#REF!</definedName>
    <definedName name="BidClass_Text_21_5">#REF!</definedName>
    <definedName name="BidClass_Text_22">NA()</definedName>
    <definedName name="BidClass_Text_22_3">NA()</definedName>
    <definedName name="BidClass_Text_22_3_5">#REF!</definedName>
    <definedName name="BidClass_Text_22_5">#REF!</definedName>
    <definedName name="BidClass_Text_23">NA()</definedName>
    <definedName name="BidClass_Text_23_3">NA()</definedName>
    <definedName name="BidClass_Text_23_3_5">#REF!</definedName>
    <definedName name="BidClass_Text_23_5">#REF!</definedName>
    <definedName name="BidClass_Text_24">NA()</definedName>
    <definedName name="BidClass_Text_24_3">NA()</definedName>
    <definedName name="BidClass_Text_24_3_5">#REF!</definedName>
    <definedName name="BidClass_Text_24_5">#REF!</definedName>
    <definedName name="BidClass_Text_25">NA()</definedName>
    <definedName name="BidClass_Text_25_3">NA()</definedName>
    <definedName name="BidClass_Text_25_3_5">#REF!</definedName>
    <definedName name="BidClass_Text_25_5">#REF!</definedName>
    <definedName name="BidClass_Text_26">NA()</definedName>
    <definedName name="BidClass_Text_26_1">NA()</definedName>
    <definedName name="BidClass_Text_26_1_3">NA()</definedName>
    <definedName name="BidClass_Text_26_1_3_5">#REF!</definedName>
    <definedName name="BidClass_Text_26_1_5">#REF!</definedName>
    <definedName name="BidClass_Text_26_3">NA()</definedName>
    <definedName name="BidClass_Text_26_3_5">#REF!</definedName>
    <definedName name="BidClass_Text_26_5">#REF!</definedName>
    <definedName name="BidClass_Text_27">NA()</definedName>
    <definedName name="BidClass_Text_27_1">NA()</definedName>
    <definedName name="BidClass_Text_27_1_3">NA()</definedName>
    <definedName name="BidClass_Text_27_1_3_5">#REF!</definedName>
    <definedName name="BidClass_Text_27_1_5">#REF!</definedName>
    <definedName name="BidClass_Text_27_3">NA()</definedName>
    <definedName name="BidClass_Text_27_3_5">#REF!</definedName>
    <definedName name="BidClass_Text_27_5">#REF!</definedName>
    <definedName name="BidClass_Text_28">NA()</definedName>
    <definedName name="BidClass_Text_28_1">NA()</definedName>
    <definedName name="BidClass_Text_28_1_3">NA()</definedName>
    <definedName name="BidClass_Text_28_1_3_5">#REF!</definedName>
    <definedName name="BidClass_Text_28_1_5">#REF!</definedName>
    <definedName name="BidClass_Text_28_3">NA()</definedName>
    <definedName name="BidClass_Text_28_3_5">#REF!</definedName>
    <definedName name="BidClass_Text_28_5">#REF!</definedName>
    <definedName name="BidClass_Text_29">NA()</definedName>
    <definedName name="BidClass_Text_29_3">NA()</definedName>
    <definedName name="BidClass_Text_29_3_5">#REF!</definedName>
    <definedName name="BidClass_Text_29_5">#REF!</definedName>
    <definedName name="BidClass_Text_3">NA()</definedName>
    <definedName name="BidClass_Text_3_5">#REF!</definedName>
    <definedName name="BidClass_Text_4">NA()</definedName>
    <definedName name="BidClass_Text_4_1">NA()</definedName>
    <definedName name="BidClass_Text_4_1_1">NA()</definedName>
    <definedName name="BidClass_Text_4_1_1_1">NA()</definedName>
    <definedName name="BidClass_Text_4_1_1_1_1">NA()</definedName>
    <definedName name="BidClass_Text_4_1_1_1_1_1">NA()</definedName>
    <definedName name="BidClass_Text_4_1_1_1_1_1_5">#REF!</definedName>
    <definedName name="BidClass_Text_4_1_1_1_1_3">NA()</definedName>
    <definedName name="BidClass_Text_4_1_1_1_1_3_5">#REF!</definedName>
    <definedName name="BidClass_Text_4_1_1_1_1_5">#REF!</definedName>
    <definedName name="BidClass_Text_4_1_1_1_3">NA()</definedName>
    <definedName name="BidClass_Text_4_1_1_1_3_1">NA()</definedName>
    <definedName name="BidClass_Text_4_1_1_1_3_1_5">#REF!</definedName>
    <definedName name="BidClass_Text_4_1_1_1_3_5">#REF!</definedName>
    <definedName name="BidClass_Text_4_1_1_1_5">#REF!</definedName>
    <definedName name="BidClass_Text_4_1_1_3">NA()</definedName>
    <definedName name="BidClass_Text_4_1_1_3_5">#REF!</definedName>
    <definedName name="BidClass_Text_4_1_1_5">#REF!</definedName>
    <definedName name="BidClass_Text_4_1_17">NA()</definedName>
    <definedName name="BidClass_Text_4_1_17_3">NA()</definedName>
    <definedName name="BidClass_Text_4_1_17_3_5">#REF!</definedName>
    <definedName name="BidClass_Text_4_1_17_5">#REF!</definedName>
    <definedName name="BidClass_Text_4_1_28">NA()</definedName>
    <definedName name="BidClass_Text_4_1_28_3">NA()</definedName>
    <definedName name="BidClass_Text_4_1_28_3_5">#REF!</definedName>
    <definedName name="BidClass_Text_4_1_28_5">#REF!</definedName>
    <definedName name="BidClass_Text_4_1_5">#REF!</definedName>
    <definedName name="BidClass_Text_4_1_6">NA()</definedName>
    <definedName name="BidClass_Text_4_1_6_3">NA()</definedName>
    <definedName name="BidClass_Text_4_1_6_3_5">#REF!</definedName>
    <definedName name="BidClass_Text_4_1_6_5">#REF!</definedName>
    <definedName name="BidClass_Text_4_10">NA()</definedName>
    <definedName name="BidClass_Text_4_10_3">NA()</definedName>
    <definedName name="BidClass_Text_4_10_3_5">#REF!</definedName>
    <definedName name="BidClass_Text_4_10_5">#REF!</definedName>
    <definedName name="BidClass_Text_4_12">NA()</definedName>
    <definedName name="BidClass_Text_4_12_3">NA()</definedName>
    <definedName name="BidClass_Text_4_12_3_5">#REF!</definedName>
    <definedName name="BidClass_Text_4_12_5">#REF!</definedName>
    <definedName name="BidClass_Text_4_13">NA()</definedName>
    <definedName name="BidClass_Text_4_13_3">NA()</definedName>
    <definedName name="BidClass_Text_4_13_3_5">#REF!</definedName>
    <definedName name="BidClass_Text_4_13_5">#REF!</definedName>
    <definedName name="BidClass_Text_4_14">NA()</definedName>
    <definedName name="BidClass_Text_4_14_3">NA()</definedName>
    <definedName name="BidClass_Text_4_14_3_5">#REF!</definedName>
    <definedName name="BidClass_Text_4_14_5">#REF!</definedName>
    <definedName name="BidClass_Text_4_15">NA()</definedName>
    <definedName name="BidClass_Text_4_15_3">NA()</definedName>
    <definedName name="BidClass_Text_4_15_3_5">#REF!</definedName>
    <definedName name="BidClass_Text_4_15_5">#REF!</definedName>
    <definedName name="BidClass_Text_4_16">NA()</definedName>
    <definedName name="BidClass_Text_4_16_3">NA()</definedName>
    <definedName name="BidClass_Text_4_16_3_5">#REF!</definedName>
    <definedName name="BidClass_Text_4_16_5">#REF!</definedName>
    <definedName name="BidClass_Text_4_17">NA()</definedName>
    <definedName name="BidClass_Text_4_17_3">NA()</definedName>
    <definedName name="BidClass_Text_4_17_3_5">#REF!</definedName>
    <definedName name="BidClass_Text_4_17_5">#REF!</definedName>
    <definedName name="BidClass_Text_4_18">NA()</definedName>
    <definedName name="BidClass_Text_4_18_1">NA()</definedName>
    <definedName name="BidClass_Text_4_18_1_5">#REF!</definedName>
    <definedName name="BidClass_Text_4_18_5">#REF!</definedName>
    <definedName name="BidClass_Text_4_19">NA()</definedName>
    <definedName name="BidClass_Text_4_19_5">#REF!</definedName>
    <definedName name="BidClass_Text_4_20">NA()</definedName>
    <definedName name="BidClass_Text_4_20_3">NA()</definedName>
    <definedName name="BidClass_Text_4_20_3_5">#REF!</definedName>
    <definedName name="BidClass_Text_4_20_5">#REF!</definedName>
    <definedName name="BidClass_Text_4_21">NA()</definedName>
    <definedName name="BidClass_Text_4_21_1">NA()</definedName>
    <definedName name="BidClass_Text_4_21_1_3">NA()</definedName>
    <definedName name="BidClass_Text_4_21_1_3_5">#REF!</definedName>
    <definedName name="BidClass_Text_4_21_1_5">#REF!</definedName>
    <definedName name="BidClass_Text_4_21_5">#REF!</definedName>
    <definedName name="BidClass_Text_4_22">NA()</definedName>
    <definedName name="BidClass_Text_4_22_3">NA()</definedName>
    <definedName name="BidClass_Text_4_22_3_5">#REF!</definedName>
    <definedName name="BidClass_Text_4_22_5">#REF!</definedName>
    <definedName name="BidClass_Text_4_23">NA()</definedName>
    <definedName name="BidClass_Text_4_23_3">NA()</definedName>
    <definedName name="BidClass_Text_4_23_3_5">#REF!</definedName>
    <definedName name="BidClass_Text_4_23_5">#REF!</definedName>
    <definedName name="BidClass_Text_4_24">NA()</definedName>
    <definedName name="BidClass_Text_4_24_3">NA()</definedName>
    <definedName name="BidClass_Text_4_24_3_5">#REF!</definedName>
    <definedName name="BidClass_Text_4_24_5">#REF!</definedName>
    <definedName name="BidClass_Text_4_25">NA()</definedName>
    <definedName name="BidClass_Text_4_25_3">NA()</definedName>
    <definedName name="BidClass_Text_4_25_3_5">#REF!</definedName>
    <definedName name="BidClass_Text_4_25_5">#REF!</definedName>
    <definedName name="BidClass_Text_4_26">NA()</definedName>
    <definedName name="BidClass_Text_4_26_3">NA()</definedName>
    <definedName name="BidClass_Text_4_26_3_5">#REF!</definedName>
    <definedName name="BidClass_Text_4_26_5">#REF!</definedName>
    <definedName name="BidClass_Text_4_27">NA()</definedName>
    <definedName name="BidClass_Text_4_27_3">NA()</definedName>
    <definedName name="BidClass_Text_4_27_3_5">#REF!</definedName>
    <definedName name="BidClass_Text_4_27_5">#REF!</definedName>
    <definedName name="BidClass_Text_4_28">NA()</definedName>
    <definedName name="BidClass_Text_4_28_3">NA()</definedName>
    <definedName name="BidClass_Text_4_28_3_5">#REF!</definedName>
    <definedName name="BidClass_Text_4_28_5">#REF!</definedName>
    <definedName name="BidClass_Text_4_5">#REF!</definedName>
    <definedName name="BidClass_Text_4_6">NA()</definedName>
    <definedName name="BidClass_Text_4_6_3">NA()</definedName>
    <definedName name="BidClass_Text_4_6_3_5">#REF!</definedName>
    <definedName name="BidClass_Text_4_6_5">#REF!</definedName>
    <definedName name="BidClass_Text_4_7">NA()</definedName>
    <definedName name="BidClass_Text_4_7_3">NA()</definedName>
    <definedName name="BidClass_Text_4_7_3_5">#REF!</definedName>
    <definedName name="BidClass_Text_4_7_5">#REF!</definedName>
    <definedName name="BidClass_Text_4_8">NA()</definedName>
    <definedName name="BidClass_Text_4_8_3">NA()</definedName>
    <definedName name="BidClass_Text_4_8_3_5">#REF!</definedName>
    <definedName name="BidClass_Text_4_8_5">#REF!</definedName>
    <definedName name="BidClass_Text_4_9">NA()</definedName>
    <definedName name="BidClass_Text_4_9_3">NA()</definedName>
    <definedName name="BidClass_Text_4_9_3_5">#REF!</definedName>
    <definedName name="BidClass_Text_4_9_5">#REF!</definedName>
    <definedName name="BidClass_Text_5">#REF!</definedName>
    <definedName name="BidClass_Text_5_1">NA()</definedName>
    <definedName name="BidClass_Text_5_17">NA()</definedName>
    <definedName name="BidClass_Text_5_17_3">NA()</definedName>
    <definedName name="BidClass_Text_5_17_3_5">#REF!</definedName>
    <definedName name="BidClass_Text_5_17_5">#REF!</definedName>
    <definedName name="BidClass_Text_5_28">NA()</definedName>
    <definedName name="BidClass_Text_5_28_3">NA()</definedName>
    <definedName name="BidClass_Text_5_28_3_5">#REF!</definedName>
    <definedName name="BidClass_Text_5_28_5">#REF!</definedName>
    <definedName name="BidClass_Text_5_3">NA()</definedName>
    <definedName name="BidClass_Text_5_3_5">#REF!</definedName>
    <definedName name="BidClass_Text_5_5">#REF!</definedName>
    <definedName name="BidClass_Text_5_6">NA()</definedName>
    <definedName name="BidClass_Text_5_6_3">NA()</definedName>
    <definedName name="BidClass_Text_5_6_3_5">#REF!</definedName>
    <definedName name="BidClass_Text_5_6_5">#REF!</definedName>
    <definedName name="BidClass_Text_6">NA()</definedName>
    <definedName name="BidClass_Text_6_1">NA()</definedName>
    <definedName name="BidClass_Text_6_1_5">#REF!</definedName>
    <definedName name="BidClass_Text_6_10">NA()</definedName>
    <definedName name="BidClass_Text_6_10_3">NA()</definedName>
    <definedName name="BidClass_Text_6_10_3_5">#REF!</definedName>
    <definedName name="BidClass_Text_6_10_5">#REF!</definedName>
    <definedName name="BidClass_Text_6_12">NA()</definedName>
    <definedName name="BidClass_Text_6_12_3">NA()</definedName>
    <definedName name="BidClass_Text_6_12_3_5">#REF!</definedName>
    <definedName name="BidClass_Text_6_12_5">#REF!</definedName>
    <definedName name="BidClass_Text_6_13">NA()</definedName>
    <definedName name="BidClass_Text_6_13_3">NA()</definedName>
    <definedName name="BidClass_Text_6_13_3_5">#REF!</definedName>
    <definedName name="BidClass_Text_6_13_5">#REF!</definedName>
    <definedName name="BidClass_Text_6_14">NA()</definedName>
    <definedName name="BidClass_Text_6_14_3">NA()</definedName>
    <definedName name="BidClass_Text_6_14_3_5">#REF!</definedName>
    <definedName name="BidClass_Text_6_14_5">#REF!</definedName>
    <definedName name="BidClass_Text_6_15">NA()</definedName>
    <definedName name="BidClass_Text_6_15_3">NA()</definedName>
    <definedName name="BidClass_Text_6_15_3_5">#REF!</definedName>
    <definedName name="BidClass_Text_6_15_5">#REF!</definedName>
    <definedName name="BidClass_Text_6_16">NA()</definedName>
    <definedName name="BidClass_Text_6_16_3">NA()</definedName>
    <definedName name="BidClass_Text_6_16_3_5">#REF!</definedName>
    <definedName name="BidClass_Text_6_16_5">#REF!</definedName>
    <definedName name="BidClass_Text_6_17">NA()</definedName>
    <definedName name="BidClass_Text_6_17_3">NA()</definedName>
    <definedName name="BidClass_Text_6_17_3_5">#REF!</definedName>
    <definedName name="BidClass_Text_6_17_5">#REF!</definedName>
    <definedName name="BidClass_Text_6_18">NA()</definedName>
    <definedName name="BidClass_Text_6_18_1">NA()</definedName>
    <definedName name="BidClass_Text_6_18_1_5">#REF!</definedName>
    <definedName name="BidClass_Text_6_18_5">#REF!</definedName>
    <definedName name="BidClass_Text_6_19">NA()</definedName>
    <definedName name="BidClass_Text_6_19_5">#REF!</definedName>
    <definedName name="BidClass_Text_6_20">NA()</definedName>
    <definedName name="BidClass_Text_6_20_3">NA()</definedName>
    <definedName name="BidClass_Text_6_20_3_5">#REF!</definedName>
    <definedName name="BidClass_Text_6_20_5">#REF!</definedName>
    <definedName name="BidClass_Text_6_21">NA()</definedName>
    <definedName name="BidClass_Text_6_21_1">NA()</definedName>
    <definedName name="BidClass_Text_6_21_1_3">NA()</definedName>
    <definedName name="BidClass_Text_6_21_1_3_5">#REF!</definedName>
    <definedName name="BidClass_Text_6_21_1_5">#REF!</definedName>
    <definedName name="BidClass_Text_6_21_5">#REF!</definedName>
    <definedName name="BidClass_Text_6_22">NA()</definedName>
    <definedName name="BidClass_Text_6_22_3">NA()</definedName>
    <definedName name="BidClass_Text_6_22_3_5">#REF!</definedName>
    <definedName name="BidClass_Text_6_22_5">#REF!</definedName>
    <definedName name="BidClass_Text_6_23">NA()</definedName>
    <definedName name="BidClass_Text_6_23_3">NA()</definedName>
    <definedName name="BidClass_Text_6_23_3_5">#REF!</definedName>
    <definedName name="BidClass_Text_6_23_5">#REF!</definedName>
    <definedName name="BidClass_Text_6_24">NA()</definedName>
    <definedName name="BidClass_Text_6_24_3">NA()</definedName>
    <definedName name="BidClass_Text_6_24_3_5">#REF!</definedName>
    <definedName name="BidClass_Text_6_24_5">#REF!</definedName>
    <definedName name="BidClass_Text_6_25">NA()</definedName>
    <definedName name="BidClass_Text_6_25_3">NA()</definedName>
    <definedName name="BidClass_Text_6_25_3_5">#REF!</definedName>
    <definedName name="BidClass_Text_6_25_5">#REF!</definedName>
    <definedName name="BidClass_Text_6_26">NA()</definedName>
    <definedName name="BidClass_Text_6_26_3">NA()</definedName>
    <definedName name="BidClass_Text_6_26_3_5">#REF!</definedName>
    <definedName name="BidClass_Text_6_26_5">#REF!</definedName>
    <definedName name="BidClass_Text_6_27">NA()</definedName>
    <definedName name="BidClass_Text_6_27_3">NA()</definedName>
    <definedName name="BidClass_Text_6_27_3_5">#REF!</definedName>
    <definedName name="BidClass_Text_6_27_5">#REF!</definedName>
    <definedName name="BidClass_Text_6_28">NA()</definedName>
    <definedName name="BidClass_Text_6_28_3">NA()</definedName>
    <definedName name="BidClass_Text_6_28_3_5">#REF!</definedName>
    <definedName name="BidClass_Text_6_28_5">#REF!</definedName>
    <definedName name="BidClass_Text_6_5">#REF!</definedName>
    <definedName name="BidClass_Text_6_6">NA()</definedName>
    <definedName name="BidClass_Text_6_6_3">NA()</definedName>
    <definedName name="BidClass_Text_6_6_3_5">#REF!</definedName>
    <definedName name="BidClass_Text_6_6_5">#REF!</definedName>
    <definedName name="BidClass_Text_6_7">NA()</definedName>
    <definedName name="BidClass_Text_6_7_3">NA()</definedName>
    <definedName name="BidClass_Text_6_7_3_5">#REF!</definedName>
    <definedName name="BidClass_Text_6_7_5">#REF!</definedName>
    <definedName name="BidClass_Text_6_8">NA()</definedName>
    <definedName name="BidClass_Text_6_8_3">NA()</definedName>
    <definedName name="BidClass_Text_6_8_3_5">#REF!</definedName>
    <definedName name="BidClass_Text_6_8_5">#REF!</definedName>
    <definedName name="BidClass_Text_6_9">NA()</definedName>
    <definedName name="BidClass_Text_6_9_1">NA()</definedName>
    <definedName name="BidClass_Text_6_9_1_1">NA()</definedName>
    <definedName name="BidClass_Text_6_9_1_1_3">NA()</definedName>
    <definedName name="BidClass_Text_6_9_1_1_3_5">#REF!</definedName>
    <definedName name="BidClass_Text_6_9_1_1_5">#REF!</definedName>
    <definedName name="BidClass_Text_6_9_1_3">NA()</definedName>
    <definedName name="BidClass_Text_6_9_1_3_5">#REF!</definedName>
    <definedName name="BidClass_Text_6_9_1_5">#REF!</definedName>
    <definedName name="BidClass_Text_6_9_5">#REF!</definedName>
    <definedName name="BidClass_Text_7">NA()</definedName>
    <definedName name="BidClass_Text_7_5">#REF!</definedName>
    <definedName name="BidClass_Text_8">NA()</definedName>
    <definedName name="BidClass_Text_8_3">NA()</definedName>
    <definedName name="BidClass_Text_8_3_5">#REF!</definedName>
    <definedName name="BidClass_Text_8_5">#REF!</definedName>
    <definedName name="BidClass_Text_9">NA()</definedName>
    <definedName name="BidClass_Text_9_3">NA()</definedName>
    <definedName name="BidClass_Text_9_3_5">#REF!</definedName>
    <definedName name="BidClass_Text_9_5">#REF!</definedName>
    <definedName name="bill">#REF!</definedName>
    <definedName name="BILL_OF_QUANITITES">!#REF!</definedName>
    <definedName name="BillingFreq">NA()</definedName>
    <definedName name="BillingFreq_1">NA()</definedName>
    <definedName name="BillingFreq_1_3">NA()</definedName>
    <definedName name="BillingFreq_1_3_5">#REF!</definedName>
    <definedName name="BillingFreq_1_5">#REF!</definedName>
    <definedName name="BillingFreq_10">NA()</definedName>
    <definedName name="BillingFreq_10_1">NA()</definedName>
    <definedName name="BillingFreq_10_1_5">#REF!</definedName>
    <definedName name="BillingFreq_10_17">NA()</definedName>
    <definedName name="BillingFreq_10_17_5">#REF!</definedName>
    <definedName name="BillingFreq_10_5">#REF!</definedName>
    <definedName name="BillingFreq_11">NA()</definedName>
    <definedName name="BillingFreq_11_1">NA()</definedName>
    <definedName name="BillingFreq_11_1_5">#REF!</definedName>
    <definedName name="BillingFreq_11_5">#REF!</definedName>
    <definedName name="BillingFreq_12">NA()</definedName>
    <definedName name="BillingFreq_12_5">#REF!</definedName>
    <definedName name="BillingFreq_13">NA()</definedName>
    <definedName name="BillingFreq_13_5">#REF!</definedName>
    <definedName name="BillingFreq_14">NA()</definedName>
    <definedName name="BillingFreq_14_5">#REF!</definedName>
    <definedName name="BillingFreq_15">NA()</definedName>
    <definedName name="BillingFreq_15_1">NA()</definedName>
    <definedName name="BillingFreq_15_1_5">#REF!</definedName>
    <definedName name="BillingFreq_15_5">#REF!</definedName>
    <definedName name="BillingFreq_16">NA()</definedName>
    <definedName name="BillingFreq_16_1">NA()</definedName>
    <definedName name="BillingFreq_16_1_5">#REF!</definedName>
    <definedName name="BillingFreq_16_5">#REF!</definedName>
    <definedName name="BillingFreq_17">NA()</definedName>
    <definedName name="BillingFreq_17_1">NA()</definedName>
    <definedName name="BillingFreq_17_1_5">#REF!</definedName>
    <definedName name="BillingFreq_17_5">#REF!</definedName>
    <definedName name="BillingFreq_18">NA()</definedName>
    <definedName name="BillingFreq_18_1">NA()</definedName>
    <definedName name="BillingFreq_18_1_3">NA()</definedName>
    <definedName name="BillingFreq_18_1_3_5">#REF!</definedName>
    <definedName name="BillingFreq_18_1_5">#REF!</definedName>
    <definedName name="BillingFreq_18_5">#REF!</definedName>
    <definedName name="BillingFreq_19">NA()</definedName>
    <definedName name="BillingFreq_19_1">NA()</definedName>
    <definedName name="BillingFreq_19_1_5">#REF!</definedName>
    <definedName name="BillingFreq_19_5">#REF!</definedName>
    <definedName name="BillingFreq_2">NA()</definedName>
    <definedName name="BillingFreq_2_5">#REF!</definedName>
    <definedName name="BillingFreq_20">NA()</definedName>
    <definedName name="BillingFreq_20_1">NA()</definedName>
    <definedName name="BillingFreq_20_1_5">#REF!</definedName>
    <definedName name="BillingFreq_20_5">#REF!</definedName>
    <definedName name="BillingFreq_21">NA()</definedName>
    <definedName name="BillingFreq_21_1">NA()</definedName>
    <definedName name="BillingFreq_21_1_1">NA()</definedName>
    <definedName name="BillingFreq_21_1_1_5">#REF!</definedName>
    <definedName name="BillingFreq_21_1_5">#REF!</definedName>
    <definedName name="BillingFreq_21_5">#REF!</definedName>
    <definedName name="BillingFreq_22">NA()</definedName>
    <definedName name="BillingFreq_22_5">#REF!</definedName>
    <definedName name="BillingFreq_23">NA()</definedName>
    <definedName name="BillingFreq_23_5">#REF!</definedName>
    <definedName name="BillingFreq_24">NA()</definedName>
    <definedName name="BillingFreq_24_5">#REF!</definedName>
    <definedName name="BillingFreq_25">NA()</definedName>
    <definedName name="BillingFreq_25_5">#REF!</definedName>
    <definedName name="BillingFreq_26">NA()</definedName>
    <definedName name="BillingFreq_26_1">NA()</definedName>
    <definedName name="BillingFreq_26_1_5">#REF!</definedName>
    <definedName name="BillingFreq_26_5">#REF!</definedName>
    <definedName name="BillingFreq_27">NA()</definedName>
    <definedName name="BillingFreq_27_1">NA()</definedName>
    <definedName name="BillingFreq_27_1_5">#REF!</definedName>
    <definedName name="BillingFreq_27_5">#REF!</definedName>
    <definedName name="BillingFreq_28">NA()</definedName>
    <definedName name="BillingFreq_28_1">NA()</definedName>
    <definedName name="BillingFreq_28_1_5">#REF!</definedName>
    <definedName name="BillingFreq_28_5">#REF!</definedName>
    <definedName name="BillingFreq_29">NA()</definedName>
    <definedName name="BillingFreq_29_5">#REF!</definedName>
    <definedName name="BillingFreq_3">NA()</definedName>
    <definedName name="BillingFreq_3_5">#REF!</definedName>
    <definedName name="BillingFreq_4">NA()</definedName>
    <definedName name="BillingFreq_4_1">NA()</definedName>
    <definedName name="BillingFreq_4_1_1">NA()</definedName>
    <definedName name="BillingFreq_4_1_1_1">NA()</definedName>
    <definedName name="BillingFreq_4_1_1_1_1">NA()</definedName>
    <definedName name="BillingFreq_4_1_1_1_1_1">NA()</definedName>
    <definedName name="BillingFreq_4_1_1_1_1_1_5">#REF!</definedName>
    <definedName name="BillingFreq_4_1_1_1_1_3">NA()</definedName>
    <definedName name="BillingFreq_4_1_1_1_1_3_5">#REF!</definedName>
    <definedName name="BillingFreq_4_1_1_1_1_5">#REF!</definedName>
    <definedName name="BillingFreq_4_1_1_1_3">NA()</definedName>
    <definedName name="BillingFreq_4_1_1_1_3_1">NA()</definedName>
    <definedName name="BillingFreq_4_1_1_1_3_1_5">#REF!</definedName>
    <definedName name="BillingFreq_4_1_1_1_3_5">#REF!</definedName>
    <definedName name="BillingFreq_4_1_1_1_5">#REF!</definedName>
    <definedName name="BillingFreq_4_1_1_3">NA()</definedName>
    <definedName name="BillingFreq_4_1_1_3_5">#REF!</definedName>
    <definedName name="BillingFreq_4_1_1_5">#REF!</definedName>
    <definedName name="BillingFreq_4_1_17">NA()</definedName>
    <definedName name="BillingFreq_4_1_17_3">NA()</definedName>
    <definedName name="BillingFreq_4_1_17_3_5">#REF!</definedName>
    <definedName name="BillingFreq_4_1_17_5">#REF!</definedName>
    <definedName name="BillingFreq_4_1_28">NA()</definedName>
    <definedName name="BillingFreq_4_1_28_5">#REF!</definedName>
    <definedName name="BillingFreq_4_1_3">NA()</definedName>
    <definedName name="BillingFreq_4_1_3_5">#REF!</definedName>
    <definedName name="BillingFreq_4_1_5">#REF!</definedName>
    <definedName name="BillingFreq_4_1_6">NA()</definedName>
    <definedName name="BillingFreq_4_1_6_5">#REF!</definedName>
    <definedName name="BillingFreq_4_10">NA()</definedName>
    <definedName name="BillingFreq_4_10_5">#REF!</definedName>
    <definedName name="BillingFreq_4_12">NA()</definedName>
    <definedName name="BillingFreq_4_12_5">#REF!</definedName>
    <definedName name="BillingFreq_4_13">NA()</definedName>
    <definedName name="BillingFreq_4_13_5">#REF!</definedName>
    <definedName name="BillingFreq_4_14">NA()</definedName>
    <definedName name="BillingFreq_4_14_5">#REF!</definedName>
    <definedName name="BillingFreq_4_15">NA()</definedName>
    <definedName name="BillingFreq_4_15_5">#REF!</definedName>
    <definedName name="BillingFreq_4_16">NA()</definedName>
    <definedName name="BillingFreq_4_16_5">#REF!</definedName>
    <definedName name="BillingFreq_4_17">NA()</definedName>
    <definedName name="BillingFreq_4_17_5">#REF!</definedName>
    <definedName name="BillingFreq_4_18">NA()</definedName>
    <definedName name="BillingFreq_4_18_1">NA()</definedName>
    <definedName name="BillingFreq_4_18_1_3">NA()</definedName>
    <definedName name="BillingFreq_4_18_1_3_5">#REF!</definedName>
    <definedName name="BillingFreq_4_18_1_5">#REF!</definedName>
    <definedName name="BillingFreq_4_18_5">#REF!</definedName>
    <definedName name="BillingFreq_4_19">NA()</definedName>
    <definedName name="BillingFreq_4_19_5">#REF!</definedName>
    <definedName name="BillingFreq_4_20">NA()</definedName>
    <definedName name="BillingFreq_4_20_5">#REF!</definedName>
    <definedName name="BillingFreq_4_21">NA()</definedName>
    <definedName name="BillingFreq_4_21_1">NA()</definedName>
    <definedName name="BillingFreq_4_21_1_5">#REF!</definedName>
    <definedName name="BillingFreq_4_21_5">#REF!</definedName>
    <definedName name="BillingFreq_4_22">NA()</definedName>
    <definedName name="BillingFreq_4_22_5">#REF!</definedName>
    <definedName name="BillingFreq_4_23">NA()</definedName>
    <definedName name="BillingFreq_4_23_5">#REF!</definedName>
    <definedName name="BillingFreq_4_24">NA()</definedName>
    <definedName name="BillingFreq_4_24_5">#REF!</definedName>
    <definedName name="BillingFreq_4_25">NA()</definedName>
    <definedName name="BillingFreq_4_25_5">#REF!</definedName>
    <definedName name="BillingFreq_4_26">NA()</definedName>
    <definedName name="BillingFreq_4_26_5">#REF!</definedName>
    <definedName name="BillingFreq_4_27">NA()</definedName>
    <definedName name="BillingFreq_4_27_5">#REF!</definedName>
    <definedName name="BillingFreq_4_28">NA()</definedName>
    <definedName name="BillingFreq_4_28_5">#REF!</definedName>
    <definedName name="BillingFreq_4_5">#REF!</definedName>
    <definedName name="BillingFreq_4_6">NA()</definedName>
    <definedName name="BillingFreq_4_6_5">#REF!</definedName>
    <definedName name="BillingFreq_4_7">NA()</definedName>
    <definedName name="BillingFreq_4_7_5">#REF!</definedName>
    <definedName name="BillingFreq_4_8">NA()</definedName>
    <definedName name="BillingFreq_4_8_5">#REF!</definedName>
    <definedName name="BillingFreq_4_9">NA()</definedName>
    <definedName name="BillingFreq_4_9_5">#REF!</definedName>
    <definedName name="BillingFreq_5">#REF!</definedName>
    <definedName name="BillingFreq_5_1">NA()</definedName>
    <definedName name="BillingFreq_5_17">NA()</definedName>
    <definedName name="BillingFreq_5_17_5">#REF!</definedName>
    <definedName name="BillingFreq_5_28">NA()</definedName>
    <definedName name="BillingFreq_5_28_5">#REF!</definedName>
    <definedName name="BillingFreq_5_5">#REF!</definedName>
    <definedName name="BillingFreq_5_6">NA()</definedName>
    <definedName name="BillingFreq_5_6_5">#REF!</definedName>
    <definedName name="BillingFreq_6">NA()</definedName>
    <definedName name="BillingFreq_6_1">NA()</definedName>
    <definedName name="BillingFreq_6_1_5">#REF!</definedName>
    <definedName name="BillingFreq_6_10">NA()</definedName>
    <definedName name="BillingFreq_6_10_5">#REF!</definedName>
    <definedName name="BillingFreq_6_12">NA()</definedName>
    <definedName name="BillingFreq_6_12_5">#REF!</definedName>
    <definedName name="BillingFreq_6_13">NA()</definedName>
    <definedName name="BillingFreq_6_13_5">#REF!</definedName>
    <definedName name="BillingFreq_6_14">NA()</definedName>
    <definedName name="BillingFreq_6_14_5">#REF!</definedName>
    <definedName name="BillingFreq_6_15">NA()</definedName>
    <definedName name="BillingFreq_6_15_5">#REF!</definedName>
    <definedName name="BillingFreq_6_16">NA()</definedName>
    <definedName name="BillingFreq_6_16_5">#REF!</definedName>
    <definedName name="BillingFreq_6_17">NA()</definedName>
    <definedName name="BillingFreq_6_17_5">#REF!</definedName>
    <definedName name="BillingFreq_6_18">NA()</definedName>
    <definedName name="BillingFreq_6_18_1">NA()</definedName>
    <definedName name="BillingFreq_6_18_1_3">NA()</definedName>
    <definedName name="BillingFreq_6_18_1_3_5">#REF!</definedName>
    <definedName name="BillingFreq_6_18_1_5">#REF!</definedName>
    <definedName name="BillingFreq_6_18_5">#REF!</definedName>
    <definedName name="BillingFreq_6_19">NA()</definedName>
    <definedName name="BillingFreq_6_19_5">#REF!</definedName>
    <definedName name="BillingFreq_6_20">NA()</definedName>
    <definedName name="BillingFreq_6_20_5">#REF!</definedName>
    <definedName name="BillingFreq_6_21">NA()</definedName>
    <definedName name="BillingFreq_6_21_1">NA()</definedName>
    <definedName name="BillingFreq_6_21_1_5">#REF!</definedName>
    <definedName name="BillingFreq_6_21_5">#REF!</definedName>
    <definedName name="BillingFreq_6_22">NA()</definedName>
    <definedName name="BillingFreq_6_22_5">#REF!</definedName>
    <definedName name="BillingFreq_6_23">NA()</definedName>
    <definedName name="BillingFreq_6_23_5">#REF!</definedName>
    <definedName name="BillingFreq_6_24">NA()</definedName>
    <definedName name="BillingFreq_6_24_5">#REF!</definedName>
    <definedName name="BillingFreq_6_25">NA()</definedName>
    <definedName name="BillingFreq_6_25_5">#REF!</definedName>
    <definedName name="BillingFreq_6_26">NA()</definedName>
    <definedName name="BillingFreq_6_26_5">#REF!</definedName>
    <definedName name="BillingFreq_6_27">NA()</definedName>
    <definedName name="BillingFreq_6_27_5">#REF!</definedName>
    <definedName name="BillingFreq_6_28">NA()</definedName>
    <definedName name="BillingFreq_6_28_5">#REF!</definedName>
    <definedName name="BillingFreq_6_5">#REF!</definedName>
    <definedName name="BillingFreq_6_6">NA()</definedName>
    <definedName name="BillingFreq_6_6_5">#REF!</definedName>
    <definedName name="BillingFreq_6_7">NA()</definedName>
    <definedName name="BillingFreq_6_7_5">#REF!</definedName>
    <definedName name="BillingFreq_6_8">NA()</definedName>
    <definedName name="BillingFreq_6_8_5">#REF!</definedName>
    <definedName name="BillingFreq_6_9">NA()</definedName>
    <definedName name="BillingFreq_6_9_1">NA()</definedName>
    <definedName name="BillingFreq_6_9_1_1">NA()</definedName>
    <definedName name="BillingFreq_6_9_1_1_5">#REF!</definedName>
    <definedName name="BillingFreq_6_9_1_5">#REF!</definedName>
    <definedName name="BillingFreq_6_9_5">#REF!</definedName>
    <definedName name="BillingFreq_7">NA()</definedName>
    <definedName name="BillingFreq_7_5">#REF!</definedName>
    <definedName name="BillingFreq_8">NA()</definedName>
    <definedName name="BillingFreq_8_5">#REF!</definedName>
    <definedName name="BillingFreq_9">NA()</definedName>
    <definedName name="BillingFreq_9_5">#REF!</definedName>
    <definedName name="BillingTiming">NA()</definedName>
    <definedName name="BillingTiming_1">NA()</definedName>
    <definedName name="BillingTiming_1_3">NA()</definedName>
    <definedName name="BillingTiming_1_3_5">#REF!</definedName>
    <definedName name="BillingTiming_1_5">#REF!</definedName>
    <definedName name="BillingTiming_10">NA()</definedName>
    <definedName name="BillingTiming_10_1">NA()</definedName>
    <definedName name="BillingTiming_10_1_5">#REF!</definedName>
    <definedName name="BillingTiming_10_17">NA()</definedName>
    <definedName name="BillingTiming_10_17_5">#REF!</definedName>
    <definedName name="BillingTiming_10_5">#REF!</definedName>
    <definedName name="BillingTiming_11">NA()</definedName>
    <definedName name="BillingTiming_11_1">NA()</definedName>
    <definedName name="BillingTiming_11_1_5">#REF!</definedName>
    <definedName name="BillingTiming_11_5">#REF!</definedName>
    <definedName name="BillingTiming_12">NA()</definedName>
    <definedName name="BillingTiming_12_5">#REF!</definedName>
    <definedName name="BillingTiming_13">NA()</definedName>
    <definedName name="BillingTiming_13_5">#REF!</definedName>
    <definedName name="BillingTiming_14">NA()</definedName>
    <definedName name="BillingTiming_14_5">#REF!</definedName>
    <definedName name="BillingTiming_15">NA()</definedName>
    <definedName name="BillingTiming_15_1">NA()</definedName>
    <definedName name="BillingTiming_15_1_5">#REF!</definedName>
    <definedName name="BillingTiming_15_5">#REF!</definedName>
    <definedName name="BillingTiming_16">NA()</definedName>
    <definedName name="BillingTiming_16_1">NA()</definedName>
    <definedName name="BillingTiming_16_1_5">#REF!</definedName>
    <definedName name="BillingTiming_16_5">#REF!</definedName>
    <definedName name="BillingTiming_17">NA()</definedName>
    <definedName name="BillingTiming_17_1">NA()</definedName>
    <definedName name="BillingTiming_17_1_5">#REF!</definedName>
    <definedName name="BillingTiming_17_5">#REF!</definedName>
    <definedName name="BillingTiming_18">NA()</definedName>
    <definedName name="BillingTiming_18_1">NA()</definedName>
    <definedName name="BillingTiming_18_1_3">NA()</definedName>
    <definedName name="BillingTiming_18_1_3_5">#REF!</definedName>
    <definedName name="BillingTiming_18_1_5">#REF!</definedName>
    <definedName name="BillingTiming_18_5">#REF!</definedName>
    <definedName name="BillingTiming_19">NA()</definedName>
    <definedName name="BillingTiming_19_1">NA()</definedName>
    <definedName name="BillingTiming_19_1_5">#REF!</definedName>
    <definedName name="BillingTiming_19_5">#REF!</definedName>
    <definedName name="BillingTiming_2">NA()</definedName>
    <definedName name="BillingTiming_2_5">#REF!</definedName>
    <definedName name="BillingTiming_20">NA()</definedName>
    <definedName name="BillingTiming_20_1">NA()</definedName>
    <definedName name="BillingTiming_20_1_5">#REF!</definedName>
    <definedName name="BillingTiming_20_5">#REF!</definedName>
    <definedName name="BillingTiming_21">NA()</definedName>
    <definedName name="BillingTiming_21_1">NA()</definedName>
    <definedName name="BillingTiming_21_1_1">NA()</definedName>
    <definedName name="BillingTiming_21_1_1_5">#REF!</definedName>
    <definedName name="BillingTiming_21_1_5">#REF!</definedName>
    <definedName name="BillingTiming_21_5">#REF!</definedName>
    <definedName name="BillingTiming_22">NA()</definedName>
    <definedName name="BillingTiming_22_5">#REF!</definedName>
    <definedName name="BillingTiming_23">NA()</definedName>
    <definedName name="BillingTiming_23_5">#REF!</definedName>
    <definedName name="BillingTiming_24">NA()</definedName>
    <definedName name="BillingTiming_24_5">#REF!</definedName>
    <definedName name="BillingTiming_25">NA()</definedName>
    <definedName name="BillingTiming_25_5">#REF!</definedName>
    <definedName name="BillingTiming_26">NA()</definedName>
    <definedName name="BillingTiming_26_1">NA()</definedName>
    <definedName name="BillingTiming_26_1_5">#REF!</definedName>
    <definedName name="BillingTiming_26_5">#REF!</definedName>
    <definedName name="BillingTiming_27">NA()</definedName>
    <definedName name="BillingTiming_27_1">NA()</definedName>
    <definedName name="BillingTiming_27_1_5">#REF!</definedName>
    <definedName name="BillingTiming_27_5">#REF!</definedName>
    <definedName name="BillingTiming_28">NA()</definedName>
    <definedName name="BillingTiming_28_1">NA()</definedName>
    <definedName name="BillingTiming_28_1_5">#REF!</definedName>
    <definedName name="BillingTiming_28_5">#REF!</definedName>
    <definedName name="BillingTiming_29">NA()</definedName>
    <definedName name="BillingTiming_29_5">#REF!</definedName>
    <definedName name="BillingTiming_3">NA()</definedName>
    <definedName name="BillingTiming_3_5">#REF!</definedName>
    <definedName name="BillingTiming_4">NA()</definedName>
    <definedName name="BillingTiming_4_1">NA()</definedName>
    <definedName name="BillingTiming_4_1_1">NA()</definedName>
    <definedName name="BillingTiming_4_1_1_1">NA()</definedName>
    <definedName name="BillingTiming_4_1_1_1_1">NA()</definedName>
    <definedName name="BillingTiming_4_1_1_1_1_1">NA()</definedName>
    <definedName name="BillingTiming_4_1_1_1_1_1_5">#REF!</definedName>
    <definedName name="BillingTiming_4_1_1_1_1_3">NA()</definedName>
    <definedName name="BillingTiming_4_1_1_1_1_3_5">#REF!</definedName>
    <definedName name="BillingTiming_4_1_1_1_1_5">#REF!</definedName>
    <definedName name="BillingTiming_4_1_1_1_3">NA()</definedName>
    <definedName name="BillingTiming_4_1_1_1_3_1">NA()</definedName>
    <definedName name="BillingTiming_4_1_1_1_3_1_5">#REF!</definedName>
    <definedName name="BillingTiming_4_1_1_1_3_5">#REF!</definedName>
    <definedName name="BillingTiming_4_1_1_1_5">#REF!</definedName>
    <definedName name="BillingTiming_4_1_1_3">NA()</definedName>
    <definedName name="BillingTiming_4_1_1_3_5">#REF!</definedName>
    <definedName name="BillingTiming_4_1_1_5">#REF!</definedName>
    <definedName name="BillingTiming_4_1_17">NA()</definedName>
    <definedName name="BillingTiming_4_1_17_3">NA()</definedName>
    <definedName name="BillingTiming_4_1_17_3_5">#REF!</definedName>
    <definedName name="BillingTiming_4_1_17_5">#REF!</definedName>
    <definedName name="BillingTiming_4_1_28">NA()</definedName>
    <definedName name="BillingTiming_4_1_28_5">#REF!</definedName>
    <definedName name="BillingTiming_4_1_3">NA()</definedName>
    <definedName name="BillingTiming_4_1_3_5">#REF!</definedName>
    <definedName name="BillingTiming_4_1_5">#REF!</definedName>
    <definedName name="BillingTiming_4_1_6">NA()</definedName>
    <definedName name="BillingTiming_4_1_6_5">#REF!</definedName>
    <definedName name="BillingTiming_4_10">NA()</definedName>
    <definedName name="BillingTiming_4_10_5">#REF!</definedName>
    <definedName name="BillingTiming_4_12">NA()</definedName>
    <definedName name="BillingTiming_4_12_5">#REF!</definedName>
    <definedName name="BillingTiming_4_13">NA()</definedName>
    <definedName name="BillingTiming_4_13_5">#REF!</definedName>
    <definedName name="BillingTiming_4_14">NA()</definedName>
    <definedName name="BillingTiming_4_14_5">#REF!</definedName>
    <definedName name="BillingTiming_4_15">NA()</definedName>
    <definedName name="BillingTiming_4_15_5">#REF!</definedName>
    <definedName name="BillingTiming_4_16">NA()</definedName>
    <definedName name="BillingTiming_4_16_5">#REF!</definedName>
    <definedName name="BillingTiming_4_17">NA()</definedName>
    <definedName name="BillingTiming_4_17_5">#REF!</definedName>
    <definedName name="BillingTiming_4_18">NA()</definedName>
    <definedName name="BillingTiming_4_18_1">NA()</definedName>
    <definedName name="BillingTiming_4_18_1_3">NA()</definedName>
    <definedName name="BillingTiming_4_18_1_3_5">#REF!</definedName>
    <definedName name="BillingTiming_4_18_1_5">#REF!</definedName>
    <definedName name="BillingTiming_4_18_5">#REF!</definedName>
    <definedName name="BillingTiming_4_19">NA()</definedName>
    <definedName name="BillingTiming_4_19_5">#REF!</definedName>
    <definedName name="BillingTiming_4_20">NA()</definedName>
    <definedName name="BillingTiming_4_20_5">#REF!</definedName>
    <definedName name="BillingTiming_4_21">NA()</definedName>
    <definedName name="BillingTiming_4_21_1">NA()</definedName>
    <definedName name="BillingTiming_4_21_1_5">#REF!</definedName>
    <definedName name="BillingTiming_4_21_5">#REF!</definedName>
    <definedName name="BillingTiming_4_22">NA()</definedName>
    <definedName name="BillingTiming_4_22_5">#REF!</definedName>
    <definedName name="BillingTiming_4_23">NA()</definedName>
    <definedName name="BillingTiming_4_23_5">#REF!</definedName>
    <definedName name="BillingTiming_4_24">NA()</definedName>
    <definedName name="BillingTiming_4_24_5">#REF!</definedName>
    <definedName name="BillingTiming_4_25">NA()</definedName>
    <definedName name="BillingTiming_4_25_5">#REF!</definedName>
    <definedName name="BillingTiming_4_26">NA()</definedName>
    <definedName name="BillingTiming_4_26_5">#REF!</definedName>
    <definedName name="BillingTiming_4_27">NA()</definedName>
    <definedName name="BillingTiming_4_27_5">#REF!</definedName>
    <definedName name="BillingTiming_4_28">NA()</definedName>
    <definedName name="BillingTiming_4_28_5">#REF!</definedName>
    <definedName name="BillingTiming_4_5">#REF!</definedName>
    <definedName name="BillingTiming_4_6">NA()</definedName>
    <definedName name="BillingTiming_4_6_5">#REF!</definedName>
    <definedName name="BillingTiming_4_7">NA()</definedName>
    <definedName name="BillingTiming_4_7_5">#REF!</definedName>
    <definedName name="BillingTiming_4_8">NA()</definedName>
    <definedName name="BillingTiming_4_8_5">#REF!</definedName>
    <definedName name="BillingTiming_4_9">NA()</definedName>
    <definedName name="BillingTiming_4_9_5">#REF!</definedName>
    <definedName name="BillingTiming_5">#REF!</definedName>
    <definedName name="BillingTiming_5_1">NA()</definedName>
    <definedName name="BillingTiming_5_17">NA()</definedName>
    <definedName name="BillingTiming_5_17_5">#REF!</definedName>
    <definedName name="BillingTiming_5_28">NA()</definedName>
    <definedName name="BillingTiming_5_28_5">#REF!</definedName>
    <definedName name="BillingTiming_5_5">#REF!</definedName>
    <definedName name="BillingTiming_5_6">NA()</definedName>
    <definedName name="BillingTiming_5_6_5">#REF!</definedName>
    <definedName name="BillingTiming_6">NA()</definedName>
    <definedName name="BillingTiming_6_1">NA()</definedName>
    <definedName name="BillingTiming_6_1_5">#REF!</definedName>
    <definedName name="BillingTiming_6_10">NA()</definedName>
    <definedName name="BillingTiming_6_10_5">#REF!</definedName>
    <definedName name="BillingTiming_6_12">NA()</definedName>
    <definedName name="BillingTiming_6_12_5">#REF!</definedName>
    <definedName name="BillingTiming_6_13">NA()</definedName>
    <definedName name="BillingTiming_6_13_5">#REF!</definedName>
    <definedName name="BillingTiming_6_14">NA()</definedName>
    <definedName name="BillingTiming_6_14_5">#REF!</definedName>
    <definedName name="BillingTiming_6_15">NA()</definedName>
    <definedName name="BillingTiming_6_15_5">#REF!</definedName>
    <definedName name="BillingTiming_6_16">NA()</definedName>
    <definedName name="BillingTiming_6_16_5">#REF!</definedName>
    <definedName name="BillingTiming_6_17">NA()</definedName>
    <definedName name="BillingTiming_6_17_5">#REF!</definedName>
    <definedName name="BillingTiming_6_18">NA()</definedName>
    <definedName name="BillingTiming_6_18_1">NA()</definedName>
    <definedName name="BillingTiming_6_18_1_3">NA()</definedName>
    <definedName name="BillingTiming_6_18_1_3_5">#REF!</definedName>
    <definedName name="BillingTiming_6_18_1_5">#REF!</definedName>
    <definedName name="BillingTiming_6_18_5">#REF!</definedName>
    <definedName name="BillingTiming_6_19">NA()</definedName>
    <definedName name="BillingTiming_6_19_5">#REF!</definedName>
    <definedName name="BillingTiming_6_20">NA()</definedName>
    <definedName name="BillingTiming_6_20_5">#REF!</definedName>
    <definedName name="BillingTiming_6_21">NA()</definedName>
    <definedName name="BillingTiming_6_21_1">NA()</definedName>
    <definedName name="BillingTiming_6_21_1_5">#REF!</definedName>
    <definedName name="BillingTiming_6_21_5">#REF!</definedName>
    <definedName name="BillingTiming_6_22">NA()</definedName>
    <definedName name="BillingTiming_6_22_5">#REF!</definedName>
    <definedName name="BillingTiming_6_23">NA()</definedName>
    <definedName name="BillingTiming_6_23_5">#REF!</definedName>
    <definedName name="BillingTiming_6_24">NA()</definedName>
    <definedName name="BillingTiming_6_24_5">#REF!</definedName>
    <definedName name="BillingTiming_6_25">NA()</definedName>
    <definedName name="BillingTiming_6_25_5">#REF!</definedName>
    <definedName name="BillingTiming_6_26">NA()</definedName>
    <definedName name="BillingTiming_6_26_5">#REF!</definedName>
    <definedName name="BillingTiming_6_27">NA()</definedName>
    <definedName name="BillingTiming_6_27_5">#REF!</definedName>
    <definedName name="BillingTiming_6_28">NA()</definedName>
    <definedName name="BillingTiming_6_28_5">#REF!</definedName>
    <definedName name="BillingTiming_6_5">#REF!</definedName>
    <definedName name="BillingTiming_6_6">NA()</definedName>
    <definedName name="BillingTiming_6_6_5">#REF!</definedName>
    <definedName name="BillingTiming_6_7">NA()</definedName>
    <definedName name="BillingTiming_6_7_5">#REF!</definedName>
    <definedName name="BillingTiming_6_8">NA()</definedName>
    <definedName name="BillingTiming_6_8_5">#REF!</definedName>
    <definedName name="BillingTiming_6_9">NA()</definedName>
    <definedName name="BillingTiming_6_9_1">NA()</definedName>
    <definedName name="BillingTiming_6_9_1_1">NA()</definedName>
    <definedName name="BillingTiming_6_9_1_1_5">#REF!</definedName>
    <definedName name="BillingTiming_6_9_1_5">#REF!</definedName>
    <definedName name="BillingTiming_6_9_5">#REF!</definedName>
    <definedName name="BillingTiming_7">NA()</definedName>
    <definedName name="BillingTiming_7_5">#REF!</definedName>
    <definedName name="BillingTiming_8">NA()</definedName>
    <definedName name="BillingTiming_8_5">#REF!</definedName>
    <definedName name="BillingTiming_9">NA()</definedName>
    <definedName name="BillingTiming_9_5">#REF!</definedName>
    <definedName name="billto_add1">#REF!</definedName>
    <definedName name="billto_add1_1">#REF!</definedName>
    <definedName name="billto_add1_1_1">NA()</definedName>
    <definedName name="billto_add1_1_1_1">NA()</definedName>
    <definedName name="billto_add1_1_8">NA()</definedName>
    <definedName name="billto_add1_2">NA()</definedName>
    <definedName name="billto_add1_2_1">NA()</definedName>
    <definedName name="billto_add1_3">#REF!</definedName>
    <definedName name="billto_add1_3_1">NA()</definedName>
    <definedName name="billto_add1_3_8">NA()</definedName>
    <definedName name="billto_add1_4">#REF!</definedName>
    <definedName name="billto_add1_4_1">NA()</definedName>
    <definedName name="billto_add1_4_1_1">NA()</definedName>
    <definedName name="billto_add1_4_8">NA()</definedName>
    <definedName name="billto_add1_5">#REF!</definedName>
    <definedName name="billto_add1_5_1">NA()</definedName>
    <definedName name="billto_add1_5_1_1">NA()</definedName>
    <definedName name="billto_add1_6">#REF!</definedName>
    <definedName name="billto_add1_6_1">NA()</definedName>
    <definedName name="billto_add1_6_1_1">NA()</definedName>
    <definedName name="billto_add1_7">#REF!</definedName>
    <definedName name="billto_add1_7_1">NA()</definedName>
    <definedName name="billto_add1_8">NA()</definedName>
    <definedName name="billto_add2">#REF!</definedName>
    <definedName name="billto_add2_1">#REF!</definedName>
    <definedName name="billto_add2_1_1">NA()</definedName>
    <definedName name="billto_add2_1_1_1">NA()</definedName>
    <definedName name="billto_add2_1_8">NA()</definedName>
    <definedName name="billto_add2_2">NA()</definedName>
    <definedName name="billto_add2_2_1">NA()</definedName>
    <definedName name="billto_add2_3">#REF!</definedName>
    <definedName name="billto_add2_3_1">NA()</definedName>
    <definedName name="billto_add2_3_8">NA()</definedName>
    <definedName name="billto_add2_4">#REF!</definedName>
    <definedName name="billto_add2_4_1">NA()</definedName>
    <definedName name="billto_add2_4_1_1">NA()</definedName>
    <definedName name="billto_add2_4_8">NA()</definedName>
    <definedName name="billto_add2_5">#REF!</definedName>
    <definedName name="billto_add2_5_1">NA()</definedName>
    <definedName name="billto_add2_5_1_1">NA()</definedName>
    <definedName name="billto_add2_6">#REF!</definedName>
    <definedName name="billto_add2_6_1">NA()</definedName>
    <definedName name="billto_add2_6_1_1">NA()</definedName>
    <definedName name="billto_add2_7">#REF!</definedName>
    <definedName name="billto_add2_7_1">NA()</definedName>
    <definedName name="billto_add2_8">NA()</definedName>
    <definedName name="billto_citystatezip">#REF!</definedName>
    <definedName name="billto_citystatezip_1">#REF!</definedName>
    <definedName name="billto_citystatezip_1_1">NA()</definedName>
    <definedName name="billto_citystatezip_1_1_1">NA()</definedName>
    <definedName name="billto_citystatezip_1_8">NA()</definedName>
    <definedName name="billto_citystatezip_2">NA()</definedName>
    <definedName name="billto_citystatezip_2_1">NA()</definedName>
    <definedName name="billto_citystatezip_3">#REF!</definedName>
    <definedName name="billto_citystatezip_3_1">NA()</definedName>
    <definedName name="billto_citystatezip_3_8">NA()</definedName>
    <definedName name="billto_citystatezip_4">#REF!</definedName>
    <definedName name="billto_citystatezip_4_1">NA()</definedName>
    <definedName name="billto_citystatezip_4_1_1">NA()</definedName>
    <definedName name="billto_citystatezip_4_8">NA()</definedName>
    <definedName name="billto_citystatezip_5">#REF!</definedName>
    <definedName name="billto_citystatezip_5_1">NA()</definedName>
    <definedName name="billto_citystatezip_5_1_1">NA()</definedName>
    <definedName name="billto_citystatezip_6">#REF!</definedName>
    <definedName name="billto_citystatezip_6_1">NA()</definedName>
    <definedName name="billto_citystatezip_6_1_1">NA()</definedName>
    <definedName name="billto_citystatezip_7">#REF!</definedName>
    <definedName name="billto_citystatezip_7_1">NA()</definedName>
    <definedName name="billto_citystatezip_8">NA()</definedName>
    <definedName name="billto_contact">#REF!</definedName>
    <definedName name="billto_contact_1">#REF!</definedName>
    <definedName name="billto_contact_1_1">NA()</definedName>
    <definedName name="billto_contact_1_1_1">NA()</definedName>
    <definedName name="billto_contact_1_8">NA()</definedName>
    <definedName name="billto_contact_2">NA()</definedName>
    <definedName name="billto_contact_2_1">NA()</definedName>
    <definedName name="billto_contact_3">#REF!</definedName>
    <definedName name="billto_contact_3_1">NA()</definedName>
    <definedName name="billto_contact_3_8">NA()</definedName>
    <definedName name="billto_contact_4">#REF!</definedName>
    <definedName name="billto_contact_4_1">NA()</definedName>
    <definedName name="billto_contact_4_1_1">NA()</definedName>
    <definedName name="billto_contact_4_8">NA()</definedName>
    <definedName name="billto_contact_5">#REF!</definedName>
    <definedName name="billto_contact_5_1">NA()</definedName>
    <definedName name="billto_contact_5_1_1">NA()</definedName>
    <definedName name="billto_contact_6">#REF!</definedName>
    <definedName name="billto_contact_6_1">NA()</definedName>
    <definedName name="billto_contact_6_1_1">NA()</definedName>
    <definedName name="billto_contact_7">#REF!</definedName>
    <definedName name="billto_contact_7_1">NA()</definedName>
    <definedName name="billto_contact_8">NA()</definedName>
    <definedName name="billto_email">#REF!</definedName>
    <definedName name="billto_email_1">#REF!</definedName>
    <definedName name="billto_email_1_1">NA()</definedName>
    <definedName name="billto_email_1_1_1">NA()</definedName>
    <definedName name="billto_email_1_8">NA()</definedName>
    <definedName name="billto_email_2">NA()</definedName>
    <definedName name="billto_email_2_1">NA()</definedName>
    <definedName name="billto_email_3">#REF!</definedName>
    <definedName name="billto_email_3_1">NA()</definedName>
    <definedName name="billto_email_3_8">NA()</definedName>
    <definedName name="billto_email_4">#REF!</definedName>
    <definedName name="billto_email_4_1">NA()</definedName>
    <definedName name="billto_email_4_1_1">NA()</definedName>
    <definedName name="billto_email_4_8">NA()</definedName>
    <definedName name="billto_email_5">#REF!</definedName>
    <definedName name="billto_email_5_1">NA()</definedName>
    <definedName name="billto_email_5_1_1">NA()</definedName>
    <definedName name="billto_email_6">#REF!</definedName>
    <definedName name="billto_email_6_1">NA()</definedName>
    <definedName name="billto_email_6_1_1">NA()</definedName>
    <definedName name="billto_email_7">#REF!</definedName>
    <definedName name="billto_email_7_1">NA()</definedName>
    <definedName name="billto_email_8">NA()</definedName>
    <definedName name="billto_phone">#REF!</definedName>
    <definedName name="billto_phone_1">#REF!</definedName>
    <definedName name="billto_phone_1_1">NA()</definedName>
    <definedName name="billto_phone_1_1_1">NA()</definedName>
    <definedName name="billto_phone_1_8">NA()</definedName>
    <definedName name="billto_phone_2">NA()</definedName>
    <definedName name="billto_phone_2_1">NA()</definedName>
    <definedName name="billto_phone_3">#REF!</definedName>
    <definedName name="billto_phone_3_1">NA()</definedName>
    <definedName name="billto_phone_3_8">NA()</definedName>
    <definedName name="billto_phone_4">#REF!</definedName>
    <definedName name="billto_phone_4_1">NA()</definedName>
    <definedName name="billto_phone_4_1_1">NA()</definedName>
    <definedName name="billto_phone_4_8">NA()</definedName>
    <definedName name="billto_phone_5">#REF!</definedName>
    <definedName name="billto_phone_5_1">NA()</definedName>
    <definedName name="billto_phone_5_1_1">NA()</definedName>
    <definedName name="billto_phone_6">#REF!</definedName>
    <definedName name="billto_phone_6_1">NA()</definedName>
    <definedName name="billto_phone_6_1_1">NA()</definedName>
    <definedName name="billto_phone_7">#REF!</definedName>
    <definedName name="billto_phone_7_1">NA()</definedName>
    <definedName name="billto_phone_8">NA()</definedName>
    <definedName name="billtoemail">#REF!</definedName>
    <definedName name="billtoemail_1">#REF!</definedName>
    <definedName name="billtoemail_1_1">NA()</definedName>
    <definedName name="billtoemail_1_1_1">NA()</definedName>
    <definedName name="billtoemail_1_8">NA()</definedName>
    <definedName name="billtoemail_2">NA()</definedName>
    <definedName name="billtoemail_2_1">NA()</definedName>
    <definedName name="billtoemail_3">#REF!</definedName>
    <definedName name="billtoemail_3_1">NA()</definedName>
    <definedName name="billtoemail_3_8">NA()</definedName>
    <definedName name="billtoemail_4">#REF!</definedName>
    <definedName name="billtoemail_4_1">NA()</definedName>
    <definedName name="billtoemail_4_1_1">NA()</definedName>
    <definedName name="billtoemail_4_8">NA()</definedName>
    <definedName name="billtoemail_5">#REF!</definedName>
    <definedName name="billtoemail_5_1">NA()</definedName>
    <definedName name="billtoemail_5_1_1">NA()</definedName>
    <definedName name="billtoemail_6">#REF!</definedName>
    <definedName name="billtoemail_6_1">NA()</definedName>
    <definedName name="billtoemail_6_1_1">NA()</definedName>
    <definedName name="billtoemail_7">#REF!</definedName>
    <definedName name="billtoemail_7_1">NA()</definedName>
    <definedName name="billtoemail_8">NA()</definedName>
    <definedName name="bind">#REF!</definedName>
    <definedName name="binding">#REF!</definedName>
    <definedName name="BindingKabrai">#REF!</definedName>
    <definedName name="bitpaper">#REF!</definedName>
    <definedName name="bitumen">#REF!</definedName>
    <definedName name="bitumen6070">#REF!</definedName>
    <definedName name="bitumenboiler">#REF!</definedName>
    <definedName name="bitumenemul">#REF!</definedName>
    <definedName name="bitumenRd">#REF!</definedName>
    <definedName name="BitumenRdO">#REF!</definedName>
    <definedName name="BJ" hidden="1">[10]analysis!#REF!</definedName>
    <definedName name="bjlc">#REF!</definedName>
    <definedName name="bk1_3">#REF!</definedName>
    <definedName name="Bkedging">#REF!</definedName>
    <definedName name="BkSoling">#REF!</definedName>
    <definedName name="bksolinglabO">#REF!</definedName>
    <definedName name="bkstack">#REF!</definedName>
    <definedName name="blacksmith">#REF!</definedName>
    <definedName name="blacksmithhelper">#REF!</definedName>
    <definedName name="blaster">#REF!</definedName>
    <definedName name="BldgQty">NA()</definedName>
    <definedName name="BldgQty_5">#REF!</definedName>
    <definedName name="Block" hidden="1">#REF!</definedName>
    <definedName name="Blockwise">#REF!</definedName>
    <definedName name="Bls">#REF!</definedName>
    <definedName name="BM">#REF!</definedName>
    <definedName name="bmpccrate">#REF!</definedName>
    <definedName name="BMSFR">#REF!</definedName>
    <definedName name="bn">#REF!</definedName>
    <definedName name="BNP">#REF!</definedName>
    <definedName name="bny" hidden="1">{#N/A,#N/A,TRUE,"Front";#N/A,#N/A,TRUE,"Simple Letter";#N/A,#N/A,TRUE,"Inside";#N/A,#N/A,TRUE,"Contents";#N/A,#N/A,TRUE,"Basis";#N/A,#N/A,TRUE,"Inclusions";#N/A,#N/A,TRUE,"Exclusions";#N/A,#N/A,TRUE,"Areas";#N/A,#N/A,TRUE,"Summary";#N/A,#N/A,TRUE,"Detail"}</definedName>
    <definedName name="bo" hidden="1">#REF!</definedName>
    <definedName name="bo_1">#REF!</definedName>
    <definedName name="bo_10">#REF!</definedName>
    <definedName name="bo_11">#REF!</definedName>
    <definedName name="bo_2">#REF!</definedName>
    <definedName name="bo_3">#REF!</definedName>
    <definedName name="bo_4">#REF!</definedName>
    <definedName name="bo_5">#REF!</definedName>
    <definedName name="bo_6">#REF!</definedName>
    <definedName name="bo_7">#REF!</definedName>
    <definedName name="bo_8">#REF!</definedName>
    <definedName name="bo_9">#REF!</definedName>
    <definedName name="boe_rdside">#REF!</definedName>
    <definedName name="boeWide_rdSide">#REF!</definedName>
    <definedName name="boilerRd">#REF!</definedName>
    <definedName name="bol">#REF!</definedName>
    <definedName name="bol_1">NA()</definedName>
    <definedName name="bol_10">NA()</definedName>
    <definedName name="bol_10_3">NA()</definedName>
    <definedName name="bol_10_3_5">#REF!</definedName>
    <definedName name="bol_10_5">#REF!</definedName>
    <definedName name="bol_12">NA()</definedName>
    <definedName name="bol_12_3">NA()</definedName>
    <definedName name="bol_12_3_5">#REF!</definedName>
    <definedName name="bol_12_5">#REF!</definedName>
    <definedName name="bol_13">NA()</definedName>
    <definedName name="bol_13_3">NA()</definedName>
    <definedName name="bol_13_3_5">#REF!</definedName>
    <definedName name="bol_13_5">#REF!</definedName>
    <definedName name="bol_14">NA()</definedName>
    <definedName name="bol_14_3">NA()</definedName>
    <definedName name="bol_14_3_5">#REF!</definedName>
    <definedName name="bol_14_5">#REF!</definedName>
    <definedName name="bol_15">NA()</definedName>
    <definedName name="bol_15_3">NA()</definedName>
    <definedName name="bol_15_3_5">#REF!</definedName>
    <definedName name="bol_15_5">#REF!</definedName>
    <definedName name="bol_16">NA()</definedName>
    <definedName name="bol_16_3">NA()</definedName>
    <definedName name="bol_16_3_5">#REF!</definedName>
    <definedName name="bol_16_5">#REF!</definedName>
    <definedName name="bol_17">NA()</definedName>
    <definedName name="bol_17_3">NA()</definedName>
    <definedName name="bol_17_3_5">#REF!</definedName>
    <definedName name="bol_17_5">#REF!</definedName>
    <definedName name="bol_18">NA()</definedName>
    <definedName name="bol_18_5">#REF!</definedName>
    <definedName name="bol_19">NA()</definedName>
    <definedName name="bol_19_5">#REF!</definedName>
    <definedName name="bol_2">NA()</definedName>
    <definedName name="bol_20">NA()</definedName>
    <definedName name="bol_20_3">NA()</definedName>
    <definedName name="bol_20_3_5">#REF!</definedName>
    <definedName name="bol_20_5">#REF!</definedName>
    <definedName name="bol_21">NA()</definedName>
    <definedName name="bol_21_3">NA()</definedName>
    <definedName name="bol_21_3_5">#REF!</definedName>
    <definedName name="bol_21_5">#REF!</definedName>
    <definedName name="bol_22">NA()</definedName>
    <definedName name="bol_22_3">NA()</definedName>
    <definedName name="bol_22_3_5">#REF!</definedName>
    <definedName name="bol_22_5">#REF!</definedName>
    <definedName name="bol_23">NA()</definedName>
    <definedName name="bol_23_3">NA()</definedName>
    <definedName name="bol_23_3_5">#REF!</definedName>
    <definedName name="bol_23_5">#REF!</definedName>
    <definedName name="bol_24">NA()</definedName>
    <definedName name="bol_24_3">NA()</definedName>
    <definedName name="bol_24_3_5">#REF!</definedName>
    <definedName name="bol_24_5">#REF!</definedName>
    <definedName name="bol_25">NA()</definedName>
    <definedName name="bol_25_3">NA()</definedName>
    <definedName name="bol_25_3_5">#REF!</definedName>
    <definedName name="bol_25_5">#REF!</definedName>
    <definedName name="bol_26">NA()</definedName>
    <definedName name="bol_26_3">NA()</definedName>
    <definedName name="bol_26_3_5">#REF!</definedName>
    <definedName name="bol_26_5">#REF!</definedName>
    <definedName name="bol_27">NA()</definedName>
    <definedName name="bol_27_3">NA()</definedName>
    <definedName name="bol_27_3_5">#REF!</definedName>
    <definedName name="bol_27_5">#REF!</definedName>
    <definedName name="bol_28">NA()</definedName>
    <definedName name="bol_28_3">NA()</definedName>
    <definedName name="bol_28_3_5">#REF!</definedName>
    <definedName name="bol_28_5">#REF!</definedName>
    <definedName name="bol_4">#N/A</definedName>
    <definedName name="bol_5">#REF!</definedName>
    <definedName name="bol_6">NA()</definedName>
    <definedName name="bol_6_3">NA()</definedName>
    <definedName name="bol_6_3_5">#REF!</definedName>
    <definedName name="bol_6_5">#REF!</definedName>
    <definedName name="bol_7">NA()</definedName>
    <definedName name="bol_7_3">NA()</definedName>
    <definedName name="bol_7_3_5">#REF!</definedName>
    <definedName name="bol_7_5">#REF!</definedName>
    <definedName name="bol_8">NA()</definedName>
    <definedName name="bol_8_3">NA()</definedName>
    <definedName name="bol_8_3_5">#REF!</definedName>
    <definedName name="bol_8_5">#REF!</definedName>
    <definedName name="bol_9">NA()</definedName>
    <definedName name="bol_9_1">NA()</definedName>
    <definedName name="bol_9_1_1">NA()</definedName>
    <definedName name="bol_9_1_1_3">NA()</definedName>
    <definedName name="bol_9_1_1_3_5">#REF!</definedName>
    <definedName name="bol_9_1_1_5">#REF!</definedName>
    <definedName name="bol_9_1_3">NA()</definedName>
    <definedName name="bol_9_1_3_5">#REF!</definedName>
    <definedName name="bol_9_1_5">#REF!</definedName>
    <definedName name="bol_9_5">#REF!</definedName>
    <definedName name="BOLT">INDIRECT("단중표!$T$8:$U$10")</definedName>
    <definedName name="boml">NA()</definedName>
    <definedName name="boml_1">NA()</definedName>
    <definedName name="boml_10">NA()</definedName>
    <definedName name="boml_10_3">NA()</definedName>
    <definedName name="boml_10_3_5">#REF!</definedName>
    <definedName name="boml_10_5">#REF!</definedName>
    <definedName name="boml_12">NA()</definedName>
    <definedName name="boml_12_3">NA()</definedName>
    <definedName name="boml_12_3_5">#REF!</definedName>
    <definedName name="boml_12_5">#REF!</definedName>
    <definedName name="boml_13">NA()</definedName>
    <definedName name="boml_13_3">NA()</definedName>
    <definedName name="boml_13_3_5">#REF!</definedName>
    <definedName name="boml_13_5">#REF!</definedName>
    <definedName name="boml_14">NA()</definedName>
    <definedName name="boml_14_3">NA()</definedName>
    <definedName name="boml_14_3_5">#REF!</definedName>
    <definedName name="boml_14_5">#REF!</definedName>
    <definedName name="boml_15">NA()</definedName>
    <definedName name="boml_15_3">NA()</definedName>
    <definedName name="boml_15_3_5">#REF!</definedName>
    <definedName name="boml_15_5">#REF!</definedName>
    <definedName name="boml_16">NA()</definedName>
    <definedName name="boml_16_3">NA()</definedName>
    <definedName name="boml_16_3_5">#REF!</definedName>
    <definedName name="boml_16_5">#REF!</definedName>
    <definedName name="boml_17">NA()</definedName>
    <definedName name="boml_17_3">NA()</definedName>
    <definedName name="boml_17_3_5">#REF!</definedName>
    <definedName name="boml_17_5">#REF!</definedName>
    <definedName name="boml_18">NA()</definedName>
    <definedName name="boml_18_5">#REF!</definedName>
    <definedName name="boml_19">NA()</definedName>
    <definedName name="boml_19_5">#REF!</definedName>
    <definedName name="boml_2">NA()</definedName>
    <definedName name="boml_20">NA()</definedName>
    <definedName name="boml_20_3">NA()</definedName>
    <definedName name="boml_20_3_5">#REF!</definedName>
    <definedName name="boml_20_5">#REF!</definedName>
    <definedName name="boml_21">NA()</definedName>
    <definedName name="boml_21_3">NA()</definedName>
    <definedName name="boml_21_3_5">#REF!</definedName>
    <definedName name="boml_21_5">#REF!</definedName>
    <definedName name="boml_22">NA()</definedName>
    <definedName name="boml_22_3">NA()</definedName>
    <definedName name="boml_22_3_5">#REF!</definedName>
    <definedName name="boml_22_5">#REF!</definedName>
    <definedName name="boml_23">NA()</definedName>
    <definedName name="boml_23_3">NA()</definedName>
    <definedName name="boml_23_3_5">#REF!</definedName>
    <definedName name="boml_23_5">#REF!</definedName>
    <definedName name="boml_24">NA()</definedName>
    <definedName name="boml_24_3">NA()</definedName>
    <definedName name="boml_24_3_5">#REF!</definedName>
    <definedName name="boml_24_5">#REF!</definedName>
    <definedName name="boml_25">NA()</definedName>
    <definedName name="boml_25_3">NA()</definedName>
    <definedName name="boml_25_3_5">#REF!</definedName>
    <definedName name="boml_25_5">#REF!</definedName>
    <definedName name="boml_26">NA()</definedName>
    <definedName name="boml_26_3">NA()</definedName>
    <definedName name="boml_26_3_5">#REF!</definedName>
    <definedName name="boml_26_5">#REF!</definedName>
    <definedName name="boml_27">NA()</definedName>
    <definedName name="boml_27_3">NA()</definedName>
    <definedName name="boml_27_3_5">#REF!</definedName>
    <definedName name="boml_27_5">#REF!</definedName>
    <definedName name="boml_28">NA()</definedName>
    <definedName name="boml_28_3">NA()</definedName>
    <definedName name="boml_28_3_5">#REF!</definedName>
    <definedName name="boml_28_5">#REF!</definedName>
    <definedName name="boml_4">#N/A</definedName>
    <definedName name="boml_5">#REF!</definedName>
    <definedName name="boml_6">NA()</definedName>
    <definedName name="boml_6_3">NA()</definedName>
    <definedName name="boml_6_3_5">#REF!</definedName>
    <definedName name="boml_6_5">#REF!</definedName>
    <definedName name="boml_7">NA()</definedName>
    <definedName name="boml_7_3">NA()</definedName>
    <definedName name="boml_7_3_5">#REF!</definedName>
    <definedName name="boml_7_5">#REF!</definedName>
    <definedName name="boml_8">NA()</definedName>
    <definedName name="boml_8_3">NA()</definedName>
    <definedName name="boml_8_3_5">#REF!</definedName>
    <definedName name="boml_8_5">#REF!</definedName>
    <definedName name="boml_9">NA()</definedName>
    <definedName name="boml_9_1">NA()</definedName>
    <definedName name="boml_9_1_1">NA()</definedName>
    <definedName name="boml_9_1_1_3">NA()</definedName>
    <definedName name="boml_9_1_1_3_5">#REF!</definedName>
    <definedName name="boml_9_1_1_5">#REF!</definedName>
    <definedName name="boml_9_1_3">NA()</definedName>
    <definedName name="boml_9_1_3_5">#REF!</definedName>
    <definedName name="boml_9_1_5">#REF!</definedName>
    <definedName name="boml_9_5">#REF!</definedName>
    <definedName name="bone">#REF!</definedName>
    <definedName name="BOQ">#REF!</definedName>
    <definedName name="BOQ_New" hidden="1">{#N/A,#N/A,TRUE,"Front";#N/A,#N/A,TRUE,"Simple Letter";#N/A,#N/A,TRUE,"Inside";#N/A,#N/A,TRUE,"Contents";#N/A,#N/A,TRUE,"Basis";#N/A,#N/A,TRUE,"Inclusions";#N/A,#N/A,TRUE,"Exclusions";#N/A,#N/A,TRUE,"Areas";#N/A,#N/A,TRUE,"Summary";#N/A,#N/A,TRUE,"Detail"}</definedName>
    <definedName name="bot_line_amount">#REF!</definedName>
    <definedName name="bot_line_amount_1">#REF!</definedName>
    <definedName name="bot_line_amount_1_1">NA()</definedName>
    <definedName name="bot_line_amount_1_1_1">NA()</definedName>
    <definedName name="bot_line_amount_1_8">NA()</definedName>
    <definedName name="bot_line_amount_2">NA()</definedName>
    <definedName name="bot_line_amount_2_1">NA()</definedName>
    <definedName name="bot_line_amount_3">#REF!</definedName>
    <definedName name="bot_line_amount_3_1">NA()</definedName>
    <definedName name="bot_line_amount_3_8">NA()</definedName>
    <definedName name="bot_line_amount_4">#REF!</definedName>
    <definedName name="bot_line_amount_4_1">NA()</definedName>
    <definedName name="bot_line_amount_4_1_1">NA()</definedName>
    <definedName name="bot_line_amount_4_8">NA()</definedName>
    <definedName name="bot_line_amount_5">#REF!</definedName>
    <definedName name="bot_line_amount_5_1">NA()</definedName>
    <definedName name="bot_line_amount_5_1_1">NA()</definedName>
    <definedName name="bot_line_amount_6">#REF!</definedName>
    <definedName name="bot_line_amount_6_1">NA()</definedName>
    <definedName name="bot_line_amount_6_1_1">NA()</definedName>
    <definedName name="bot_line_amount_7">#REF!</definedName>
    <definedName name="bot_line_amount_7_1">NA()</definedName>
    <definedName name="bot_line_amount_8">NA()</definedName>
    <definedName name="bot_line_message">#REF!</definedName>
    <definedName name="bot_line_message_1">#REF!</definedName>
    <definedName name="bot_line_message_1_1">NA()</definedName>
    <definedName name="bot_line_message_1_1_1">NA()</definedName>
    <definedName name="bot_line_message_1_8">NA()</definedName>
    <definedName name="bot_line_message_2">NA()</definedName>
    <definedName name="bot_line_message_2_1">NA()</definedName>
    <definedName name="bot_line_message_3">#REF!</definedName>
    <definedName name="bot_line_message_3_1">NA()</definedName>
    <definedName name="bot_line_message_3_8">NA()</definedName>
    <definedName name="bot_line_message_4">#REF!</definedName>
    <definedName name="bot_line_message_4_1">NA()</definedName>
    <definedName name="bot_line_message_4_1_1">NA()</definedName>
    <definedName name="bot_line_message_4_8">NA()</definedName>
    <definedName name="bot_line_message_5">#REF!</definedName>
    <definedName name="bot_line_message_5_1">NA()</definedName>
    <definedName name="bot_line_message_5_1_1">NA()</definedName>
    <definedName name="bot_line_message_6">#REF!</definedName>
    <definedName name="bot_line_message_6_1">NA()</definedName>
    <definedName name="bot_line_message_6_1_1">NA()</definedName>
    <definedName name="bot_line_message_7">#REF!</definedName>
    <definedName name="bot_line_message_7_1">NA()</definedName>
    <definedName name="bot_line_message_8">NA()</definedName>
    <definedName name="BOTA">#REF!</definedName>
    <definedName name="botl">NA()</definedName>
    <definedName name="botl_1">NA()</definedName>
    <definedName name="botl_10">NA()</definedName>
    <definedName name="botl_10_3">NA()</definedName>
    <definedName name="botl_10_3_5">#REF!</definedName>
    <definedName name="botl_10_5">#REF!</definedName>
    <definedName name="botl_12">NA()</definedName>
    <definedName name="botl_12_3">NA()</definedName>
    <definedName name="botl_12_3_5">#REF!</definedName>
    <definedName name="botl_12_5">#REF!</definedName>
    <definedName name="botl_13">NA()</definedName>
    <definedName name="botl_13_3">NA()</definedName>
    <definedName name="botl_13_3_5">#REF!</definedName>
    <definedName name="botl_13_5">#REF!</definedName>
    <definedName name="botl_14">NA()</definedName>
    <definedName name="botl_14_3">NA()</definedName>
    <definedName name="botl_14_3_5">#REF!</definedName>
    <definedName name="botl_14_5">#REF!</definedName>
    <definedName name="botl_15">NA()</definedName>
    <definedName name="botl_15_3">NA()</definedName>
    <definedName name="botl_15_3_5">#REF!</definedName>
    <definedName name="botl_15_5">#REF!</definedName>
    <definedName name="botl_16">NA()</definedName>
    <definedName name="botl_16_3">NA()</definedName>
    <definedName name="botl_16_3_5">#REF!</definedName>
    <definedName name="botl_16_5">#REF!</definedName>
    <definedName name="botl_17">NA()</definedName>
    <definedName name="botl_17_3">NA()</definedName>
    <definedName name="botl_17_3_5">#REF!</definedName>
    <definedName name="botl_17_5">#REF!</definedName>
    <definedName name="botl_18">NA()</definedName>
    <definedName name="botl_18_5">#REF!</definedName>
    <definedName name="botl_19">NA()</definedName>
    <definedName name="botl_19_5">#REF!</definedName>
    <definedName name="botl_2">NA()</definedName>
    <definedName name="botl_20">NA()</definedName>
    <definedName name="botl_20_3">NA()</definedName>
    <definedName name="botl_20_3_5">#REF!</definedName>
    <definedName name="botl_20_5">#REF!</definedName>
    <definedName name="botl_21">NA()</definedName>
    <definedName name="botl_21_3">NA()</definedName>
    <definedName name="botl_21_3_5">#REF!</definedName>
    <definedName name="botl_21_5">#REF!</definedName>
    <definedName name="botl_22">NA()</definedName>
    <definedName name="botl_22_3">NA()</definedName>
    <definedName name="botl_22_3_5">#REF!</definedName>
    <definedName name="botl_22_5">#REF!</definedName>
    <definedName name="botl_23">NA()</definedName>
    <definedName name="botl_23_3">NA()</definedName>
    <definedName name="botl_23_3_5">#REF!</definedName>
    <definedName name="botl_23_5">#REF!</definedName>
    <definedName name="botl_24">NA()</definedName>
    <definedName name="botl_24_3">NA()</definedName>
    <definedName name="botl_24_3_5">#REF!</definedName>
    <definedName name="botl_24_5">#REF!</definedName>
    <definedName name="botl_25">NA()</definedName>
    <definedName name="botl_25_3">NA()</definedName>
    <definedName name="botl_25_3_5">#REF!</definedName>
    <definedName name="botl_25_5">#REF!</definedName>
    <definedName name="botl_26">NA()</definedName>
    <definedName name="botl_26_3">NA()</definedName>
    <definedName name="botl_26_3_5">#REF!</definedName>
    <definedName name="botl_26_5">#REF!</definedName>
    <definedName name="botl_27">NA()</definedName>
    <definedName name="botl_27_3">NA()</definedName>
    <definedName name="botl_27_3_5">#REF!</definedName>
    <definedName name="botl_27_5">#REF!</definedName>
    <definedName name="botl_28">NA()</definedName>
    <definedName name="botl_28_3">NA()</definedName>
    <definedName name="botl_28_3_5">#REF!</definedName>
    <definedName name="botl_28_5">#REF!</definedName>
    <definedName name="botl_4">#N/A</definedName>
    <definedName name="botl_5">#REF!</definedName>
    <definedName name="botl_6">NA()</definedName>
    <definedName name="botl_6_3">NA()</definedName>
    <definedName name="botl_6_3_5">#REF!</definedName>
    <definedName name="botl_6_5">#REF!</definedName>
    <definedName name="botl_7">NA()</definedName>
    <definedName name="botl_7_3">NA()</definedName>
    <definedName name="botl_7_3_5">#REF!</definedName>
    <definedName name="botl_7_5">#REF!</definedName>
    <definedName name="botl_8">NA()</definedName>
    <definedName name="botl_8_3">NA()</definedName>
    <definedName name="botl_8_3_5">#REF!</definedName>
    <definedName name="botl_8_5">#REF!</definedName>
    <definedName name="botl_9">NA()</definedName>
    <definedName name="botl_9_1">NA()</definedName>
    <definedName name="botl_9_1_1">NA()</definedName>
    <definedName name="botl_9_1_1_3">NA()</definedName>
    <definedName name="botl_9_1_1_3_5">#REF!</definedName>
    <definedName name="botl_9_1_1_5">#REF!</definedName>
    <definedName name="botl_9_1_3">NA()</definedName>
    <definedName name="botl_9_1_3_5">#REF!</definedName>
    <definedName name="botl_9_1_5">#REF!</definedName>
    <definedName name="botl_9_5">#REF!</definedName>
    <definedName name="botn">#REF!</definedName>
    <definedName name="botn_1">NA()</definedName>
    <definedName name="botn_10">NA()</definedName>
    <definedName name="botn_10_3">NA()</definedName>
    <definedName name="botn_10_3_5">#REF!</definedName>
    <definedName name="botn_10_5">#REF!</definedName>
    <definedName name="botn_12">NA()</definedName>
    <definedName name="botn_12_3">NA()</definedName>
    <definedName name="botn_12_3_5">#REF!</definedName>
    <definedName name="botn_12_5">#REF!</definedName>
    <definedName name="botn_13">NA()</definedName>
    <definedName name="botn_13_3">NA()</definedName>
    <definedName name="botn_13_3_5">#REF!</definedName>
    <definedName name="botn_13_5">#REF!</definedName>
    <definedName name="botn_14">NA()</definedName>
    <definedName name="botn_14_3">NA()</definedName>
    <definedName name="botn_14_3_5">#REF!</definedName>
    <definedName name="botn_14_5">#REF!</definedName>
    <definedName name="botn_15">NA()</definedName>
    <definedName name="botn_15_3">NA()</definedName>
    <definedName name="botn_15_3_5">#REF!</definedName>
    <definedName name="botn_15_5">#REF!</definedName>
    <definedName name="botn_16">NA()</definedName>
    <definedName name="botn_16_3">NA()</definedName>
    <definedName name="botn_16_3_5">#REF!</definedName>
    <definedName name="botn_16_5">#REF!</definedName>
    <definedName name="botn_17">NA()</definedName>
    <definedName name="botn_17_3">NA()</definedName>
    <definedName name="botn_17_3_5">#REF!</definedName>
    <definedName name="botn_17_5">#REF!</definedName>
    <definedName name="botn_18">NA()</definedName>
    <definedName name="botn_18_5">#REF!</definedName>
    <definedName name="botn_19">NA()</definedName>
    <definedName name="botn_19_5">#REF!</definedName>
    <definedName name="botn_2">NA()</definedName>
    <definedName name="botn_20">NA()</definedName>
    <definedName name="botn_20_3">NA()</definedName>
    <definedName name="botn_20_3_5">#REF!</definedName>
    <definedName name="botn_20_5">#REF!</definedName>
    <definedName name="botn_21">NA()</definedName>
    <definedName name="botn_21_3">NA()</definedName>
    <definedName name="botn_21_3_5">#REF!</definedName>
    <definedName name="botn_21_5">#REF!</definedName>
    <definedName name="botn_22">NA()</definedName>
    <definedName name="botn_22_3">NA()</definedName>
    <definedName name="botn_22_3_5">#REF!</definedName>
    <definedName name="botn_22_5">#REF!</definedName>
    <definedName name="botn_23">NA()</definedName>
    <definedName name="botn_23_3">NA()</definedName>
    <definedName name="botn_23_3_5">#REF!</definedName>
    <definedName name="botn_23_5">#REF!</definedName>
    <definedName name="botn_24">NA()</definedName>
    <definedName name="botn_24_3">NA()</definedName>
    <definedName name="botn_24_3_5">#REF!</definedName>
    <definedName name="botn_24_5">#REF!</definedName>
    <definedName name="botn_25">NA()</definedName>
    <definedName name="botn_25_3">NA()</definedName>
    <definedName name="botn_25_3_5">#REF!</definedName>
    <definedName name="botn_25_5">#REF!</definedName>
    <definedName name="botn_26">NA()</definedName>
    <definedName name="botn_26_3">NA()</definedName>
    <definedName name="botn_26_3_5">#REF!</definedName>
    <definedName name="botn_26_5">#REF!</definedName>
    <definedName name="botn_27">NA()</definedName>
    <definedName name="botn_27_3">NA()</definedName>
    <definedName name="botn_27_3_5">#REF!</definedName>
    <definedName name="botn_27_5">#REF!</definedName>
    <definedName name="botn_28">NA()</definedName>
    <definedName name="botn_28_3">NA()</definedName>
    <definedName name="botn_28_3_5">#REF!</definedName>
    <definedName name="botn_28_5">#REF!</definedName>
    <definedName name="botn_4">#N/A</definedName>
    <definedName name="botn_5">#REF!</definedName>
    <definedName name="botn_6">NA()</definedName>
    <definedName name="botn_6_3">NA()</definedName>
    <definedName name="botn_6_3_5">#REF!</definedName>
    <definedName name="botn_6_5">#REF!</definedName>
    <definedName name="botn_7">NA()</definedName>
    <definedName name="botn_7_3">NA()</definedName>
    <definedName name="botn_7_3_5">#REF!</definedName>
    <definedName name="botn_7_5">#REF!</definedName>
    <definedName name="botn_8">NA()</definedName>
    <definedName name="botn_8_3">NA()</definedName>
    <definedName name="botn_8_3_5">#REF!</definedName>
    <definedName name="botn_8_5">#REF!</definedName>
    <definedName name="botn_9">NA()</definedName>
    <definedName name="botn_9_1">NA()</definedName>
    <definedName name="botn_9_1_1">NA()</definedName>
    <definedName name="botn_9_1_1_3">NA()</definedName>
    <definedName name="botn_9_1_1_3_5">#REF!</definedName>
    <definedName name="botn_9_1_1_5">#REF!</definedName>
    <definedName name="botn_9_1_3">NA()</definedName>
    <definedName name="botn_9_1_3_5">#REF!</definedName>
    <definedName name="botn_9_1_5">#REF!</definedName>
    <definedName name="botn_9_5">#REF!</definedName>
    <definedName name="boulder">#REF!</definedName>
    <definedName name="box_speaker">#REF!</definedName>
    <definedName name="bp">#REF!</definedName>
    <definedName name="bp20cum">#REF!</definedName>
    <definedName name="BPE">[7]Diagrams!$I$48</definedName>
    <definedName name="BPI">[7]Diagrams!$I$49</definedName>
    <definedName name="bpx">[13]Diagrams!$I$50</definedName>
    <definedName name="BPZ">[7]Diagrams!$I$50</definedName>
    <definedName name="br">#REF!</definedName>
    <definedName name="brc">#REF!</definedName>
    <definedName name="Breaks">#REF!</definedName>
    <definedName name="Breakup">NA()</definedName>
    <definedName name="Breakup_1">NA()</definedName>
    <definedName name="Breakup_1_5">#REF!</definedName>
    <definedName name="Breakup_5">#REF!</definedName>
    <definedName name="brick">#REF!</definedName>
    <definedName name="Brick_Aggregate">#REF!</definedName>
    <definedName name="bricklead">#REF!</definedName>
    <definedName name="bricks">#REF!</definedName>
    <definedName name="Brickwork">#REF!</definedName>
    <definedName name="brickwork_utility">#REF!</definedName>
    <definedName name="broom">#REF!</definedName>
    <definedName name="bs">#REF!</definedName>
    <definedName name="bs_14">#REF!</definedName>
    <definedName name="bs_25">#REF!</definedName>
    <definedName name="Bsalam">#REF!</definedName>
    <definedName name="bsc">#REF!</definedName>
    <definedName name="bsprayer">#REF!</definedName>
    <definedName name="bsslab10">#REF!</definedName>
    <definedName name="BT">#REF!</definedName>
    <definedName name="bthree">#REF!</definedName>
    <definedName name="btwo">#REF!</definedName>
    <definedName name="bua">#REF!</definedName>
    <definedName name="bua_1">NA()</definedName>
    <definedName name="bua_10">NA()</definedName>
    <definedName name="bua_10_5">#REF!</definedName>
    <definedName name="bua_12">NA()</definedName>
    <definedName name="bua_12_5">#REF!</definedName>
    <definedName name="bua_13">NA()</definedName>
    <definedName name="bua_13_5">#REF!</definedName>
    <definedName name="bua_14">NA()</definedName>
    <definedName name="bua_14_5">#REF!</definedName>
    <definedName name="bua_15">NA()</definedName>
    <definedName name="bua_15_5">#REF!</definedName>
    <definedName name="bua_16">NA()</definedName>
    <definedName name="bua_16_5">#REF!</definedName>
    <definedName name="bua_17">NA()</definedName>
    <definedName name="bua_17_5">#REF!</definedName>
    <definedName name="bua_18">NA()</definedName>
    <definedName name="bua_18_5">#REF!</definedName>
    <definedName name="bua_19">NA()</definedName>
    <definedName name="bua_19_5">#REF!</definedName>
    <definedName name="bua_2">NA()</definedName>
    <definedName name="bua_20">NA()</definedName>
    <definedName name="bua_20_5">#REF!</definedName>
    <definedName name="bua_21">NA()</definedName>
    <definedName name="bua_21_5">#REF!</definedName>
    <definedName name="bua_22">NA()</definedName>
    <definedName name="bua_22_5">#REF!</definedName>
    <definedName name="bua_23">NA()</definedName>
    <definedName name="bua_23_5">#REF!</definedName>
    <definedName name="bua_24">NA()</definedName>
    <definedName name="bua_24_5">#REF!</definedName>
    <definedName name="bua_25">NA()</definedName>
    <definedName name="bua_25_5">#REF!</definedName>
    <definedName name="bua_26">NA()</definedName>
    <definedName name="bua_26_5">#REF!</definedName>
    <definedName name="bua_27">NA()</definedName>
    <definedName name="bua_27_5">#REF!</definedName>
    <definedName name="bua_28">NA()</definedName>
    <definedName name="bua_28_5">#REF!</definedName>
    <definedName name="bua_5">#REF!</definedName>
    <definedName name="bua_6">NA()</definedName>
    <definedName name="bua_6_5">#REF!</definedName>
    <definedName name="bua_7">NA()</definedName>
    <definedName name="bua_7_5">#REF!</definedName>
    <definedName name="bua_8">NA()</definedName>
    <definedName name="bua_8_5">#REF!</definedName>
    <definedName name="bua_9">NA()</definedName>
    <definedName name="bua_9_1">NA()</definedName>
    <definedName name="bua_9_1_1">NA()</definedName>
    <definedName name="bua_9_1_1_5">#REF!</definedName>
    <definedName name="bua_9_1_5">#REF!</definedName>
    <definedName name="bua_9_5">#REF!</definedName>
    <definedName name="BUDDHA">#REF!</definedName>
    <definedName name="building">#REF!</definedName>
    <definedName name="building___0">#REF!</definedName>
    <definedName name="building___11">#REF!</definedName>
    <definedName name="building___12">#REF!</definedName>
    <definedName name="BuiltIn_Print_Area___0">#REF!</definedName>
    <definedName name="BuiltIn_Print_Titles___0">#N/A</definedName>
    <definedName name="Bust">#N/A</definedName>
    <definedName name="BusType">NA()</definedName>
    <definedName name="BusType_1">NA()</definedName>
    <definedName name="BusType_1_3">NA()</definedName>
    <definedName name="BusType_1_3_5">#REF!</definedName>
    <definedName name="BusType_1_5">#REF!</definedName>
    <definedName name="BusType_10">NA()</definedName>
    <definedName name="BusType_10_5">#REF!</definedName>
    <definedName name="BusType_11">NA()</definedName>
    <definedName name="BusType_11_1">NA()</definedName>
    <definedName name="BusType_11_1_5">#REF!</definedName>
    <definedName name="BusType_11_5">#REF!</definedName>
    <definedName name="BusType_14">NA()</definedName>
    <definedName name="BusType_14_5">#REF!</definedName>
    <definedName name="BusType_15">NA()</definedName>
    <definedName name="BusType_15_5">#REF!</definedName>
    <definedName name="BusType_16">NA()</definedName>
    <definedName name="BusType_16_5">#REF!</definedName>
    <definedName name="BusType_17">NA()</definedName>
    <definedName name="BusType_17_1">NA()</definedName>
    <definedName name="BusType_17_1_5">#REF!</definedName>
    <definedName name="BusType_17_5">#REF!</definedName>
    <definedName name="BusType_18">NA()</definedName>
    <definedName name="BusType_18_1">NA()</definedName>
    <definedName name="BusType_18_1_5">#REF!</definedName>
    <definedName name="BusType_18_5">#REF!</definedName>
    <definedName name="BusType_19">NA()</definedName>
    <definedName name="BusType_19_5">#REF!</definedName>
    <definedName name="BusType_2">NA()</definedName>
    <definedName name="BusType_2_5">#REF!</definedName>
    <definedName name="BusType_20">NA()</definedName>
    <definedName name="BusType_20_5">#REF!</definedName>
    <definedName name="BusType_21">NA()</definedName>
    <definedName name="BusType_21_1">NA()</definedName>
    <definedName name="BusType_21_1_5">#REF!</definedName>
    <definedName name="BusType_21_5">#REF!</definedName>
    <definedName name="BusType_26">NA()</definedName>
    <definedName name="BusType_26_5">#REF!</definedName>
    <definedName name="BusType_27">NA()</definedName>
    <definedName name="BusType_27_5">#REF!</definedName>
    <definedName name="BusType_28">NA()</definedName>
    <definedName name="BusType_28_5">#REF!</definedName>
    <definedName name="BusType_29">NA()</definedName>
    <definedName name="BusType_29_5">#REF!</definedName>
    <definedName name="BusType_3">NA()</definedName>
    <definedName name="BusType_3_5">#REF!</definedName>
    <definedName name="BusType_4">NA()</definedName>
    <definedName name="BusType_4_1">NA()</definedName>
    <definedName name="BusType_4_1_1">NA()</definedName>
    <definedName name="BusType_4_1_1_1">NA()</definedName>
    <definedName name="BusType_4_1_1_1_1">NA()</definedName>
    <definedName name="BusType_4_1_1_1_1_1">NA()</definedName>
    <definedName name="BusType_4_1_1_1_1_1_5">#REF!</definedName>
    <definedName name="BusType_4_1_1_1_1_5">#REF!</definedName>
    <definedName name="BusType_4_1_1_1_5">#REF!</definedName>
    <definedName name="BusType_4_1_1_5">#REF!</definedName>
    <definedName name="BusType_4_1_5">#REF!</definedName>
    <definedName name="BusType_4_18">NA()</definedName>
    <definedName name="BusType_4_18_1">NA()</definedName>
    <definedName name="BusType_4_18_1_5">#REF!</definedName>
    <definedName name="BusType_4_18_5">#REF!</definedName>
    <definedName name="BusType_4_21">NA()</definedName>
    <definedName name="BusType_4_21_5">#REF!</definedName>
    <definedName name="BusType_4_5">#REF!</definedName>
    <definedName name="BusType_5">#REF!</definedName>
    <definedName name="BusType_5_1">NA()</definedName>
    <definedName name="BusType_5_5">#REF!</definedName>
    <definedName name="BusType_6">NA()</definedName>
    <definedName name="BusType_6_1">NA()</definedName>
    <definedName name="BusType_6_1_5">#REF!</definedName>
    <definedName name="BusType_6_18">NA()</definedName>
    <definedName name="BusType_6_18_1">NA()</definedName>
    <definedName name="BusType_6_18_1_5">#REF!</definedName>
    <definedName name="BusType_6_18_5">#REF!</definedName>
    <definedName name="BusType_6_21">NA()</definedName>
    <definedName name="BusType_6_21_5">#REF!</definedName>
    <definedName name="BusType_6_5">#REF!</definedName>
    <definedName name="BusType_7">NA()</definedName>
    <definedName name="BusType_7_5">#REF!</definedName>
    <definedName name="BusType_Text">NA()</definedName>
    <definedName name="BusType_Text_1">NA()</definedName>
    <definedName name="BusType_Text_1_3">NA()</definedName>
    <definedName name="BusType_Text_1_3_5">#REF!</definedName>
    <definedName name="BusType_Text_1_5">#REF!</definedName>
    <definedName name="BusType_Text_10">NA()</definedName>
    <definedName name="BusType_Text_10_5">#REF!</definedName>
    <definedName name="BusType_Text_11">NA()</definedName>
    <definedName name="BusType_Text_11_1">NA()</definedName>
    <definedName name="BusType_Text_11_1_5">#REF!</definedName>
    <definedName name="BusType_Text_11_5">#REF!</definedName>
    <definedName name="BusType_Text_14">NA()</definedName>
    <definedName name="BusType_Text_14_5">#REF!</definedName>
    <definedName name="BusType_Text_15">NA()</definedName>
    <definedName name="BusType_Text_15_5">#REF!</definedName>
    <definedName name="BusType_Text_16">NA()</definedName>
    <definedName name="BusType_Text_16_5">#REF!</definedName>
    <definedName name="BusType_Text_17">NA()</definedName>
    <definedName name="BusType_Text_17_1">NA()</definedName>
    <definedName name="BusType_Text_17_1_5">#REF!</definedName>
    <definedName name="BusType_Text_17_5">#REF!</definedName>
    <definedName name="BusType_Text_18">NA()</definedName>
    <definedName name="BusType_Text_18_1">NA()</definedName>
    <definedName name="BusType_Text_18_1_5">#REF!</definedName>
    <definedName name="BusType_Text_18_5">#REF!</definedName>
    <definedName name="BusType_Text_19">NA()</definedName>
    <definedName name="BusType_Text_19_5">#REF!</definedName>
    <definedName name="BusType_Text_2">NA()</definedName>
    <definedName name="BusType_Text_2_5">#REF!</definedName>
    <definedName name="BusType_Text_20">NA()</definedName>
    <definedName name="BusType_Text_20_5">#REF!</definedName>
    <definedName name="BusType_Text_21">NA()</definedName>
    <definedName name="BusType_Text_21_1">NA()</definedName>
    <definedName name="BusType_Text_21_1_5">#REF!</definedName>
    <definedName name="BusType_Text_21_5">#REF!</definedName>
    <definedName name="BusType_Text_26">NA()</definedName>
    <definedName name="BusType_Text_26_5">#REF!</definedName>
    <definedName name="BusType_Text_27">NA()</definedName>
    <definedName name="BusType_Text_27_5">#REF!</definedName>
    <definedName name="BusType_Text_28">NA()</definedName>
    <definedName name="BusType_Text_28_5">#REF!</definedName>
    <definedName name="BusType_Text_29">NA()</definedName>
    <definedName name="BusType_Text_29_5">#REF!</definedName>
    <definedName name="BusType_Text_3">NA()</definedName>
    <definedName name="BusType_Text_3_5">#REF!</definedName>
    <definedName name="BusType_Text_4">NA()</definedName>
    <definedName name="BusType_Text_4_1">NA()</definedName>
    <definedName name="BusType_Text_4_1_1">NA()</definedName>
    <definedName name="BusType_Text_4_1_1_1">NA()</definedName>
    <definedName name="BusType_Text_4_1_1_1_1">NA()</definedName>
    <definedName name="BusType_Text_4_1_1_1_1_1">NA()</definedName>
    <definedName name="BusType_Text_4_1_1_1_1_1_5">#REF!</definedName>
    <definedName name="BusType_Text_4_1_1_1_1_5">#REF!</definedName>
    <definedName name="BusType_Text_4_1_1_1_5">#REF!</definedName>
    <definedName name="BusType_Text_4_1_1_5">#REF!</definedName>
    <definedName name="BusType_Text_4_1_5">#REF!</definedName>
    <definedName name="BusType_Text_4_18">NA()</definedName>
    <definedName name="BusType_Text_4_18_1">NA()</definedName>
    <definedName name="BusType_Text_4_18_1_5">#REF!</definedName>
    <definedName name="BusType_Text_4_18_5">#REF!</definedName>
    <definedName name="BusType_Text_4_21">NA()</definedName>
    <definedName name="BusType_Text_4_21_5">#REF!</definedName>
    <definedName name="BusType_Text_4_5">#REF!</definedName>
    <definedName name="BusType_Text_5">#REF!</definedName>
    <definedName name="BusType_Text_5_1">NA()</definedName>
    <definedName name="BusType_Text_5_5">#REF!</definedName>
    <definedName name="BusType_Text_6">NA()</definedName>
    <definedName name="BusType_Text_6_1">NA()</definedName>
    <definedName name="BusType_Text_6_1_5">#REF!</definedName>
    <definedName name="BusType_Text_6_18">NA()</definedName>
    <definedName name="BusType_Text_6_18_1">NA()</definedName>
    <definedName name="BusType_Text_6_18_1_5">#REF!</definedName>
    <definedName name="BusType_Text_6_18_5">#REF!</definedName>
    <definedName name="BusType_Text_6_21">NA()</definedName>
    <definedName name="BusType_Text_6_21_5">#REF!</definedName>
    <definedName name="BusType_Text_6_5">#REF!</definedName>
    <definedName name="BusType_Text_7">NA()</definedName>
    <definedName name="BusType_Text_7_5">#REF!</definedName>
    <definedName name="Button_1">"VOLTAGE_DROP_FOR_THREE_PHASE_Sheet2_List"</definedName>
    <definedName name="Button_3">"vlvlist_vlvlist_List"</definedName>
    <definedName name="Button_5">"AS_PER_TALLY_31_09_04_ONYX_List"</definedName>
    <definedName name="Button_7">"AS_PER_TALLY_31_09_04_ONYX_List1"</definedName>
    <definedName name="Button_8">"AS_PER_TALLY_31_09_04_ONYX_List1"</definedName>
    <definedName name="Bx">#REF!</definedName>
    <definedName name="Bx___0">#REF!</definedName>
    <definedName name="Bx___13">#REF!</definedName>
    <definedName name="bxevxed">NA()</definedName>
    <definedName name="bxevxed_5">#REF!</definedName>
    <definedName name="bxn">NA()</definedName>
    <definedName name="bxn_5">#REF!</definedName>
    <definedName name="bxnvxnd">NA()</definedName>
    <definedName name="bxnvxnd_18">NA()</definedName>
    <definedName name="bxnvxnd_18_1">NA()</definedName>
    <definedName name="bxnvxnd_18_1_5">#REF!</definedName>
    <definedName name="bxnvxnd_18_5">#REF!</definedName>
    <definedName name="bxnvxnd_21">NA()</definedName>
    <definedName name="bxnvxnd_21_5">#REF!</definedName>
    <definedName name="bxnvxnd_5">#REF!</definedName>
    <definedName name="c.b" hidden="1">{#N/A,#N/A,TRUE,"Front";#N/A,#N/A,TRUE,"Simple Letter";#N/A,#N/A,TRUE,"Inside";#N/A,#N/A,TRUE,"Contents";#N/A,#N/A,TRUE,"Basis";#N/A,#N/A,TRUE,"Inclusions";#N/A,#N/A,TRUE,"Exclusions";#N/A,#N/A,TRUE,"Areas";#N/A,#N/A,TRUE,"Summary";#N/A,#N/A,TRUE,"Detail"}</definedName>
    <definedName name="Ca">#REF!</definedName>
    <definedName name="CaA">#REF!</definedName>
    <definedName name="cab">NA()</definedName>
    <definedName name="cab_10">NA()</definedName>
    <definedName name="cab_10_5">#REF!</definedName>
    <definedName name="cab_12">NA()</definedName>
    <definedName name="cab_12_5">#REF!</definedName>
    <definedName name="cab_13">NA()</definedName>
    <definedName name="cab_13_5">#REF!</definedName>
    <definedName name="cab_14">NA()</definedName>
    <definedName name="cab_14_5">#REF!</definedName>
    <definedName name="cab_15">NA()</definedName>
    <definedName name="cab_15_5">#REF!</definedName>
    <definedName name="cab_16">NA()</definedName>
    <definedName name="cab_16_5">#REF!</definedName>
    <definedName name="cab_17">NA()</definedName>
    <definedName name="cab_17_5">#REF!</definedName>
    <definedName name="cab_18">NA()</definedName>
    <definedName name="cab_18_1">NA()</definedName>
    <definedName name="cab_18_1_5">#REF!</definedName>
    <definedName name="cab_18_5">#REF!</definedName>
    <definedName name="cab_19">NA()</definedName>
    <definedName name="cab_19_5">#REF!</definedName>
    <definedName name="cab_20">NA()</definedName>
    <definedName name="cab_20_5">#REF!</definedName>
    <definedName name="cab_21">NA()</definedName>
    <definedName name="cab_21_1">NA()</definedName>
    <definedName name="cab_21_1_5">#REF!</definedName>
    <definedName name="cab_21_5">#REF!</definedName>
    <definedName name="cab_22">NA()</definedName>
    <definedName name="cab_22_5">#REF!</definedName>
    <definedName name="cab_23">NA()</definedName>
    <definedName name="cab_23_5">#REF!</definedName>
    <definedName name="cab_24">NA()</definedName>
    <definedName name="cab_24_5">#REF!</definedName>
    <definedName name="cab_25">NA()</definedName>
    <definedName name="cab_25_5">#REF!</definedName>
    <definedName name="cab_26">NA()</definedName>
    <definedName name="cab_26_5">#REF!</definedName>
    <definedName name="cab_27">NA()</definedName>
    <definedName name="cab_27_5">#REF!</definedName>
    <definedName name="cab_28">NA()</definedName>
    <definedName name="cab_28_5">#REF!</definedName>
    <definedName name="cab_5">#REF!</definedName>
    <definedName name="cab_6">NA()</definedName>
    <definedName name="cab_6_5">#REF!</definedName>
    <definedName name="cab_7">NA()</definedName>
    <definedName name="cab_7_5">#REF!</definedName>
    <definedName name="cab_8">NA()</definedName>
    <definedName name="cab_8_5">#REF!</definedName>
    <definedName name="cab_9">NA()</definedName>
    <definedName name="cab_9_5">#REF!</definedName>
    <definedName name="cab21.5tp">NA()</definedName>
    <definedName name="cab21.5tp_1">NA()</definedName>
    <definedName name="cab21.5tp_1_3">NA()</definedName>
    <definedName name="cab21.5tp_1_3_5">#REF!</definedName>
    <definedName name="cab21.5tp_1_5">#REF!</definedName>
    <definedName name="cab21.5tp_10">NA()</definedName>
    <definedName name="cab21.5tp_10_1">NA()</definedName>
    <definedName name="cab21.5tp_10_1_3">NA()</definedName>
    <definedName name="cab21.5tp_10_1_3_5">#REF!</definedName>
    <definedName name="cab21.5tp_10_1_5">#REF!</definedName>
    <definedName name="cab21.5tp_10_17">NA()</definedName>
    <definedName name="cab21.5tp_10_17_3">NA()</definedName>
    <definedName name="cab21.5tp_10_17_3_5">#REF!</definedName>
    <definedName name="cab21.5tp_10_17_5">#REF!</definedName>
    <definedName name="cab21.5tp_10_5">#REF!</definedName>
    <definedName name="cab21.5tp_11">NA()</definedName>
    <definedName name="cab21.5tp_11_1">NA()</definedName>
    <definedName name="cab21.5tp_11_1_5">#REF!</definedName>
    <definedName name="cab21.5tp_11_5">#REF!</definedName>
    <definedName name="cab21.5tp_12">NA()</definedName>
    <definedName name="cab21.5tp_12_3">NA()</definedName>
    <definedName name="cab21.5tp_12_3_5">#REF!</definedName>
    <definedName name="cab21.5tp_12_5">#REF!</definedName>
    <definedName name="cab21.5tp_13">NA()</definedName>
    <definedName name="cab21.5tp_13_3">NA()</definedName>
    <definedName name="cab21.5tp_13_3_5">#REF!</definedName>
    <definedName name="cab21.5tp_13_5">#REF!</definedName>
    <definedName name="cab21.5tp_14">NA()</definedName>
    <definedName name="cab21.5tp_14_5">#REF!</definedName>
    <definedName name="cab21.5tp_15">NA()</definedName>
    <definedName name="cab21.5tp_15_1">NA()</definedName>
    <definedName name="cab21.5tp_15_1_3">NA()</definedName>
    <definedName name="cab21.5tp_15_1_3_5">#REF!</definedName>
    <definedName name="cab21.5tp_15_1_5">#REF!</definedName>
    <definedName name="cab21.5tp_15_3">NA()</definedName>
    <definedName name="cab21.5tp_15_3_5">#REF!</definedName>
    <definedName name="cab21.5tp_15_5">#REF!</definedName>
    <definedName name="cab21.5tp_16">NA()</definedName>
    <definedName name="cab21.5tp_16_1">NA()</definedName>
    <definedName name="cab21.5tp_16_1_3">NA()</definedName>
    <definedName name="cab21.5tp_16_1_3_5">#REF!</definedName>
    <definedName name="cab21.5tp_16_1_5">#REF!</definedName>
    <definedName name="cab21.5tp_16_3">NA()</definedName>
    <definedName name="cab21.5tp_16_3_5">#REF!</definedName>
    <definedName name="cab21.5tp_16_5">#REF!</definedName>
    <definedName name="cab21.5tp_17">NA()</definedName>
    <definedName name="cab21.5tp_17_1">NA()</definedName>
    <definedName name="cab21.5tp_17_1_5">#REF!</definedName>
    <definedName name="cab21.5tp_17_3">NA()</definedName>
    <definedName name="cab21.5tp_17_3_5">#REF!</definedName>
    <definedName name="cab21.5tp_17_5">#REF!</definedName>
    <definedName name="cab21.5tp_18">NA()</definedName>
    <definedName name="cab21.5tp_18_1">NA()</definedName>
    <definedName name="cab21.5tp_18_1_5">#REF!</definedName>
    <definedName name="cab21.5tp_18_5">#REF!</definedName>
    <definedName name="cab21.5tp_19">NA()</definedName>
    <definedName name="cab21.5tp_19_1">NA()</definedName>
    <definedName name="cab21.5tp_19_1_5">#REF!</definedName>
    <definedName name="cab21.5tp_19_5">#REF!</definedName>
    <definedName name="cab21.5tp_2">NA()</definedName>
    <definedName name="cab21.5tp_2_5">#REF!</definedName>
    <definedName name="cab21.5tp_20">NA()</definedName>
    <definedName name="cab21.5tp_20_1">NA()</definedName>
    <definedName name="cab21.5tp_20_1_3">NA()</definedName>
    <definedName name="cab21.5tp_20_1_3_5">#REF!</definedName>
    <definedName name="cab21.5tp_20_1_5">#REF!</definedName>
    <definedName name="cab21.5tp_20_5">#REF!</definedName>
    <definedName name="cab21.5tp_21">NA()</definedName>
    <definedName name="cab21.5tp_21_1">NA()</definedName>
    <definedName name="cab21.5tp_21_1_1">NA()</definedName>
    <definedName name="cab21.5tp_21_1_1_3">NA()</definedName>
    <definedName name="cab21.5tp_21_1_1_3_5">#REF!</definedName>
    <definedName name="cab21.5tp_21_1_1_5">#REF!</definedName>
    <definedName name="cab21.5tp_21_1_3">NA()</definedName>
    <definedName name="cab21.5tp_21_1_3_5">#REF!</definedName>
    <definedName name="cab21.5tp_21_1_5">#REF!</definedName>
    <definedName name="cab21.5tp_21_5">#REF!</definedName>
    <definedName name="cab21.5tp_22">NA()</definedName>
    <definedName name="cab21.5tp_22_3">NA()</definedName>
    <definedName name="cab21.5tp_22_3_5">#REF!</definedName>
    <definedName name="cab21.5tp_22_5">#REF!</definedName>
    <definedName name="cab21.5tp_23">NA()</definedName>
    <definedName name="cab21.5tp_23_3">NA()</definedName>
    <definedName name="cab21.5tp_23_3_5">#REF!</definedName>
    <definedName name="cab21.5tp_23_5">#REF!</definedName>
    <definedName name="cab21.5tp_24">NA()</definedName>
    <definedName name="cab21.5tp_24_3">NA()</definedName>
    <definedName name="cab21.5tp_24_3_5">#REF!</definedName>
    <definedName name="cab21.5tp_24_5">#REF!</definedName>
    <definedName name="cab21.5tp_25">NA()</definedName>
    <definedName name="cab21.5tp_25_3">NA()</definedName>
    <definedName name="cab21.5tp_25_3_5">#REF!</definedName>
    <definedName name="cab21.5tp_25_5">#REF!</definedName>
    <definedName name="cab21.5tp_26">NA()</definedName>
    <definedName name="cab21.5tp_26_1">NA()</definedName>
    <definedName name="cab21.5tp_26_1_3">NA()</definedName>
    <definedName name="cab21.5tp_26_1_3_5">#REF!</definedName>
    <definedName name="cab21.5tp_26_1_5">#REF!</definedName>
    <definedName name="cab21.5tp_26_3">NA()</definedName>
    <definedName name="cab21.5tp_26_3_5">#REF!</definedName>
    <definedName name="cab21.5tp_26_5">#REF!</definedName>
    <definedName name="cab21.5tp_27">NA()</definedName>
    <definedName name="cab21.5tp_27_1">NA()</definedName>
    <definedName name="cab21.5tp_27_1_3">NA()</definedName>
    <definedName name="cab21.5tp_27_1_3_5">#REF!</definedName>
    <definedName name="cab21.5tp_27_1_5">#REF!</definedName>
    <definedName name="cab21.5tp_27_3">NA()</definedName>
    <definedName name="cab21.5tp_27_3_5">#REF!</definedName>
    <definedName name="cab21.5tp_27_5">#REF!</definedName>
    <definedName name="cab21.5tp_28">NA()</definedName>
    <definedName name="cab21.5tp_28_1">NA()</definedName>
    <definedName name="cab21.5tp_28_1_3">NA()</definedName>
    <definedName name="cab21.5tp_28_1_3_5">#REF!</definedName>
    <definedName name="cab21.5tp_28_1_5">#REF!</definedName>
    <definedName name="cab21.5tp_28_3">NA()</definedName>
    <definedName name="cab21.5tp_28_3_5">#REF!</definedName>
    <definedName name="cab21.5tp_28_5">#REF!</definedName>
    <definedName name="cab21.5tp_29">NA()</definedName>
    <definedName name="cab21.5tp_29_3">NA()</definedName>
    <definedName name="cab21.5tp_29_3_5">#REF!</definedName>
    <definedName name="cab21.5tp_29_5">#REF!</definedName>
    <definedName name="cab21.5tp_3">NA()</definedName>
    <definedName name="cab21.5tp_3_5">#REF!</definedName>
    <definedName name="cab21.5tp_4">NA()</definedName>
    <definedName name="cab21.5tp_4_1">NA()</definedName>
    <definedName name="cab21.5tp_4_1_1">NA()</definedName>
    <definedName name="cab21.5tp_4_1_1_1">NA()</definedName>
    <definedName name="cab21.5tp_4_1_1_1_1">NA()</definedName>
    <definedName name="cab21.5tp_4_1_1_1_1_1">NA()</definedName>
    <definedName name="cab21.5tp_4_1_1_1_1_1_5">#REF!</definedName>
    <definedName name="cab21.5tp_4_1_1_1_1_3">NA()</definedName>
    <definedName name="cab21.5tp_4_1_1_1_1_3_5">#REF!</definedName>
    <definedName name="cab21.5tp_4_1_1_1_1_5">#REF!</definedName>
    <definedName name="cab21.5tp_4_1_1_1_3">NA()</definedName>
    <definedName name="cab21.5tp_4_1_1_1_3_1">NA()</definedName>
    <definedName name="cab21.5tp_4_1_1_1_3_1_5">#REF!</definedName>
    <definedName name="cab21.5tp_4_1_1_1_3_5">#REF!</definedName>
    <definedName name="cab21.5tp_4_1_1_1_5">#REF!</definedName>
    <definedName name="cab21.5tp_4_1_1_3">NA()</definedName>
    <definedName name="cab21.5tp_4_1_1_3_5">#REF!</definedName>
    <definedName name="cab21.5tp_4_1_1_5">#REF!</definedName>
    <definedName name="cab21.5tp_4_1_17">NA()</definedName>
    <definedName name="cab21.5tp_4_1_17_3">NA()</definedName>
    <definedName name="cab21.5tp_4_1_17_3_5">#REF!</definedName>
    <definedName name="cab21.5tp_4_1_17_5">#REF!</definedName>
    <definedName name="cab21.5tp_4_1_28">NA()</definedName>
    <definedName name="cab21.5tp_4_1_28_3">NA()</definedName>
    <definedName name="cab21.5tp_4_1_28_3_5">#REF!</definedName>
    <definedName name="cab21.5tp_4_1_28_5">#REF!</definedName>
    <definedName name="cab21.5tp_4_1_5">#REF!</definedName>
    <definedName name="cab21.5tp_4_1_6">NA()</definedName>
    <definedName name="cab21.5tp_4_1_6_3">NA()</definedName>
    <definedName name="cab21.5tp_4_1_6_3_5">#REF!</definedName>
    <definedName name="cab21.5tp_4_1_6_5">#REF!</definedName>
    <definedName name="cab21.5tp_4_10">NA()</definedName>
    <definedName name="cab21.5tp_4_10_3">NA()</definedName>
    <definedName name="cab21.5tp_4_10_3_5">#REF!</definedName>
    <definedName name="cab21.5tp_4_10_5">#REF!</definedName>
    <definedName name="cab21.5tp_4_12">NA()</definedName>
    <definedName name="cab21.5tp_4_12_3">NA()</definedName>
    <definedName name="cab21.5tp_4_12_3_5">#REF!</definedName>
    <definedName name="cab21.5tp_4_12_5">#REF!</definedName>
    <definedName name="cab21.5tp_4_13">NA()</definedName>
    <definedName name="cab21.5tp_4_13_3">NA()</definedName>
    <definedName name="cab21.5tp_4_13_3_5">#REF!</definedName>
    <definedName name="cab21.5tp_4_13_5">#REF!</definedName>
    <definedName name="cab21.5tp_4_14">NA()</definedName>
    <definedName name="cab21.5tp_4_14_3">NA()</definedName>
    <definedName name="cab21.5tp_4_14_3_5">#REF!</definedName>
    <definedName name="cab21.5tp_4_14_5">#REF!</definedName>
    <definedName name="cab21.5tp_4_15">NA()</definedName>
    <definedName name="cab21.5tp_4_15_3">NA()</definedName>
    <definedName name="cab21.5tp_4_15_3_5">#REF!</definedName>
    <definedName name="cab21.5tp_4_15_5">#REF!</definedName>
    <definedName name="cab21.5tp_4_16">NA()</definedName>
    <definedName name="cab21.5tp_4_16_3">NA()</definedName>
    <definedName name="cab21.5tp_4_16_3_5">#REF!</definedName>
    <definedName name="cab21.5tp_4_16_5">#REF!</definedName>
    <definedName name="cab21.5tp_4_17">NA()</definedName>
    <definedName name="cab21.5tp_4_17_3">NA()</definedName>
    <definedName name="cab21.5tp_4_17_3_5">#REF!</definedName>
    <definedName name="cab21.5tp_4_17_5">#REF!</definedName>
    <definedName name="cab21.5tp_4_18">NA()</definedName>
    <definedName name="cab21.5tp_4_18_1">NA()</definedName>
    <definedName name="cab21.5tp_4_18_1_5">#REF!</definedName>
    <definedName name="cab21.5tp_4_18_5">#REF!</definedName>
    <definedName name="cab21.5tp_4_19">NA()</definedName>
    <definedName name="cab21.5tp_4_19_5">#REF!</definedName>
    <definedName name="cab21.5tp_4_20">NA()</definedName>
    <definedName name="cab21.5tp_4_20_3">NA()</definedName>
    <definedName name="cab21.5tp_4_20_3_5">#REF!</definedName>
    <definedName name="cab21.5tp_4_20_5">#REF!</definedName>
    <definedName name="cab21.5tp_4_21">NA()</definedName>
    <definedName name="cab21.5tp_4_21_1">NA()</definedName>
    <definedName name="cab21.5tp_4_21_1_3">NA()</definedName>
    <definedName name="cab21.5tp_4_21_1_3_5">#REF!</definedName>
    <definedName name="cab21.5tp_4_21_1_5">#REF!</definedName>
    <definedName name="cab21.5tp_4_21_5">#REF!</definedName>
    <definedName name="cab21.5tp_4_22">NA()</definedName>
    <definedName name="cab21.5tp_4_22_3">NA()</definedName>
    <definedName name="cab21.5tp_4_22_3_5">#REF!</definedName>
    <definedName name="cab21.5tp_4_22_5">#REF!</definedName>
    <definedName name="cab21.5tp_4_23">NA()</definedName>
    <definedName name="cab21.5tp_4_23_3">NA()</definedName>
    <definedName name="cab21.5tp_4_23_3_5">#REF!</definedName>
    <definedName name="cab21.5tp_4_23_5">#REF!</definedName>
    <definedName name="cab21.5tp_4_24">NA()</definedName>
    <definedName name="cab21.5tp_4_24_3">NA()</definedName>
    <definedName name="cab21.5tp_4_24_3_5">#REF!</definedName>
    <definedName name="cab21.5tp_4_24_5">#REF!</definedName>
    <definedName name="cab21.5tp_4_25">NA()</definedName>
    <definedName name="cab21.5tp_4_25_3">NA()</definedName>
    <definedName name="cab21.5tp_4_25_3_5">#REF!</definedName>
    <definedName name="cab21.5tp_4_25_5">#REF!</definedName>
    <definedName name="cab21.5tp_4_26">NA()</definedName>
    <definedName name="cab21.5tp_4_26_3">NA()</definedName>
    <definedName name="cab21.5tp_4_26_3_5">#REF!</definedName>
    <definedName name="cab21.5tp_4_26_5">#REF!</definedName>
    <definedName name="cab21.5tp_4_27">NA()</definedName>
    <definedName name="cab21.5tp_4_27_3">NA()</definedName>
    <definedName name="cab21.5tp_4_27_3_5">#REF!</definedName>
    <definedName name="cab21.5tp_4_27_5">#REF!</definedName>
    <definedName name="cab21.5tp_4_28">NA()</definedName>
    <definedName name="cab21.5tp_4_28_3">NA()</definedName>
    <definedName name="cab21.5tp_4_28_3_5">#REF!</definedName>
    <definedName name="cab21.5tp_4_28_5">#REF!</definedName>
    <definedName name="cab21.5tp_4_5">#REF!</definedName>
    <definedName name="cab21.5tp_4_6">NA()</definedName>
    <definedName name="cab21.5tp_4_6_3">NA()</definedName>
    <definedName name="cab21.5tp_4_6_3_5">#REF!</definedName>
    <definedName name="cab21.5tp_4_6_5">#REF!</definedName>
    <definedName name="cab21.5tp_4_7">NA()</definedName>
    <definedName name="cab21.5tp_4_7_3">NA()</definedName>
    <definedName name="cab21.5tp_4_7_3_5">#REF!</definedName>
    <definedName name="cab21.5tp_4_7_5">#REF!</definedName>
    <definedName name="cab21.5tp_4_8">NA()</definedName>
    <definedName name="cab21.5tp_4_8_3">NA()</definedName>
    <definedName name="cab21.5tp_4_8_3_5">#REF!</definedName>
    <definedName name="cab21.5tp_4_8_5">#REF!</definedName>
    <definedName name="cab21.5tp_4_9">NA()</definedName>
    <definedName name="cab21.5tp_4_9_3">NA()</definedName>
    <definedName name="cab21.5tp_4_9_3_5">#REF!</definedName>
    <definedName name="cab21.5tp_4_9_5">#REF!</definedName>
    <definedName name="cab21.5tp_5">#REF!</definedName>
    <definedName name="cab21.5tp_5_1">NA()</definedName>
    <definedName name="cab21.5tp_5_17">NA()</definedName>
    <definedName name="cab21.5tp_5_17_3">NA()</definedName>
    <definedName name="cab21.5tp_5_17_3_5">#REF!</definedName>
    <definedName name="cab21.5tp_5_17_5">#REF!</definedName>
    <definedName name="cab21.5tp_5_28">NA()</definedName>
    <definedName name="cab21.5tp_5_28_3">NA()</definedName>
    <definedName name="cab21.5tp_5_28_3_5">#REF!</definedName>
    <definedName name="cab21.5tp_5_28_5">#REF!</definedName>
    <definedName name="cab21.5tp_5_3">NA()</definedName>
    <definedName name="cab21.5tp_5_3_5">#REF!</definedName>
    <definedName name="cab21.5tp_5_5">#REF!</definedName>
    <definedName name="cab21.5tp_5_6">NA()</definedName>
    <definedName name="cab21.5tp_5_6_3">NA()</definedName>
    <definedName name="cab21.5tp_5_6_3_5">#REF!</definedName>
    <definedName name="cab21.5tp_5_6_5">#REF!</definedName>
    <definedName name="cab21.5tp_6">NA()</definedName>
    <definedName name="cab21.5tp_6_1">NA()</definedName>
    <definedName name="cab21.5tp_6_1_5">#REF!</definedName>
    <definedName name="cab21.5tp_6_10">NA()</definedName>
    <definedName name="cab21.5tp_6_10_3">NA()</definedName>
    <definedName name="cab21.5tp_6_10_3_5">#REF!</definedName>
    <definedName name="cab21.5tp_6_10_5">#REF!</definedName>
    <definedName name="cab21.5tp_6_12">NA()</definedName>
    <definedName name="cab21.5tp_6_12_3">NA()</definedName>
    <definedName name="cab21.5tp_6_12_3_5">#REF!</definedName>
    <definedName name="cab21.5tp_6_12_5">#REF!</definedName>
    <definedName name="cab21.5tp_6_13">NA()</definedName>
    <definedName name="cab21.5tp_6_13_3">NA()</definedName>
    <definedName name="cab21.5tp_6_13_3_5">#REF!</definedName>
    <definedName name="cab21.5tp_6_13_5">#REF!</definedName>
    <definedName name="cab21.5tp_6_14">NA()</definedName>
    <definedName name="cab21.5tp_6_14_3">NA()</definedName>
    <definedName name="cab21.5tp_6_14_3_5">#REF!</definedName>
    <definedName name="cab21.5tp_6_14_5">#REF!</definedName>
    <definedName name="cab21.5tp_6_15">NA()</definedName>
    <definedName name="cab21.5tp_6_15_3">NA()</definedName>
    <definedName name="cab21.5tp_6_15_3_5">#REF!</definedName>
    <definedName name="cab21.5tp_6_15_5">#REF!</definedName>
    <definedName name="cab21.5tp_6_16">NA()</definedName>
    <definedName name="cab21.5tp_6_16_3">NA()</definedName>
    <definedName name="cab21.5tp_6_16_3_5">#REF!</definedName>
    <definedName name="cab21.5tp_6_16_5">#REF!</definedName>
    <definedName name="cab21.5tp_6_17">NA()</definedName>
    <definedName name="cab21.5tp_6_17_3">NA()</definedName>
    <definedName name="cab21.5tp_6_17_3_5">#REF!</definedName>
    <definedName name="cab21.5tp_6_17_5">#REF!</definedName>
    <definedName name="cab21.5tp_6_18">NA()</definedName>
    <definedName name="cab21.5tp_6_18_1">NA()</definedName>
    <definedName name="cab21.5tp_6_18_1_5">#REF!</definedName>
    <definedName name="cab21.5tp_6_18_5">#REF!</definedName>
    <definedName name="cab21.5tp_6_19">NA()</definedName>
    <definedName name="cab21.5tp_6_19_5">#REF!</definedName>
    <definedName name="cab21.5tp_6_20">NA()</definedName>
    <definedName name="cab21.5tp_6_20_3">NA()</definedName>
    <definedName name="cab21.5tp_6_20_3_5">#REF!</definedName>
    <definedName name="cab21.5tp_6_20_5">#REF!</definedName>
    <definedName name="cab21.5tp_6_21">NA()</definedName>
    <definedName name="cab21.5tp_6_21_1">NA()</definedName>
    <definedName name="cab21.5tp_6_21_1_3">NA()</definedName>
    <definedName name="cab21.5tp_6_21_1_3_5">#REF!</definedName>
    <definedName name="cab21.5tp_6_21_1_5">#REF!</definedName>
    <definedName name="cab21.5tp_6_21_5">#REF!</definedName>
    <definedName name="cab21.5tp_6_22">NA()</definedName>
    <definedName name="cab21.5tp_6_22_3">NA()</definedName>
    <definedName name="cab21.5tp_6_22_3_5">#REF!</definedName>
    <definedName name="cab21.5tp_6_22_5">#REF!</definedName>
    <definedName name="cab21.5tp_6_23">NA()</definedName>
    <definedName name="cab21.5tp_6_23_3">NA()</definedName>
    <definedName name="cab21.5tp_6_23_3_5">#REF!</definedName>
    <definedName name="cab21.5tp_6_23_5">#REF!</definedName>
    <definedName name="cab21.5tp_6_24">NA()</definedName>
    <definedName name="cab21.5tp_6_24_3">NA()</definedName>
    <definedName name="cab21.5tp_6_24_3_5">#REF!</definedName>
    <definedName name="cab21.5tp_6_24_5">#REF!</definedName>
    <definedName name="cab21.5tp_6_25">NA()</definedName>
    <definedName name="cab21.5tp_6_25_3">NA()</definedName>
    <definedName name="cab21.5tp_6_25_3_5">#REF!</definedName>
    <definedName name="cab21.5tp_6_25_5">#REF!</definedName>
    <definedName name="cab21.5tp_6_26">NA()</definedName>
    <definedName name="cab21.5tp_6_26_3">NA()</definedName>
    <definedName name="cab21.5tp_6_26_3_5">#REF!</definedName>
    <definedName name="cab21.5tp_6_26_5">#REF!</definedName>
    <definedName name="cab21.5tp_6_27">NA()</definedName>
    <definedName name="cab21.5tp_6_27_3">NA()</definedName>
    <definedName name="cab21.5tp_6_27_3_5">#REF!</definedName>
    <definedName name="cab21.5tp_6_27_5">#REF!</definedName>
    <definedName name="cab21.5tp_6_28">NA()</definedName>
    <definedName name="cab21.5tp_6_28_3">NA()</definedName>
    <definedName name="cab21.5tp_6_28_3_5">#REF!</definedName>
    <definedName name="cab21.5tp_6_28_5">#REF!</definedName>
    <definedName name="cab21.5tp_6_5">#REF!</definedName>
    <definedName name="cab21.5tp_6_6">NA()</definedName>
    <definedName name="cab21.5tp_6_6_3">NA()</definedName>
    <definedName name="cab21.5tp_6_6_3_5">#REF!</definedName>
    <definedName name="cab21.5tp_6_6_5">#REF!</definedName>
    <definedName name="cab21.5tp_6_7">NA()</definedName>
    <definedName name="cab21.5tp_6_7_3">NA()</definedName>
    <definedName name="cab21.5tp_6_7_3_5">#REF!</definedName>
    <definedName name="cab21.5tp_6_7_5">#REF!</definedName>
    <definedName name="cab21.5tp_6_8">NA()</definedName>
    <definedName name="cab21.5tp_6_8_3">NA()</definedName>
    <definedName name="cab21.5tp_6_8_3_5">#REF!</definedName>
    <definedName name="cab21.5tp_6_8_5">#REF!</definedName>
    <definedName name="cab21.5tp_6_9">NA()</definedName>
    <definedName name="cab21.5tp_6_9_1">NA()</definedName>
    <definedName name="cab21.5tp_6_9_1_1">NA()</definedName>
    <definedName name="cab21.5tp_6_9_1_1_3">NA()</definedName>
    <definedName name="cab21.5tp_6_9_1_1_3_5">#REF!</definedName>
    <definedName name="cab21.5tp_6_9_1_1_5">#REF!</definedName>
    <definedName name="cab21.5tp_6_9_1_3">NA()</definedName>
    <definedName name="cab21.5tp_6_9_1_3_5">#REF!</definedName>
    <definedName name="cab21.5tp_6_9_1_5">#REF!</definedName>
    <definedName name="cab21.5tp_6_9_5">#REF!</definedName>
    <definedName name="cab21.5tp_7">NA()</definedName>
    <definedName name="cab21.5tp_7_5">#REF!</definedName>
    <definedName name="cab21.5tp_8">NA()</definedName>
    <definedName name="cab21.5tp_8_3">NA()</definedName>
    <definedName name="cab21.5tp_8_3_5">#REF!</definedName>
    <definedName name="cab21.5tp_8_5">#REF!</definedName>
    <definedName name="cab21.5tp_9">NA()</definedName>
    <definedName name="cab21.5tp_9_3">NA()</definedName>
    <definedName name="cab21.5tp_9_3_5">#REF!</definedName>
    <definedName name="cab21.5tp_9_5">#REF!</definedName>
    <definedName name="cab21s">NA()</definedName>
    <definedName name="cab21s_1">NA()</definedName>
    <definedName name="cab21s_1_3">NA()</definedName>
    <definedName name="cab21s_1_3_5">#REF!</definedName>
    <definedName name="cab21s_1_5">#REF!</definedName>
    <definedName name="cab21s_10">NA()</definedName>
    <definedName name="cab21s_10_1">NA()</definedName>
    <definedName name="cab21s_10_1_3">NA()</definedName>
    <definedName name="cab21s_10_1_3_5">#REF!</definedName>
    <definedName name="cab21s_10_1_5">#REF!</definedName>
    <definedName name="cab21s_10_17">NA()</definedName>
    <definedName name="cab21s_10_17_3">NA()</definedName>
    <definedName name="cab21s_10_17_3_5">#REF!</definedName>
    <definedName name="cab21s_10_17_5">#REF!</definedName>
    <definedName name="cab21s_10_5">#REF!</definedName>
    <definedName name="cab21s_11">NA()</definedName>
    <definedName name="cab21s_11_1">NA()</definedName>
    <definedName name="cab21s_11_1_5">#REF!</definedName>
    <definedName name="cab21s_11_5">#REF!</definedName>
    <definedName name="cab21s_12">NA()</definedName>
    <definedName name="cab21s_12_3">NA()</definedName>
    <definedName name="cab21s_12_3_5">#REF!</definedName>
    <definedName name="cab21s_12_5">#REF!</definedName>
    <definedName name="cab21s_13">NA()</definedName>
    <definedName name="cab21s_13_3">NA()</definedName>
    <definedName name="cab21s_13_3_5">#REF!</definedName>
    <definedName name="cab21s_13_5">#REF!</definedName>
    <definedName name="cab21s_14">NA()</definedName>
    <definedName name="cab21s_14_5">#REF!</definedName>
    <definedName name="cab21s_15">NA()</definedName>
    <definedName name="cab21s_15_1">NA()</definedName>
    <definedName name="cab21s_15_1_3">NA()</definedName>
    <definedName name="cab21s_15_1_3_5">#REF!</definedName>
    <definedName name="cab21s_15_1_5">#REF!</definedName>
    <definedName name="cab21s_15_3">NA()</definedName>
    <definedName name="cab21s_15_3_5">#REF!</definedName>
    <definedName name="cab21s_15_5">#REF!</definedName>
    <definedName name="cab21s_16">NA()</definedName>
    <definedName name="cab21s_16_1">NA()</definedName>
    <definedName name="cab21s_16_1_3">NA()</definedName>
    <definedName name="cab21s_16_1_3_5">#REF!</definedName>
    <definedName name="cab21s_16_1_5">#REF!</definedName>
    <definedName name="cab21s_16_3">NA()</definedName>
    <definedName name="cab21s_16_3_5">#REF!</definedName>
    <definedName name="cab21s_16_5">#REF!</definedName>
    <definedName name="cab21s_17">NA()</definedName>
    <definedName name="cab21s_17_1">NA()</definedName>
    <definedName name="cab21s_17_1_5">#REF!</definedName>
    <definedName name="cab21s_17_3">NA()</definedName>
    <definedName name="cab21s_17_3_5">#REF!</definedName>
    <definedName name="cab21s_17_5">#REF!</definedName>
    <definedName name="cab21s_18">NA()</definedName>
    <definedName name="cab21s_18_1">NA()</definedName>
    <definedName name="cab21s_18_1_5">#REF!</definedName>
    <definedName name="cab21s_18_5">#REF!</definedName>
    <definedName name="cab21s_19">NA()</definedName>
    <definedName name="cab21s_19_1">NA()</definedName>
    <definedName name="cab21s_19_1_5">#REF!</definedName>
    <definedName name="cab21s_19_5">#REF!</definedName>
    <definedName name="cab21s_2">NA()</definedName>
    <definedName name="cab21s_2_5">#REF!</definedName>
    <definedName name="cab21s_20">NA()</definedName>
    <definedName name="cab21s_20_1">NA()</definedName>
    <definedName name="cab21s_20_1_3">NA()</definedName>
    <definedName name="cab21s_20_1_3_5">#REF!</definedName>
    <definedName name="cab21s_20_1_5">#REF!</definedName>
    <definedName name="cab21s_20_5">#REF!</definedName>
    <definedName name="cab21s_21">NA()</definedName>
    <definedName name="cab21s_21_1">NA()</definedName>
    <definedName name="cab21s_21_1_1">NA()</definedName>
    <definedName name="cab21s_21_1_1_3">NA()</definedName>
    <definedName name="cab21s_21_1_1_3_5">#REF!</definedName>
    <definedName name="cab21s_21_1_1_5">#REF!</definedName>
    <definedName name="cab21s_21_1_3">NA()</definedName>
    <definedName name="cab21s_21_1_3_5">#REF!</definedName>
    <definedName name="cab21s_21_1_5">#REF!</definedName>
    <definedName name="cab21s_21_5">#REF!</definedName>
    <definedName name="cab21s_22">NA()</definedName>
    <definedName name="cab21s_22_3">NA()</definedName>
    <definedName name="cab21s_22_3_5">#REF!</definedName>
    <definedName name="cab21s_22_5">#REF!</definedName>
    <definedName name="cab21s_23">NA()</definedName>
    <definedName name="cab21s_23_3">NA()</definedName>
    <definedName name="cab21s_23_3_5">#REF!</definedName>
    <definedName name="cab21s_23_5">#REF!</definedName>
    <definedName name="cab21s_24">NA()</definedName>
    <definedName name="cab21s_24_3">NA()</definedName>
    <definedName name="cab21s_24_3_5">#REF!</definedName>
    <definedName name="cab21s_24_5">#REF!</definedName>
    <definedName name="cab21s_25">NA()</definedName>
    <definedName name="cab21s_25_3">NA()</definedName>
    <definedName name="cab21s_25_3_5">#REF!</definedName>
    <definedName name="cab21s_25_5">#REF!</definedName>
    <definedName name="cab21s_26">NA()</definedName>
    <definedName name="cab21s_26_1">NA()</definedName>
    <definedName name="cab21s_26_1_3">NA()</definedName>
    <definedName name="cab21s_26_1_3_5">#REF!</definedName>
    <definedName name="cab21s_26_1_5">#REF!</definedName>
    <definedName name="cab21s_26_3">NA()</definedName>
    <definedName name="cab21s_26_3_5">#REF!</definedName>
    <definedName name="cab21s_26_5">#REF!</definedName>
    <definedName name="cab21s_27">NA()</definedName>
    <definedName name="cab21s_27_1">NA()</definedName>
    <definedName name="cab21s_27_1_3">NA()</definedName>
    <definedName name="cab21s_27_1_3_5">#REF!</definedName>
    <definedName name="cab21s_27_1_5">#REF!</definedName>
    <definedName name="cab21s_27_3">NA()</definedName>
    <definedName name="cab21s_27_3_5">#REF!</definedName>
    <definedName name="cab21s_27_5">#REF!</definedName>
    <definedName name="cab21s_28">NA()</definedName>
    <definedName name="cab21s_28_1">NA()</definedName>
    <definedName name="cab21s_28_1_3">NA()</definedName>
    <definedName name="cab21s_28_1_3_5">#REF!</definedName>
    <definedName name="cab21s_28_1_5">#REF!</definedName>
    <definedName name="cab21s_28_3">NA()</definedName>
    <definedName name="cab21s_28_3_5">#REF!</definedName>
    <definedName name="cab21s_28_5">#REF!</definedName>
    <definedName name="cab21s_29">NA()</definedName>
    <definedName name="cab21s_29_3">NA()</definedName>
    <definedName name="cab21s_29_3_5">#REF!</definedName>
    <definedName name="cab21s_29_5">#REF!</definedName>
    <definedName name="cab21s_3">NA()</definedName>
    <definedName name="cab21s_3_5">#REF!</definedName>
    <definedName name="cab21s_4">NA()</definedName>
    <definedName name="cab21s_4_1">NA()</definedName>
    <definedName name="cab21s_4_1_1">NA()</definedName>
    <definedName name="cab21s_4_1_1_1">NA()</definedName>
    <definedName name="cab21s_4_1_1_1_1">NA()</definedName>
    <definedName name="cab21s_4_1_1_1_1_1">NA()</definedName>
    <definedName name="cab21s_4_1_1_1_1_1_5">#REF!</definedName>
    <definedName name="cab21s_4_1_1_1_1_3">NA()</definedName>
    <definedName name="cab21s_4_1_1_1_1_3_5">#REF!</definedName>
    <definedName name="cab21s_4_1_1_1_1_5">#REF!</definedName>
    <definedName name="cab21s_4_1_1_1_3">NA()</definedName>
    <definedName name="cab21s_4_1_1_1_3_1">NA()</definedName>
    <definedName name="cab21s_4_1_1_1_3_1_5">#REF!</definedName>
    <definedName name="cab21s_4_1_1_1_3_5">#REF!</definedName>
    <definedName name="cab21s_4_1_1_1_5">#REF!</definedName>
    <definedName name="cab21s_4_1_1_3">NA()</definedName>
    <definedName name="cab21s_4_1_1_3_5">#REF!</definedName>
    <definedName name="cab21s_4_1_1_5">#REF!</definedName>
    <definedName name="cab21s_4_1_17">NA()</definedName>
    <definedName name="cab21s_4_1_17_3">NA()</definedName>
    <definedName name="cab21s_4_1_17_3_5">#REF!</definedName>
    <definedName name="cab21s_4_1_17_5">#REF!</definedName>
    <definedName name="cab21s_4_1_28">NA()</definedName>
    <definedName name="cab21s_4_1_28_3">NA()</definedName>
    <definedName name="cab21s_4_1_28_3_5">#REF!</definedName>
    <definedName name="cab21s_4_1_28_5">#REF!</definedName>
    <definedName name="cab21s_4_1_5">#REF!</definedName>
    <definedName name="cab21s_4_1_6">NA()</definedName>
    <definedName name="cab21s_4_1_6_3">NA()</definedName>
    <definedName name="cab21s_4_1_6_3_5">#REF!</definedName>
    <definedName name="cab21s_4_1_6_5">#REF!</definedName>
    <definedName name="cab21s_4_10">NA()</definedName>
    <definedName name="cab21s_4_10_3">NA()</definedName>
    <definedName name="cab21s_4_10_3_5">#REF!</definedName>
    <definedName name="cab21s_4_10_5">#REF!</definedName>
    <definedName name="cab21s_4_12">NA()</definedName>
    <definedName name="cab21s_4_12_3">NA()</definedName>
    <definedName name="cab21s_4_12_3_5">#REF!</definedName>
    <definedName name="cab21s_4_12_5">#REF!</definedName>
    <definedName name="cab21s_4_13">NA()</definedName>
    <definedName name="cab21s_4_13_3">NA()</definedName>
    <definedName name="cab21s_4_13_3_5">#REF!</definedName>
    <definedName name="cab21s_4_13_5">#REF!</definedName>
    <definedName name="cab21s_4_14">NA()</definedName>
    <definedName name="cab21s_4_14_3">NA()</definedName>
    <definedName name="cab21s_4_14_3_5">#REF!</definedName>
    <definedName name="cab21s_4_14_5">#REF!</definedName>
    <definedName name="cab21s_4_15">NA()</definedName>
    <definedName name="cab21s_4_15_3">NA()</definedName>
    <definedName name="cab21s_4_15_3_5">#REF!</definedName>
    <definedName name="cab21s_4_15_5">#REF!</definedName>
    <definedName name="cab21s_4_16">NA()</definedName>
    <definedName name="cab21s_4_16_3">NA()</definedName>
    <definedName name="cab21s_4_16_3_5">#REF!</definedName>
    <definedName name="cab21s_4_16_5">#REF!</definedName>
    <definedName name="cab21s_4_17">NA()</definedName>
    <definedName name="cab21s_4_17_3">NA()</definedName>
    <definedName name="cab21s_4_17_3_5">#REF!</definedName>
    <definedName name="cab21s_4_17_5">#REF!</definedName>
    <definedName name="cab21s_4_18">NA()</definedName>
    <definedName name="cab21s_4_18_1">NA()</definedName>
    <definedName name="cab21s_4_18_1_5">#REF!</definedName>
    <definedName name="cab21s_4_18_5">#REF!</definedName>
    <definedName name="cab21s_4_19">NA()</definedName>
    <definedName name="cab21s_4_19_5">#REF!</definedName>
    <definedName name="cab21s_4_20">NA()</definedName>
    <definedName name="cab21s_4_20_3">NA()</definedName>
    <definedName name="cab21s_4_20_3_5">#REF!</definedName>
    <definedName name="cab21s_4_20_5">#REF!</definedName>
    <definedName name="cab21s_4_21">NA()</definedName>
    <definedName name="cab21s_4_21_1">NA()</definedName>
    <definedName name="cab21s_4_21_1_3">NA()</definedName>
    <definedName name="cab21s_4_21_1_3_5">#REF!</definedName>
    <definedName name="cab21s_4_21_1_5">#REF!</definedName>
    <definedName name="cab21s_4_21_5">#REF!</definedName>
    <definedName name="cab21s_4_22">NA()</definedName>
    <definedName name="cab21s_4_22_3">NA()</definedName>
    <definedName name="cab21s_4_22_3_5">#REF!</definedName>
    <definedName name="cab21s_4_22_5">#REF!</definedName>
    <definedName name="cab21s_4_23">NA()</definedName>
    <definedName name="cab21s_4_23_3">NA()</definedName>
    <definedName name="cab21s_4_23_3_5">#REF!</definedName>
    <definedName name="cab21s_4_23_5">#REF!</definedName>
    <definedName name="cab21s_4_24">NA()</definedName>
    <definedName name="cab21s_4_24_3">NA()</definedName>
    <definedName name="cab21s_4_24_3_5">#REF!</definedName>
    <definedName name="cab21s_4_24_5">#REF!</definedName>
    <definedName name="cab21s_4_25">NA()</definedName>
    <definedName name="cab21s_4_25_3">NA()</definedName>
    <definedName name="cab21s_4_25_3_5">#REF!</definedName>
    <definedName name="cab21s_4_25_5">#REF!</definedName>
    <definedName name="cab21s_4_26">NA()</definedName>
    <definedName name="cab21s_4_26_3">NA()</definedName>
    <definedName name="cab21s_4_26_3_5">#REF!</definedName>
    <definedName name="cab21s_4_26_5">#REF!</definedName>
    <definedName name="cab21s_4_27">NA()</definedName>
    <definedName name="cab21s_4_27_3">NA()</definedName>
    <definedName name="cab21s_4_27_3_5">#REF!</definedName>
    <definedName name="cab21s_4_27_5">#REF!</definedName>
    <definedName name="cab21s_4_28">NA()</definedName>
    <definedName name="cab21s_4_28_3">NA()</definedName>
    <definedName name="cab21s_4_28_3_5">#REF!</definedName>
    <definedName name="cab21s_4_28_5">#REF!</definedName>
    <definedName name="cab21s_4_5">#REF!</definedName>
    <definedName name="cab21s_4_6">NA()</definedName>
    <definedName name="cab21s_4_6_3">NA()</definedName>
    <definedName name="cab21s_4_6_3_5">#REF!</definedName>
    <definedName name="cab21s_4_6_5">#REF!</definedName>
    <definedName name="cab21s_4_7">NA()</definedName>
    <definedName name="cab21s_4_7_3">NA()</definedName>
    <definedName name="cab21s_4_7_3_5">#REF!</definedName>
    <definedName name="cab21s_4_7_5">#REF!</definedName>
    <definedName name="cab21s_4_8">NA()</definedName>
    <definedName name="cab21s_4_8_3">NA()</definedName>
    <definedName name="cab21s_4_8_3_5">#REF!</definedName>
    <definedName name="cab21s_4_8_5">#REF!</definedName>
    <definedName name="cab21s_4_9">NA()</definedName>
    <definedName name="cab21s_4_9_3">NA()</definedName>
    <definedName name="cab21s_4_9_3_5">#REF!</definedName>
    <definedName name="cab21s_4_9_5">#REF!</definedName>
    <definedName name="cab21s_5">#REF!</definedName>
    <definedName name="cab21s_5_1">NA()</definedName>
    <definedName name="cab21s_5_17">NA()</definedName>
    <definedName name="cab21s_5_17_3">NA()</definedName>
    <definedName name="cab21s_5_17_3_5">#REF!</definedName>
    <definedName name="cab21s_5_17_5">#REF!</definedName>
    <definedName name="cab21s_5_28">NA()</definedName>
    <definedName name="cab21s_5_28_3">NA()</definedName>
    <definedName name="cab21s_5_28_3_5">#REF!</definedName>
    <definedName name="cab21s_5_28_5">#REF!</definedName>
    <definedName name="cab21s_5_3">NA()</definedName>
    <definedName name="cab21s_5_3_5">#REF!</definedName>
    <definedName name="cab21s_5_5">#REF!</definedName>
    <definedName name="cab21s_5_6">NA()</definedName>
    <definedName name="cab21s_5_6_3">NA()</definedName>
    <definedName name="cab21s_5_6_3_5">#REF!</definedName>
    <definedName name="cab21s_5_6_5">#REF!</definedName>
    <definedName name="cab21s_6">NA()</definedName>
    <definedName name="cab21s_6_1">NA()</definedName>
    <definedName name="cab21s_6_1_5">#REF!</definedName>
    <definedName name="cab21s_6_10">NA()</definedName>
    <definedName name="cab21s_6_10_3">NA()</definedName>
    <definedName name="cab21s_6_10_3_5">#REF!</definedName>
    <definedName name="cab21s_6_10_5">#REF!</definedName>
    <definedName name="cab21s_6_12">NA()</definedName>
    <definedName name="cab21s_6_12_3">NA()</definedName>
    <definedName name="cab21s_6_12_3_5">#REF!</definedName>
    <definedName name="cab21s_6_12_5">#REF!</definedName>
    <definedName name="cab21s_6_13">NA()</definedName>
    <definedName name="cab21s_6_13_3">NA()</definedName>
    <definedName name="cab21s_6_13_3_5">#REF!</definedName>
    <definedName name="cab21s_6_13_5">#REF!</definedName>
    <definedName name="cab21s_6_14">NA()</definedName>
    <definedName name="cab21s_6_14_3">NA()</definedName>
    <definedName name="cab21s_6_14_3_5">#REF!</definedName>
    <definedName name="cab21s_6_14_5">#REF!</definedName>
    <definedName name="cab21s_6_15">NA()</definedName>
    <definedName name="cab21s_6_15_3">NA()</definedName>
    <definedName name="cab21s_6_15_3_5">#REF!</definedName>
    <definedName name="cab21s_6_15_5">#REF!</definedName>
    <definedName name="cab21s_6_16">NA()</definedName>
    <definedName name="cab21s_6_16_3">NA()</definedName>
    <definedName name="cab21s_6_16_3_5">#REF!</definedName>
    <definedName name="cab21s_6_16_5">#REF!</definedName>
    <definedName name="cab21s_6_17">NA()</definedName>
    <definedName name="cab21s_6_17_3">NA()</definedName>
    <definedName name="cab21s_6_17_3_5">#REF!</definedName>
    <definedName name="cab21s_6_17_5">#REF!</definedName>
    <definedName name="cab21s_6_18">NA()</definedName>
    <definedName name="cab21s_6_18_1">NA()</definedName>
    <definedName name="cab21s_6_18_1_5">#REF!</definedName>
    <definedName name="cab21s_6_18_5">#REF!</definedName>
    <definedName name="cab21s_6_19">NA()</definedName>
    <definedName name="cab21s_6_19_5">#REF!</definedName>
    <definedName name="cab21s_6_20">NA()</definedName>
    <definedName name="cab21s_6_20_3">NA()</definedName>
    <definedName name="cab21s_6_20_3_5">#REF!</definedName>
    <definedName name="cab21s_6_20_5">#REF!</definedName>
    <definedName name="cab21s_6_21">NA()</definedName>
    <definedName name="cab21s_6_21_1">NA()</definedName>
    <definedName name="cab21s_6_21_1_3">NA()</definedName>
    <definedName name="cab21s_6_21_1_3_5">#REF!</definedName>
    <definedName name="cab21s_6_21_1_5">#REF!</definedName>
    <definedName name="cab21s_6_21_5">#REF!</definedName>
    <definedName name="cab21s_6_22">NA()</definedName>
    <definedName name="cab21s_6_22_3">NA()</definedName>
    <definedName name="cab21s_6_22_3_5">#REF!</definedName>
    <definedName name="cab21s_6_22_5">#REF!</definedName>
    <definedName name="cab21s_6_23">NA()</definedName>
    <definedName name="cab21s_6_23_3">NA()</definedName>
    <definedName name="cab21s_6_23_3_5">#REF!</definedName>
    <definedName name="cab21s_6_23_5">#REF!</definedName>
    <definedName name="cab21s_6_24">NA()</definedName>
    <definedName name="cab21s_6_24_3">NA()</definedName>
    <definedName name="cab21s_6_24_3_5">#REF!</definedName>
    <definedName name="cab21s_6_24_5">#REF!</definedName>
    <definedName name="cab21s_6_25">NA()</definedName>
    <definedName name="cab21s_6_25_3">NA()</definedName>
    <definedName name="cab21s_6_25_3_5">#REF!</definedName>
    <definedName name="cab21s_6_25_5">#REF!</definedName>
    <definedName name="cab21s_6_26">NA()</definedName>
    <definedName name="cab21s_6_26_3">NA()</definedName>
    <definedName name="cab21s_6_26_3_5">#REF!</definedName>
    <definedName name="cab21s_6_26_5">#REF!</definedName>
    <definedName name="cab21s_6_27">NA()</definedName>
    <definedName name="cab21s_6_27_3">NA()</definedName>
    <definedName name="cab21s_6_27_3_5">#REF!</definedName>
    <definedName name="cab21s_6_27_5">#REF!</definedName>
    <definedName name="cab21s_6_28">NA()</definedName>
    <definedName name="cab21s_6_28_3">NA()</definedName>
    <definedName name="cab21s_6_28_3_5">#REF!</definedName>
    <definedName name="cab21s_6_28_5">#REF!</definedName>
    <definedName name="cab21s_6_5">#REF!</definedName>
    <definedName name="cab21s_6_6">NA()</definedName>
    <definedName name="cab21s_6_6_3">NA()</definedName>
    <definedName name="cab21s_6_6_3_5">#REF!</definedName>
    <definedName name="cab21s_6_6_5">#REF!</definedName>
    <definedName name="cab21s_6_7">NA()</definedName>
    <definedName name="cab21s_6_7_3">NA()</definedName>
    <definedName name="cab21s_6_7_3_5">#REF!</definedName>
    <definedName name="cab21s_6_7_5">#REF!</definedName>
    <definedName name="cab21s_6_8">NA()</definedName>
    <definedName name="cab21s_6_8_3">NA()</definedName>
    <definedName name="cab21s_6_8_3_5">#REF!</definedName>
    <definedName name="cab21s_6_8_5">#REF!</definedName>
    <definedName name="cab21s_6_9">NA()</definedName>
    <definedName name="cab21s_6_9_1">NA()</definedName>
    <definedName name="cab21s_6_9_1_1">NA()</definedName>
    <definedName name="cab21s_6_9_1_1_3">NA()</definedName>
    <definedName name="cab21s_6_9_1_1_3_5">#REF!</definedName>
    <definedName name="cab21s_6_9_1_1_5">#REF!</definedName>
    <definedName name="cab21s_6_9_1_3">NA()</definedName>
    <definedName name="cab21s_6_9_1_3_5">#REF!</definedName>
    <definedName name="cab21s_6_9_1_5">#REF!</definedName>
    <definedName name="cab21s_6_9_5">#REF!</definedName>
    <definedName name="cab21s_7">NA()</definedName>
    <definedName name="cab21s_7_5">#REF!</definedName>
    <definedName name="cab21s_8">NA()</definedName>
    <definedName name="cab21s_8_3">NA()</definedName>
    <definedName name="cab21s_8_3_5">#REF!</definedName>
    <definedName name="cab21s_8_5">#REF!</definedName>
    <definedName name="cab21s_9">NA()</definedName>
    <definedName name="cab21s_9_3">NA()</definedName>
    <definedName name="cab21s_9_3_5">#REF!</definedName>
    <definedName name="cab21s_9_5">#REF!</definedName>
    <definedName name="cab21us">NA()</definedName>
    <definedName name="cab21us_1">NA()</definedName>
    <definedName name="cab21us_1_3">NA()</definedName>
    <definedName name="cab21us_1_3_5">#REF!</definedName>
    <definedName name="cab21us_1_5">#REF!</definedName>
    <definedName name="cab21us_10">NA()</definedName>
    <definedName name="cab21us_10_1">NA()</definedName>
    <definedName name="cab21us_10_1_3">NA()</definedName>
    <definedName name="cab21us_10_1_3_5">#REF!</definedName>
    <definedName name="cab21us_10_1_5">#REF!</definedName>
    <definedName name="cab21us_10_17">NA()</definedName>
    <definedName name="cab21us_10_17_3">NA()</definedName>
    <definedName name="cab21us_10_17_3_5">#REF!</definedName>
    <definedName name="cab21us_10_17_5">#REF!</definedName>
    <definedName name="cab21us_10_5">#REF!</definedName>
    <definedName name="cab21us_11">NA()</definedName>
    <definedName name="cab21us_11_1">NA()</definedName>
    <definedName name="cab21us_11_1_5">#REF!</definedName>
    <definedName name="cab21us_11_5">#REF!</definedName>
    <definedName name="cab21us_12">NA()</definedName>
    <definedName name="cab21us_12_3">NA()</definedName>
    <definedName name="cab21us_12_3_5">#REF!</definedName>
    <definedName name="cab21us_12_5">#REF!</definedName>
    <definedName name="cab21us_13">NA()</definedName>
    <definedName name="cab21us_13_3">NA()</definedName>
    <definedName name="cab21us_13_3_5">#REF!</definedName>
    <definedName name="cab21us_13_5">#REF!</definedName>
    <definedName name="cab21us_14">NA()</definedName>
    <definedName name="cab21us_14_5">#REF!</definedName>
    <definedName name="cab21us_15">NA()</definedName>
    <definedName name="cab21us_15_1">NA()</definedName>
    <definedName name="cab21us_15_1_3">NA()</definedName>
    <definedName name="cab21us_15_1_3_5">#REF!</definedName>
    <definedName name="cab21us_15_1_5">#REF!</definedName>
    <definedName name="cab21us_15_3">NA()</definedName>
    <definedName name="cab21us_15_3_5">#REF!</definedName>
    <definedName name="cab21us_15_5">#REF!</definedName>
    <definedName name="cab21us_16">NA()</definedName>
    <definedName name="cab21us_16_1">NA()</definedName>
    <definedName name="cab21us_16_1_3">NA()</definedName>
    <definedName name="cab21us_16_1_3_5">#REF!</definedName>
    <definedName name="cab21us_16_1_5">#REF!</definedName>
    <definedName name="cab21us_16_3">NA()</definedName>
    <definedName name="cab21us_16_3_5">#REF!</definedName>
    <definedName name="cab21us_16_5">#REF!</definedName>
    <definedName name="cab21us_17">NA()</definedName>
    <definedName name="cab21us_17_1">NA()</definedName>
    <definedName name="cab21us_17_1_5">#REF!</definedName>
    <definedName name="cab21us_17_3">NA()</definedName>
    <definedName name="cab21us_17_3_5">#REF!</definedName>
    <definedName name="cab21us_17_5">#REF!</definedName>
    <definedName name="cab21us_18">NA()</definedName>
    <definedName name="cab21us_18_1">NA()</definedName>
    <definedName name="cab21us_18_1_5">#REF!</definedName>
    <definedName name="cab21us_18_5">#REF!</definedName>
    <definedName name="cab21us_19">NA()</definedName>
    <definedName name="cab21us_19_1">NA()</definedName>
    <definedName name="cab21us_19_1_5">#REF!</definedName>
    <definedName name="cab21us_19_5">#REF!</definedName>
    <definedName name="cab21us_2">NA()</definedName>
    <definedName name="cab21us_2_5">#REF!</definedName>
    <definedName name="cab21us_20">NA()</definedName>
    <definedName name="cab21us_20_1">NA()</definedName>
    <definedName name="cab21us_20_1_3">NA()</definedName>
    <definedName name="cab21us_20_1_3_5">#REF!</definedName>
    <definedName name="cab21us_20_1_5">#REF!</definedName>
    <definedName name="cab21us_20_5">#REF!</definedName>
    <definedName name="cab21us_21">NA()</definedName>
    <definedName name="cab21us_21_1">NA()</definedName>
    <definedName name="cab21us_21_1_1">NA()</definedName>
    <definedName name="cab21us_21_1_1_3">NA()</definedName>
    <definedName name="cab21us_21_1_1_3_5">#REF!</definedName>
    <definedName name="cab21us_21_1_1_5">#REF!</definedName>
    <definedName name="cab21us_21_1_3">NA()</definedName>
    <definedName name="cab21us_21_1_3_5">#REF!</definedName>
    <definedName name="cab21us_21_1_5">#REF!</definedName>
    <definedName name="cab21us_21_5">#REF!</definedName>
    <definedName name="cab21us_22">NA()</definedName>
    <definedName name="cab21us_22_3">NA()</definedName>
    <definedName name="cab21us_22_3_5">#REF!</definedName>
    <definedName name="cab21us_22_5">#REF!</definedName>
    <definedName name="cab21us_23">NA()</definedName>
    <definedName name="cab21us_23_3">NA()</definedName>
    <definedName name="cab21us_23_3_5">#REF!</definedName>
    <definedName name="cab21us_23_5">#REF!</definedName>
    <definedName name="cab21us_24">NA()</definedName>
    <definedName name="cab21us_24_3">NA()</definedName>
    <definedName name="cab21us_24_3_5">#REF!</definedName>
    <definedName name="cab21us_24_5">#REF!</definedName>
    <definedName name="cab21us_25">NA()</definedName>
    <definedName name="cab21us_25_3">NA()</definedName>
    <definedName name="cab21us_25_3_5">#REF!</definedName>
    <definedName name="cab21us_25_5">#REF!</definedName>
    <definedName name="cab21us_26">NA()</definedName>
    <definedName name="cab21us_26_1">NA()</definedName>
    <definedName name="cab21us_26_1_3">NA()</definedName>
    <definedName name="cab21us_26_1_3_5">#REF!</definedName>
    <definedName name="cab21us_26_1_5">#REF!</definedName>
    <definedName name="cab21us_26_3">NA()</definedName>
    <definedName name="cab21us_26_3_5">#REF!</definedName>
    <definedName name="cab21us_26_5">#REF!</definedName>
    <definedName name="cab21us_27">NA()</definedName>
    <definedName name="cab21us_27_1">NA()</definedName>
    <definedName name="cab21us_27_1_3">NA()</definedName>
    <definedName name="cab21us_27_1_3_5">#REF!</definedName>
    <definedName name="cab21us_27_1_5">#REF!</definedName>
    <definedName name="cab21us_27_3">NA()</definedName>
    <definedName name="cab21us_27_3_5">#REF!</definedName>
    <definedName name="cab21us_27_5">#REF!</definedName>
    <definedName name="cab21us_28">NA()</definedName>
    <definedName name="cab21us_28_1">NA()</definedName>
    <definedName name="cab21us_28_1_3">NA()</definedName>
    <definedName name="cab21us_28_1_3_5">#REF!</definedName>
    <definedName name="cab21us_28_1_5">#REF!</definedName>
    <definedName name="cab21us_28_3">NA()</definedName>
    <definedName name="cab21us_28_3_5">#REF!</definedName>
    <definedName name="cab21us_28_5">#REF!</definedName>
    <definedName name="cab21us_29">NA()</definedName>
    <definedName name="cab21us_29_3">NA()</definedName>
    <definedName name="cab21us_29_3_5">#REF!</definedName>
    <definedName name="cab21us_29_5">#REF!</definedName>
    <definedName name="cab21us_3">NA()</definedName>
    <definedName name="cab21us_3_5">#REF!</definedName>
    <definedName name="cab21us_4">NA()</definedName>
    <definedName name="cab21us_4_1">NA()</definedName>
    <definedName name="cab21us_4_1_1">NA()</definedName>
    <definedName name="cab21us_4_1_1_1">NA()</definedName>
    <definedName name="cab21us_4_1_1_1_1">NA()</definedName>
    <definedName name="cab21us_4_1_1_1_1_1">NA()</definedName>
    <definedName name="cab21us_4_1_1_1_1_1_5">#REF!</definedName>
    <definedName name="cab21us_4_1_1_1_1_3">NA()</definedName>
    <definedName name="cab21us_4_1_1_1_1_3_5">#REF!</definedName>
    <definedName name="cab21us_4_1_1_1_1_5">#REF!</definedName>
    <definedName name="cab21us_4_1_1_1_3">NA()</definedName>
    <definedName name="cab21us_4_1_1_1_3_1">NA()</definedName>
    <definedName name="cab21us_4_1_1_1_3_1_5">#REF!</definedName>
    <definedName name="cab21us_4_1_1_1_3_5">#REF!</definedName>
    <definedName name="cab21us_4_1_1_1_5">#REF!</definedName>
    <definedName name="cab21us_4_1_1_3">NA()</definedName>
    <definedName name="cab21us_4_1_1_3_5">#REF!</definedName>
    <definedName name="cab21us_4_1_1_5">#REF!</definedName>
    <definedName name="cab21us_4_1_17">NA()</definedName>
    <definedName name="cab21us_4_1_17_3">NA()</definedName>
    <definedName name="cab21us_4_1_17_3_5">#REF!</definedName>
    <definedName name="cab21us_4_1_17_5">#REF!</definedName>
    <definedName name="cab21us_4_1_28">NA()</definedName>
    <definedName name="cab21us_4_1_28_3">NA()</definedName>
    <definedName name="cab21us_4_1_28_3_5">#REF!</definedName>
    <definedName name="cab21us_4_1_28_5">#REF!</definedName>
    <definedName name="cab21us_4_1_5">#REF!</definedName>
    <definedName name="cab21us_4_1_6">NA()</definedName>
    <definedName name="cab21us_4_1_6_3">NA()</definedName>
    <definedName name="cab21us_4_1_6_3_5">#REF!</definedName>
    <definedName name="cab21us_4_1_6_5">#REF!</definedName>
    <definedName name="cab21us_4_10">NA()</definedName>
    <definedName name="cab21us_4_10_3">NA()</definedName>
    <definedName name="cab21us_4_10_3_5">#REF!</definedName>
    <definedName name="cab21us_4_10_5">#REF!</definedName>
    <definedName name="cab21us_4_12">NA()</definedName>
    <definedName name="cab21us_4_12_3">NA()</definedName>
    <definedName name="cab21us_4_12_3_5">#REF!</definedName>
    <definedName name="cab21us_4_12_5">#REF!</definedName>
    <definedName name="cab21us_4_13">NA()</definedName>
    <definedName name="cab21us_4_13_3">NA()</definedName>
    <definedName name="cab21us_4_13_3_5">#REF!</definedName>
    <definedName name="cab21us_4_13_5">#REF!</definedName>
    <definedName name="cab21us_4_14">NA()</definedName>
    <definedName name="cab21us_4_14_3">NA()</definedName>
    <definedName name="cab21us_4_14_3_5">#REF!</definedName>
    <definedName name="cab21us_4_14_5">#REF!</definedName>
    <definedName name="cab21us_4_15">NA()</definedName>
    <definedName name="cab21us_4_15_3">NA()</definedName>
    <definedName name="cab21us_4_15_3_5">#REF!</definedName>
    <definedName name="cab21us_4_15_5">#REF!</definedName>
    <definedName name="cab21us_4_16">NA()</definedName>
    <definedName name="cab21us_4_16_3">NA()</definedName>
    <definedName name="cab21us_4_16_3_5">#REF!</definedName>
    <definedName name="cab21us_4_16_5">#REF!</definedName>
    <definedName name="cab21us_4_17">NA()</definedName>
    <definedName name="cab21us_4_17_3">NA()</definedName>
    <definedName name="cab21us_4_17_3_5">#REF!</definedName>
    <definedName name="cab21us_4_17_5">#REF!</definedName>
    <definedName name="cab21us_4_18">NA()</definedName>
    <definedName name="cab21us_4_18_1">NA()</definedName>
    <definedName name="cab21us_4_18_1_5">#REF!</definedName>
    <definedName name="cab21us_4_18_5">#REF!</definedName>
    <definedName name="cab21us_4_19">NA()</definedName>
    <definedName name="cab21us_4_19_5">#REF!</definedName>
    <definedName name="cab21us_4_20">NA()</definedName>
    <definedName name="cab21us_4_20_3">NA()</definedName>
    <definedName name="cab21us_4_20_3_5">#REF!</definedName>
    <definedName name="cab21us_4_20_5">#REF!</definedName>
    <definedName name="cab21us_4_21">NA()</definedName>
    <definedName name="cab21us_4_21_1">NA()</definedName>
    <definedName name="cab21us_4_21_1_3">NA()</definedName>
    <definedName name="cab21us_4_21_1_3_5">#REF!</definedName>
    <definedName name="cab21us_4_21_1_5">#REF!</definedName>
    <definedName name="cab21us_4_21_5">#REF!</definedName>
    <definedName name="cab21us_4_22">NA()</definedName>
    <definedName name="cab21us_4_22_3">NA()</definedName>
    <definedName name="cab21us_4_22_3_5">#REF!</definedName>
    <definedName name="cab21us_4_22_5">#REF!</definedName>
    <definedName name="cab21us_4_23">NA()</definedName>
    <definedName name="cab21us_4_23_3">NA()</definedName>
    <definedName name="cab21us_4_23_3_5">#REF!</definedName>
    <definedName name="cab21us_4_23_5">#REF!</definedName>
    <definedName name="cab21us_4_24">NA()</definedName>
    <definedName name="cab21us_4_24_3">NA()</definedName>
    <definedName name="cab21us_4_24_3_5">#REF!</definedName>
    <definedName name="cab21us_4_24_5">#REF!</definedName>
    <definedName name="cab21us_4_25">NA()</definedName>
    <definedName name="cab21us_4_25_3">NA()</definedName>
    <definedName name="cab21us_4_25_3_5">#REF!</definedName>
    <definedName name="cab21us_4_25_5">#REF!</definedName>
    <definedName name="cab21us_4_26">NA()</definedName>
    <definedName name="cab21us_4_26_3">NA()</definedName>
    <definedName name="cab21us_4_26_3_5">#REF!</definedName>
    <definedName name="cab21us_4_26_5">#REF!</definedName>
    <definedName name="cab21us_4_27">NA()</definedName>
    <definedName name="cab21us_4_27_3">NA()</definedName>
    <definedName name="cab21us_4_27_3_5">#REF!</definedName>
    <definedName name="cab21us_4_27_5">#REF!</definedName>
    <definedName name="cab21us_4_28">NA()</definedName>
    <definedName name="cab21us_4_28_3">NA()</definedName>
    <definedName name="cab21us_4_28_3_5">#REF!</definedName>
    <definedName name="cab21us_4_28_5">#REF!</definedName>
    <definedName name="cab21us_4_5">#REF!</definedName>
    <definedName name="cab21us_4_6">NA()</definedName>
    <definedName name="cab21us_4_6_3">NA()</definedName>
    <definedName name="cab21us_4_6_3_5">#REF!</definedName>
    <definedName name="cab21us_4_6_5">#REF!</definedName>
    <definedName name="cab21us_4_7">NA()</definedName>
    <definedName name="cab21us_4_7_3">NA()</definedName>
    <definedName name="cab21us_4_7_3_5">#REF!</definedName>
    <definedName name="cab21us_4_7_5">#REF!</definedName>
    <definedName name="cab21us_4_8">NA()</definedName>
    <definedName name="cab21us_4_8_3">NA()</definedName>
    <definedName name="cab21us_4_8_3_5">#REF!</definedName>
    <definedName name="cab21us_4_8_5">#REF!</definedName>
    <definedName name="cab21us_4_9">NA()</definedName>
    <definedName name="cab21us_4_9_3">NA()</definedName>
    <definedName name="cab21us_4_9_3_5">#REF!</definedName>
    <definedName name="cab21us_4_9_5">#REF!</definedName>
    <definedName name="cab21us_5">#REF!</definedName>
    <definedName name="cab21us_5_1">NA()</definedName>
    <definedName name="cab21us_5_17">NA()</definedName>
    <definedName name="cab21us_5_17_3">NA()</definedName>
    <definedName name="cab21us_5_17_3_5">#REF!</definedName>
    <definedName name="cab21us_5_17_5">#REF!</definedName>
    <definedName name="cab21us_5_28">NA()</definedName>
    <definedName name="cab21us_5_28_3">NA()</definedName>
    <definedName name="cab21us_5_28_3_5">#REF!</definedName>
    <definedName name="cab21us_5_28_5">#REF!</definedName>
    <definedName name="cab21us_5_3">NA()</definedName>
    <definedName name="cab21us_5_3_5">#REF!</definedName>
    <definedName name="cab21us_5_5">#REF!</definedName>
    <definedName name="cab21us_5_6">NA()</definedName>
    <definedName name="cab21us_5_6_3">NA()</definedName>
    <definedName name="cab21us_5_6_3_5">#REF!</definedName>
    <definedName name="cab21us_5_6_5">#REF!</definedName>
    <definedName name="cab21us_6">NA()</definedName>
    <definedName name="cab21us_6_1">NA()</definedName>
    <definedName name="cab21us_6_1_5">#REF!</definedName>
    <definedName name="cab21us_6_10">NA()</definedName>
    <definedName name="cab21us_6_10_3">NA()</definedName>
    <definedName name="cab21us_6_10_3_5">#REF!</definedName>
    <definedName name="cab21us_6_10_5">#REF!</definedName>
    <definedName name="cab21us_6_12">NA()</definedName>
    <definedName name="cab21us_6_12_3">NA()</definedName>
    <definedName name="cab21us_6_12_3_5">#REF!</definedName>
    <definedName name="cab21us_6_12_5">#REF!</definedName>
    <definedName name="cab21us_6_13">NA()</definedName>
    <definedName name="cab21us_6_13_3">NA()</definedName>
    <definedName name="cab21us_6_13_3_5">#REF!</definedName>
    <definedName name="cab21us_6_13_5">#REF!</definedName>
    <definedName name="cab21us_6_14">NA()</definedName>
    <definedName name="cab21us_6_14_3">NA()</definedName>
    <definedName name="cab21us_6_14_3_5">#REF!</definedName>
    <definedName name="cab21us_6_14_5">#REF!</definedName>
    <definedName name="cab21us_6_15">NA()</definedName>
    <definedName name="cab21us_6_15_3">NA()</definedName>
    <definedName name="cab21us_6_15_3_5">#REF!</definedName>
    <definedName name="cab21us_6_15_5">#REF!</definedName>
    <definedName name="cab21us_6_16">NA()</definedName>
    <definedName name="cab21us_6_16_3">NA()</definedName>
    <definedName name="cab21us_6_16_3_5">#REF!</definedName>
    <definedName name="cab21us_6_16_5">#REF!</definedName>
    <definedName name="cab21us_6_17">NA()</definedName>
    <definedName name="cab21us_6_17_3">NA()</definedName>
    <definedName name="cab21us_6_17_3_5">#REF!</definedName>
    <definedName name="cab21us_6_17_5">#REF!</definedName>
    <definedName name="cab21us_6_18">NA()</definedName>
    <definedName name="cab21us_6_18_1">NA()</definedName>
    <definedName name="cab21us_6_18_1_5">#REF!</definedName>
    <definedName name="cab21us_6_18_5">#REF!</definedName>
    <definedName name="cab21us_6_19">NA()</definedName>
    <definedName name="cab21us_6_19_5">#REF!</definedName>
    <definedName name="cab21us_6_20">NA()</definedName>
    <definedName name="cab21us_6_20_3">NA()</definedName>
    <definedName name="cab21us_6_20_3_5">#REF!</definedName>
    <definedName name="cab21us_6_20_5">#REF!</definedName>
    <definedName name="cab21us_6_21">NA()</definedName>
    <definedName name="cab21us_6_21_1">NA()</definedName>
    <definedName name="cab21us_6_21_1_3">NA()</definedName>
    <definedName name="cab21us_6_21_1_3_5">#REF!</definedName>
    <definedName name="cab21us_6_21_1_5">#REF!</definedName>
    <definedName name="cab21us_6_21_5">#REF!</definedName>
    <definedName name="cab21us_6_22">NA()</definedName>
    <definedName name="cab21us_6_22_3">NA()</definedName>
    <definedName name="cab21us_6_22_3_5">#REF!</definedName>
    <definedName name="cab21us_6_22_5">#REF!</definedName>
    <definedName name="cab21us_6_23">NA()</definedName>
    <definedName name="cab21us_6_23_3">NA()</definedName>
    <definedName name="cab21us_6_23_3_5">#REF!</definedName>
    <definedName name="cab21us_6_23_5">#REF!</definedName>
    <definedName name="cab21us_6_24">NA()</definedName>
    <definedName name="cab21us_6_24_3">NA()</definedName>
    <definedName name="cab21us_6_24_3_5">#REF!</definedName>
    <definedName name="cab21us_6_24_5">#REF!</definedName>
    <definedName name="cab21us_6_25">NA()</definedName>
    <definedName name="cab21us_6_25_3">NA()</definedName>
    <definedName name="cab21us_6_25_3_5">#REF!</definedName>
    <definedName name="cab21us_6_25_5">#REF!</definedName>
    <definedName name="cab21us_6_26">NA()</definedName>
    <definedName name="cab21us_6_26_3">NA()</definedName>
    <definedName name="cab21us_6_26_3_5">#REF!</definedName>
    <definedName name="cab21us_6_26_5">#REF!</definedName>
    <definedName name="cab21us_6_27">NA()</definedName>
    <definedName name="cab21us_6_27_3">NA()</definedName>
    <definedName name="cab21us_6_27_3_5">#REF!</definedName>
    <definedName name="cab21us_6_27_5">#REF!</definedName>
    <definedName name="cab21us_6_28">NA()</definedName>
    <definedName name="cab21us_6_28_3">NA()</definedName>
    <definedName name="cab21us_6_28_3_5">#REF!</definedName>
    <definedName name="cab21us_6_28_5">#REF!</definedName>
    <definedName name="cab21us_6_5">#REF!</definedName>
    <definedName name="cab21us_6_6">NA()</definedName>
    <definedName name="cab21us_6_6_3">NA()</definedName>
    <definedName name="cab21us_6_6_3_5">#REF!</definedName>
    <definedName name="cab21us_6_6_5">#REF!</definedName>
    <definedName name="cab21us_6_7">NA()</definedName>
    <definedName name="cab21us_6_7_3">NA()</definedName>
    <definedName name="cab21us_6_7_3_5">#REF!</definedName>
    <definedName name="cab21us_6_7_5">#REF!</definedName>
    <definedName name="cab21us_6_8">NA()</definedName>
    <definedName name="cab21us_6_8_3">NA()</definedName>
    <definedName name="cab21us_6_8_3_5">#REF!</definedName>
    <definedName name="cab21us_6_8_5">#REF!</definedName>
    <definedName name="cab21us_6_9">NA()</definedName>
    <definedName name="cab21us_6_9_1">NA()</definedName>
    <definedName name="cab21us_6_9_1_1">NA()</definedName>
    <definedName name="cab21us_6_9_1_1_3">NA()</definedName>
    <definedName name="cab21us_6_9_1_1_3_5">#REF!</definedName>
    <definedName name="cab21us_6_9_1_1_5">#REF!</definedName>
    <definedName name="cab21us_6_9_1_3">NA()</definedName>
    <definedName name="cab21us_6_9_1_3_5">#REF!</definedName>
    <definedName name="cab21us_6_9_1_5">#REF!</definedName>
    <definedName name="cab21us_6_9_5">#REF!</definedName>
    <definedName name="cab21us_7">NA()</definedName>
    <definedName name="cab21us_7_5">#REF!</definedName>
    <definedName name="cab21us_8">NA()</definedName>
    <definedName name="cab21us_8_3">NA()</definedName>
    <definedName name="cab21us_8_3_5">#REF!</definedName>
    <definedName name="cab21us_8_5">#REF!</definedName>
    <definedName name="cab21us_9">NA()</definedName>
    <definedName name="cab21us_9_3">NA()</definedName>
    <definedName name="cab21us_9_3_5">#REF!</definedName>
    <definedName name="cab21us_9_5">#REF!</definedName>
    <definedName name="cab31s">NA()</definedName>
    <definedName name="cab31s_1">NA()</definedName>
    <definedName name="cab31s_1_3">NA()</definedName>
    <definedName name="cab31s_1_3_5">#REF!</definedName>
    <definedName name="cab31s_1_5">#REF!</definedName>
    <definedName name="cab31s_10">NA()</definedName>
    <definedName name="cab31s_10_1">NA()</definedName>
    <definedName name="cab31s_10_1_3">NA()</definedName>
    <definedName name="cab31s_10_1_3_5">#REF!</definedName>
    <definedName name="cab31s_10_1_5">#REF!</definedName>
    <definedName name="cab31s_10_17">NA()</definedName>
    <definedName name="cab31s_10_17_3">NA()</definedName>
    <definedName name="cab31s_10_17_3_5">#REF!</definedName>
    <definedName name="cab31s_10_17_5">#REF!</definedName>
    <definedName name="cab31s_10_5">#REF!</definedName>
    <definedName name="cab31s_11">NA()</definedName>
    <definedName name="cab31s_11_1">NA()</definedName>
    <definedName name="cab31s_11_1_5">#REF!</definedName>
    <definedName name="cab31s_11_5">#REF!</definedName>
    <definedName name="cab31s_12">NA()</definedName>
    <definedName name="cab31s_12_3">NA()</definedName>
    <definedName name="cab31s_12_3_5">#REF!</definedName>
    <definedName name="cab31s_12_5">#REF!</definedName>
    <definedName name="cab31s_13">NA()</definedName>
    <definedName name="cab31s_13_3">NA()</definedName>
    <definedName name="cab31s_13_3_5">#REF!</definedName>
    <definedName name="cab31s_13_5">#REF!</definedName>
    <definedName name="cab31s_14">NA()</definedName>
    <definedName name="cab31s_14_5">#REF!</definedName>
    <definedName name="cab31s_15">NA()</definedName>
    <definedName name="cab31s_15_1">NA()</definedName>
    <definedName name="cab31s_15_1_3">NA()</definedName>
    <definedName name="cab31s_15_1_3_5">#REF!</definedName>
    <definedName name="cab31s_15_1_5">#REF!</definedName>
    <definedName name="cab31s_15_3">NA()</definedName>
    <definedName name="cab31s_15_3_5">#REF!</definedName>
    <definedName name="cab31s_15_5">#REF!</definedName>
    <definedName name="cab31s_16">NA()</definedName>
    <definedName name="cab31s_16_1">NA()</definedName>
    <definedName name="cab31s_16_1_3">NA()</definedName>
    <definedName name="cab31s_16_1_3_5">#REF!</definedName>
    <definedName name="cab31s_16_1_5">#REF!</definedName>
    <definedName name="cab31s_16_3">NA()</definedName>
    <definedName name="cab31s_16_3_5">#REF!</definedName>
    <definedName name="cab31s_16_5">#REF!</definedName>
    <definedName name="cab31s_17">NA()</definedName>
    <definedName name="cab31s_17_1">NA()</definedName>
    <definedName name="cab31s_17_1_5">#REF!</definedName>
    <definedName name="cab31s_17_3">NA()</definedName>
    <definedName name="cab31s_17_3_5">#REF!</definedName>
    <definedName name="cab31s_17_5">#REF!</definedName>
    <definedName name="cab31s_18">NA()</definedName>
    <definedName name="cab31s_18_1">NA()</definedName>
    <definedName name="cab31s_18_1_5">#REF!</definedName>
    <definedName name="cab31s_18_5">#REF!</definedName>
    <definedName name="cab31s_19">NA()</definedName>
    <definedName name="cab31s_19_1">NA()</definedName>
    <definedName name="cab31s_19_1_5">#REF!</definedName>
    <definedName name="cab31s_19_5">#REF!</definedName>
    <definedName name="cab31s_2">NA()</definedName>
    <definedName name="cab31s_2_5">#REF!</definedName>
    <definedName name="cab31s_20">NA()</definedName>
    <definedName name="cab31s_20_1">NA()</definedName>
    <definedName name="cab31s_20_1_3">NA()</definedName>
    <definedName name="cab31s_20_1_3_5">#REF!</definedName>
    <definedName name="cab31s_20_1_5">#REF!</definedName>
    <definedName name="cab31s_20_5">#REF!</definedName>
    <definedName name="cab31s_21">NA()</definedName>
    <definedName name="cab31s_21_1">NA()</definedName>
    <definedName name="cab31s_21_1_1">NA()</definedName>
    <definedName name="cab31s_21_1_1_3">NA()</definedName>
    <definedName name="cab31s_21_1_1_3_5">#REF!</definedName>
    <definedName name="cab31s_21_1_1_5">#REF!</definedName>
    <definedName name="cab31s_21_1_3">NA()</definedName>
    <definedName name="cab31s_21_1_3_5">#REF!</definedName>
    <definedName name="cab31s_21_1_5">#REF!</definedName>
    <definedName name="cab31s_21_5">#REF!</definedName>
    <definedName name="cab31s_22">NA()</definedName>
    <definedName name="cab31s_22_3">NA()</definedName>
    <definedName name="cab31s_22_3_5">#REF!</definedName>
    <definedName name="cab31s_22_5">#REF!</definedName>
    <definedName name="cab31s_23">NA()</definedName>
    <definedName name="cab31s_23_3">NA()</definedName>
    <definedName name="cab31s_23_3_5">#REF!</definedName>
    <definedName name="cab31s_23_5">#REF!</definedName>
    <definedName name="cab31s_24">NA()</definedName>
    <definedName name="cab31s_24_3">NA()</definedName>
    <definedName name="cab31s_24_3_5">#REF!</definedName>
    <definedName name="cab31s_24_5">#REF!</definedName>
    <definedName name="cab31s_25">NA()</definedName>
    <definedName name="cab31s_25_3">NA()</definedName>
    <definedName name="cab31s_25_3_5">#REF!</definedName>
    <definedName name="cab31s_25_5">#REF!</definedName>
    <definedName name="cab31s_26">NA()</definedName>
    <definedName name="cab31s_26_1">NA()</definedName>
    <definedName name="cab31s_26_1_3">NA()</definedName>
    <definedName name="cab31s_26_1_3_5">#REF!</definedName>
    <definedName name="cab31s_26_1_5">#REF!</definedName>
    <definedName name="cab31s_26_3">NA()</definedName>
    <definedName name="cab31s_26_3_5">#REF!</definedName>
    <definedName name="cab31s_26_5">#REF!</definedName>
    <definedName name="cab31s_27">NA()</definedName>
    <definedName name="cab31s_27_1">NA()</definedName>
    <definedName name="cab31s_27_1_3">NA()</definedName>
    <definedName name="cab31s_27_1_3_5">#REF!</definedName>
    <definedName name="cab31s_27_1_5">#REF!</definedName>
    <definedName name="cab31s_27_3">NA()</definedName>
    <definedName name="cab31s_27_3_5">#REF!</definedName>
    <definedName name="cab31s_27_5">#REF!</definedName>
    <definedName name="cab31s_28">NA()</definedName>
    <definedName name="cab31s_28_1">NA()</definedName>
    <definedName name="cab31s_28_1_3">NA()</definedName>
    <definedName name="cab31s_28_1_3_5">#REF!</definedName>
    <definedName name="cab31s_28_1_5">#REF!</definedName>
    <definedName name="cab31s_28_3">NA()</definedName>
    <definedName name="cab31s_28_3_5">#REF!</definedName>
    <definedName name="cab31s_28_5">#REF!</definedName>
    <definedName name="cab31s_29">NA()</definedName>
    <definedName name="cab31s_29_3">NA()</definedName>
    <definedName name="cab31s_29_3_5">#REF!</definedName>
    <definedName name="cab31s_29_5">#REF!</definedName>
    <definedName name="cab31s_3">NA()</definedName>
    <definedName name="cab31s_3_5">#REF!</definedName>
    <definedName name="cab31s_4">NA()</definedName>
    <definedName name="cab31s_4_1">NA()</definedName>
    <definedName name="cab31s_4_1_1">NA()</definedName>
    <definedName name="cab31s_4_1_1_1">NA()</definedName>
    <definedName name="cab31s_4_1_1_1_1">NA()</definedName>
    <definedName name="cab31s_4_1_1_1_1_1">NA()</definedName>
    <definedName name="cab31s_4_1_1_1_1_1_5">#REF!</definedName>
    <definedName name="cab31s_4_1_1_1_1_3">NA()</definedName>
    <definedName name="cab31s_4_1_1_1_1_3_5">#REF!</definedName>
    <definedName name="cab31s_4_1_1_1_1_5">#REF!</definedName>
    <definedName name="cab31s_4_1_1_1_3">NA()</definedName>
    <definedName name="cab31s_4_1_1_1_3_1">NA()</definedName>
    <definedName name="cab31s_4_1_1_1_3_1_5">#REF!</definedName>
    <definedName name="cab31s_4_1_1_1_3_5">#REF!</definedName>
    <definedName name="cab31s_4_1_1_1_5">#REF!</definedName>
    <definedName name="cab31s_4_1_1_3">NA()</definedName>
    <definedName name="cab31s_4_1_1_3_5">#REF!</definedName>
    <definedName name="cab31s_4_1_1_5">#REF!</definedName>
    <definedName name="cab31s_4_1_17">NA()</definedName>
    <definedName name="cab31s_4_1_17_3">NA()</definedName>
    <definedName name="cab31s_4_1_17_3_5">#REF!</definedName>
    <definedName name="cab31s_4_1_17_5">#REF!</definedName>
    <definedName name="cab31s_4_1_28">NA()</definedName>
    <definedName name="cab31s_4_1_28_3">NA()</definedName>
    <definedName name="cab31s_4_1_28_3_5">#REF!</definedName>
    <definedName name="cab31s_4_1_28_5">#REF!</definedName>
    <definedName name="cab31s_4_1_5">#REF!</definedName>
    <definedName name="cab31s_4_1_6">NA()</definedName>
    <definedName name="cab31s_4_1_6_3">NA()</definedName>
    <definedName name="cab31s_4_1_6_3_5">#REF!</definedName>
    <definedName name="cab31s_4_1_6_5">#REF!</definedName>
    <definedName name="cab31s_4_10">NA()</definedName>
    <definedName name="cab31s_4_10_3">NA()</definedName>
    <definedName name="cab31s_4_10_3_5">#REF!</definedName>
    <definedName name="cab31s_4_10_5">#REF!</definedName>
    <definedName name="cab31s_4_12">NA()</definedName>
    <definedName name="cab31s_4_12_3">NA()</definedName>
    <definedName name="cab31s_4_12_3_5">#REF!</definedName>
    <definedName name="cab31s_4_12_5">#REF!</definedName>
    <definedName name="cab31s_4_13">NA()</definedName>
    <definedName name="cab31s_4_13_3">NA()</definedName>
    <definedName name="cab31s_4_13_3_5">#REF!</definedName>
    <definedName name="cab31s_4_13_5">#REF!</definedName>
    <definedName name="cab31s_4_14">NA()</definedName>
    <definedName name="cab31s_4_14_3">NA()</definedName>
    <definedName name="cab31s_4_14_3_5">#REF!</definedName>
    <definedName name="cab31s_4_14_5">#REF!</definedName>
    <definedName name="cab31s_4_15">NA()</definedName>
    <definedName name="cab31s_4_15_3">NA()</definedName>
    <definedName name="cab31s_4_15_3_5">#REF!</definedName>
    <definedName name="cab31s_4_15_5">#REF!</definedName>
    <definedName name="cab31s_4_16">NA()</definedName>
    <definedName name="cab31s_4_16_3">NA()</definedName>
    <definedName name="cab31s_4_16_3_5">#REF!</definedName>
    <definedName name="cab31s_4_16_5">#REF!</definedName>
    <definedName name="cab31s_4_17">NA()</definedName>
    <definedName name="cab31s_4_17_3">NA()</definedName>
    <definedName name="cab31s_4_17_3_5">#REF!</definedName>
    <definedName name="cab31s_4_17_5">#REF!</definedName>
    <definedName name="cab31s_4_18">NA()</definedName>
    <definedName name="cab31s_4_18_1">NA()</definedName>
    <definedName name="cab31s_4_18_1_5">#REF!</definedName>
    <definedName name="cab31s_4_18_5">#REF!</definedName>
    <definedName name="cab31s_4_19">NA()</definedName>
    <definedName name="cab31s_4_19_5">#REF!</definedName>
    <definedName name="cab31s_4_20">NA()</definedName>
    <definedName name="cab31s_4_20_3">NA()</definedName>
    <definedName name="cab31s_4_20_3_5">#REF!</definedName>
    <definedName name="cab31s_4_20_5">#REF!</definedName>
    <definedName name="cab31s_4_21">NA()</definedName>
    <definedName name="cab31s_4_21_1">NA()</definedName>
    <definedName name="cab31s_4_21_1_3">NA()</definedName>
    <definedName name="cab31s_4_21_1_3_5">#REF!</definedName>
    <definedName name="cab31s_4_21_1_5">#REF!</definedName>
    <definedName name="cab31s_4_21_5">#REF!</definedName>
    <definedName name="cab31s_4_22">NA()</definedName>
    <definedName name="cab31s_4_22_3">NA()</definedName>
    <definedName name="cab31s_4_22_3_5">#REF!</definedName>
    <definedName name="cab31s_4_22_5">#REF!</definedName>
    <definedName name="cab31s_4_23">NA()</definedName>
    <definedName name="cab31s_4_23_3">NA()</definedName>
    <definedName name="cab31s_4_23_3_5">#REF!</definedName>
    <definedName name="cab31s_4_23_5">#REF!</definedName>
    <definedName name="cab31s_4_24">NA()</definedName>
    <definedName name="cab31s_4_24_3">NA()</definedName>
    <definedName name="cab31s_4_24_3_5">#REF!</definedName>
    <definedName name="cab31s_4_24_5">#REF!</definedName>
    <definedName name="cab31s_4_25">NA()</definedName>
    <definedName name="cab31s_4_25_3">NA()</definedName>
    <definedName name="cab31s_4_25_3_5">#REF!</definedName>
    <definedName name="cab31s_4_25_5">#REF!</definedName>
    <definedName name="cab31s_4_26">NA()</definedName>
    <definedName name="cab31s_4_26_3">NA()</definedName>
    <definedName name="cab31s_4_26_3_5">#REF!</definedName>
    <definedName name="cab31s_4_26_5">#REF!</definedName>
    <definedName name="cab31s_4_27">NA()</definedName>
    <definedName name="cab31s_4_27_3">NA()</definedName>
    <definedName name="cab31s_4_27_3_5">#REF!</definedName>
    <definedName name="cab31s_4_27_5">#REF!</definedName>
    <definedName name="cab31s_4_28">NA()</definedName>
    <definedName name="cab31s_4_28_3">NA()</definedName>
    <definedName name="cab31s_4_28_3_5">#REF!</definedName>
    <definedName name="cab31s_4_28_5">#REF!</definedName>
    <definedName name="cab31s_4_5">#REF!</definedName>
    <definedName name="cab31s_4_6">NA()</definedName>
    <definedName name="cab31s_4_6_3">NA()</definedName>
    <definedName name="cab31s_4_6_3_5">#REF!</definedName>
    <definedName name="cab31s_4_6_5">#REF!</definedName>
    <definedName name="cab31s_4_7">NA()</definedName>
    <definedName name="cab31s_4_7_3">NA()</definedName>
    <definedName name="cab31s_4_7_3_5">#REF!</definedName>
    <definedName name="cab31s_4_7_5">#REF!</definedName>
    <definedName name="cab31s_4_8">NA()</definedName>
    <definedName name="cab31s_4_8_3">NA()</definedName>
    <definedName name="cab31s_4_8_3_5">#REF!</definedName>
    <definedName name="cab31s_4_8_5">#REF!</definedName>
    <definedName name="cab31s_4_9">NA()</definedName>
    <definedName name="cab31s_4_9_3">NA()</definedName>
    <definedName name="cab31s_4_9_3_5">#REF!</definedName>
    <definedName name="cab31s_4_9_5">#REF!</definedName>
    <definedName name="cab31s_5">#REF!</definedName>
    <definedName name="cab31s_5_1">NA()</definedName>
    <definedName name="cab31s_5_17">NA()</definedName>
    <definedName name="cab31s_5_17_3">NA()</definedName>
    <definedName name="cab31s_5_17_3_5">#REF!</definedName>
    <definedName name="cab31s_5_17_5">#REF!</definedName>
    <definedName name="cab31s_5_28">NA()</definedName>
    <definedName name="cab31s_5_28_3">NA()</definedName>
    <definedName name="cab31s_5_28_3_5">#REF!</definedName>
    <definedName name="cab31s_5_28_5">#REF!</definedName>
    <definedName name="cab31s_5_3">NA()</definedName>
    <definedName name="cab31s_5_3_5">#REF!</definedName>
    <definedName name="cab31s_5_5">#REF!</definedName>
    <definedName name="cab31s_5_6">NA()</definedName>
    <definedName name="cab31s_5_6_3">NA()</definedName>
    <definedName name="cab31s_5_6_3_5">#REF!</definedName>
    <definedName name="cab31s_5_6_5">#REF!</definedName>
    <definedName name="cab31s_6">NA()</definedName>
    <definedName name="cab31s_6_1">NA()</definedName>
    <definedName name="cab31s_6_1_5">#REF!</definedName>
    <definedName name="cab31s_6_10">NA()</definedName>
    <definedName name="cab31s_6_10_3">NA()</definedName>
    <definedName name="cab31s_6_10_3_5">#REF!</definedName>
    <definedName name="cab31s_6_10_5">#REF!</definedName>
    <definedName name="cab31s_6_12">NA()</definedName>
    <definedName name="cab31s_6_12_3">NA()</definedName>
    <definedName name="cab31s_6_12_3_5">#REF!</definedName>
    <definedName name="cab31s_6_12_5">#REF!</definedName>
    <definedName name="cab31s_6_13">NA()</definedName>
    <definedName name="cab31s_6_13_3">NA()</definedName>
    <definedName name="cab31s_6_13_3_5">#REF!</definedName>
    <definedName name="cab31s_6_13_5">#REF!</definedName>
    <definedName name="cab31s_6_14">NA()</definedName>
    <definedName name="cab31s_6_14_3">NA()</definedName>
    <definedName name="cab31s_6_14_3_5">#REF!</definedName>
    <definedName name="cab31s_6_14_5">#REF!</definedName>
    <definedName name="cab31s_6_15">NA()</definedName>
    <definedName name="cab31s_6_15_3">NA()</definedName>
    <definedName name="cab31s_6_15_3_5">#REF!</definedName>
    <definedName name="cab31s_6_15_5">#REF!</definedName>
    <definedName name="cab31s_6_16">NA()</definedName>
    <definedName name="cab31s_6_16_3">NA()</definedName>
    <definedName name="cab31s_6_16_3_5">#REF!</definedName>
    <definedName name="cab31s_6_16_5">#REF!</definedName>
    <definedName name="cab31s_6_17">NA()</definedName>
    <definedName name="cab31s_6_17_3">NA()</definedName>
    <definedName name="cab31s_6_17_3_5">#REF!</definedName>
    <definedName name="cab31s_6_17_5">#REF!</definedName>
    <definedName name="cab31s_6_18">NA()</definedName>
    <definedName name="cab31s_6_18_1">NA()</definedName>
    <definedName name="cab31s_6_18_1_5">#REF!</definedName>
    <definedName name="cab31s_6_18_5">#REF!</definedName>
    <definedName name="cab31s_6_19">NA()</definedName>
    <definedName name="cab31s_6_19_5">#REF!</definedName>
    <definedName name="cab31s_6_20">NA()</definedName>
    <definedName name="cab31s_6_20_3">NA()</definedName>
    <definedName name="cab31s_6_20_3_5">#REF!</definedName>
    <definedName name="cab31s_6_20_5">#REF!</definedName>
    <definedName name="cab31s_6_21">NA()</definedName>
    <definedName name="cab31s_6_21_1">NA()</definedName>
    <definedName name="cab31s_6_21_1_3">NA()</definedName>
    <definedName name="cab31s_6_21_1_3_5">#REF!</definedName>
    <definedName name="cab31s_6_21_1_5">#REF!</definedName>
    <definedName name="cab31s_6_21_5">#REF!</definedName>
    <definedName name="cab31s_6_22">NA()</definedName>
    <definedName name="cab31s_6_22_3">NA()</definedName>
    <definedName name="cab31s_6_22_3_5">#REF!</definedName>
    <definedName name="cab31s_6_22_5">#REF!</definedName>
    <definedName name="cab31s_6_23">NA()</definedName>
    <definedName name="cab31s_6_23_3">NA()</definedName>
    <definedName name="cab31s_6_23_3_5">#REF!</definedName>
    <definedName name="cab31s_6_23_5">#REF!</definedName>
    <definedName name="cab31s_6_24">NA()</definedName>
    <definedName name="cab31s_6_24_3">NA()</definedName>
    <definedName name="cab31s_6_24_3_5">#REF!</definedName>
    <definedName name="cab31s_6_24_5">#REF!</definedName>
    <definedName name="cab31s_6_25">NA()</definedName>
    <definedName name="cab31s_6_25_3">NA()</definedName>
    <definedName name="cab31s_6_25_3_5">#REF!</definedName>
    <definedName name="cab31s_6_25_5">#REF!</definedName>
    <definedName name="cab31s_6_26">NA()</definedName>
    <definedName name="cab31s_6_26_3">NA()</definedName>
    <definedName name="cab31s_6_26_3_5">#REF!</definedName>
    <definedName name="cab31s_6_26_5">#REF!</definedName>
    <definedName name="cab31s_6_27">NA()</definedName>
    <definedName name="cab31s_6_27_3">NA()</definedName>
    <definedName name="cab31s_6_27_3_5">#REF!</definedName>
    <definedName name="cab31s_6_27_5">#REF!</definedName>
    <definedName name="cab31s_6_28">NA()</definedName>
    <definedName name="cab31s_6_28_3">NA()</definedName>
    <definedName name="cab31s_6_28_3_5">#REF!</definedName>
    <definedName name="cab31s_6_28_5">#REF!</definedName>
    <definedName name="cab31s_6_5">#REF!</definedName>
    <definedName name="cab31s_6_6">NA()</definedName>
    <definedName name="cab31s_6_6_3">NA()</definedName>
    <definedName name="cab31s_6_6_3_5">#REF!</definedName>
    <definedName name="cab31s_6_6_5">#REF!</definedName>
    <definedName name="cab31s_6_7">NA()</definedName>
    <definedName name="cab31s_6_7_3">NA()</definedName>
    <definedName name="cab31s_6_7_3_5">#REF!</definedName>
    <definedName name="cab31s_6_7_5">#REF!</definedName>
    <definedName name="cab31s_6_8">NA()</definedName>
    <definedName name="cab31s_6_8_3">NA()</definedName>
    <definedName name="cab31s_6_8_3_5">#REF!</definedName>
    <definedName name="cab31s_6_8_5">#REF!</definedName>
    <definedName name="cab31s_6_9">NA()</definedName>
    <definedName name="cab31s_6_9_1">NA()</definedName>
    <definedName name="cab31s_6_9_1_1">NA()</definedName>
    <definedName name="cab31s_6_9_1_1_3">NA()</definedName>
    <definedName name="cab31s_6_9_1_1_3_5">#REF!</definedName>
    <definedName name="cab31s_6_9_1_1_5">#REF!</definedName>
    <definedName name="cab31s_6_9_1_3">NA()</definedName>
    <definedName name="cab31s_6_9_1_3_5">#REF!</definedName>
    <definedName name="cab31s_6_9_1_5">#REF!</definedName>
    <definedName name="cab31s_6_9_5">#REF!</definedName>
    <definedName name="cab31s_7">NA()</definedName>
    <definedName name="cab31s_7_5">#REF!</definedName>
    <definedName name="cab31s_8">NA()</definedName>
    <definedName name="cab31s_8_3">NA()</definedName>
    <definedName name="cab31s_8_3_5">#REF!</definedName>
    <definedName name="cab31s_8_5">#REF!</definedName>
    <definedName name="cab31s_9">NA()</definedName>
    <definedName name="cab31s_9_3">NA()</definedName>
    <definedName name="cab31s_9_3_5">#REF!</definedName>
    <definedName name="cab31s_9_5">#REF!</definedName>
    <definedName name="cab31us">NA()</definedName>
    <definedName name="cab31us_1">NA()</definedName>
    <definedName name="cab31us_1_3">NA()</definedName>
    <definedName name="cab31us_1_3_5">#REF!</definedName>
    <definedName name="cab31us_1_5">#REF!</definedName>
    <definedName name="cab31us_10">NA()</definedName>
    <definedName name="cab31us_10_1">NA()</definedName>
    <definedName name="cab31us_10_1_3">NA()</definedName>
    <definedName name="cab31us_10_1_3_5">#REF!</definedName>
    <definedName name="cab31us_10_1_5">#REF!</definedName>
    <definedName name="cab31us_10_17">NA()</definedName>
    <definedName name="cab31us_10_17_3">NA()</definedName>
    <definedName name="cab31us_10_17_3_5">#REF!</definedName>
    <definedName name="cab31us_10_17_5">#REF!</definedName>
    <definedName name="cab31us_10_5">#REF!</definedName>
    <definedName name="cab31us_11">NA()</definedName>
    <definedName name="cab31us_11_1">NA()</definedName>
    <definedName name="cab31us_11_1_5">#REF!</definedName>
    <definedName name="cab31us_11_5">#REF!</definedName>
    <definedName name="cab31us_12">NA()</definedName>
    <definedName name="cab31us_12_3">NA()</definedName>
    <definedName name="cab31us_12_3_5">#REF!</definedName>
    <definedName name="cab31us_12_5">#REF!</definedName>
    <definedName name="cab31us_13">NA()</definedName>
    <definedName name="cab31us_13_3">NA()</definedName>
    <definedName name="cab31us_13_3_5">#REF!</definedName>
    <definedName name="cab31us_13_5">#REF!</definedName>
    <definedName name="cab31us_14">NA()</definedName>
    <definedName name="cab31us_14_5">#REF!</definedName>
    <definedName name="cab31us_15">NA()</definedName>
    <definedName name="cab31us_15_1">NA()</definedName>
    <definedName name="cab31us_15_1_3">NA()</definedName>
    <definedName name="cab31us_15_1_3_5">#REF!</definedName>
    <definedName name="cab31us_15_1_5">#REF!</definedName>
    <definedName name="cab31us_15_3">NA()</definedName>
    <definedName name="cab31us_15_3_5">#REF!</definedName>
    <definedName name="cab31us_15_5">#REF!</definedName>
    <definedName name="cab31us_16">NA()</definedName>
    <definedName name="cab31us_16_1">NA()</definedName>
    <definedName name="cab31us_16_1_3">NA()</definedName>
    <definedName name="cab31us_16_1_3_5">#REF!</definedName>
    <definedName name="cab31us_16_1_5">#REF!</definedName>
    <definedName name="cab31us_16_3">NA()</definedName>
    <definedName name="cab31us_16_3_5">#REF!</definedName>
    <definedName name="cab31us_16_5">#REF!</definedName>
    <definedName name="cab31us_17">NA()</definedName>
    <definedName name="cab31us_17_1">NA()</definedName>
    <definedName name="cab31us_17_1_5">#REF!</definedName>
    <definedName name="cab31us_17_3">NA()</definedName>
    <definedName name="cab31us_17_3_5">#REF!</definedName>
    <definedName name="cab31us_17_5">#REF!</definedName>
    <definedName name="cab31us_18">NA()</definedName>
    <definedName name="cab31us_18_1">NA()</definedName>
    <definedName name="cab31us_18_1_5">#REF!</definedName>
    <definedName name="cab31us_18_5">#REF!</definedName>
    <definedName name="cab31us_19">NA()</definedName>
    <definedName name="cab31us_19_1">NA()</definedName>
    <definedName name="cab31us_19_1_5">#REF!</definedName>
    <definedName name="cab31us_19_5">#REF!</definedName>
    <definedName name="cab31us_2">NA()</definedName>
    <definedName name="cab31us_2_5">#REF!</definedName>
    <definedName name="cab31us_20">NA()</definedName>
    <definedName name="cab31us_20_1">NA()</definedName>
    <definedName name="cab31us_20_1_3">NA()</definedName>
    <definedName name="cab31us_20_1_3_5">#REF!</definedName>
    <definedName name="cab31us_20_1_5">#REF!</definedName>
    <definedName name="cab31us_20_5">#REF!</definedName>
    <definedName name="cab31us_21">NA()</definedName>
    <definedName name="cab31us_21_1">NA()</definedName>
    <definedName name="cab31us_21_1_1">NA()</definedName>
    <definedName name="cab31us_21_1_1_3">NA()</definedName>
    <definedName name="cab31us_21_1_1_3_5">#REF!</definedName>
    <definedName name="cab31us_21_1_1_5">#REF!</definedName>
    <definedName name="cab31us_21_1_3">NA()</definedName>
    <definedName name="cab31us_21_1_3_5">#REF!</definedName>
    <definedName name="cab31us_21_1_5">#REF!</definedName>
    <definedName name="cab31us_21_5">#REF!</definedName>
    <definedName name="cab31us_22">NA()</definedName>
    <definedName name="cab31us_22_3">NA()</definedName>
    <definedName name="cab31us_22_3_5">#REF!</definedName>
    <definedName name="cab31us_22_5">#REF!</definedName>
    <definedName name="cab31us_23">NA()</definedName>
    <definedName name="cab31us_23_3">NA()</definedName>
    <definedName name="cab31us_23_3_5">#REF!</definedName>
    <definedName name="cab31us_23_5">#REF!</definedName>
    <definedName name="cab31us_24">NA()</definedName>
    <definedName name="cab31us_24_3">NA()</definedName>
    <definedName name="cab31us_24_3_5">#REF!</definedName>
    <definedName name="cab31us_24_5">#REF!</definedName>
    <definedName name="cab31us_25">NA()</definedName>
    <definedName name="cab31us_25_3">NA()</definedName>
    <definedName name="cab31us_25_3_5">#REF!</definedName>
    <definedName name="cab31us_25_5">#REF!</definedName>
    <definedName name="cab31us_26">NA()</definedName>
    <definedName name="cab31us_26_1">NA()</definedName>
    <definedName name="cab31us_26_1_3">NA()</definedName>
    <definedName name="cab31us_26_1_3_5">#REF!</definedName>
    <definedName name="cab31us_26_1_5">#REF!</definedName>
    <definedName name="cab31us_26_3">NA()</definedName>
    <definedName name="cab31us_26_3_5">#REF!</definedName>
    <definedName name="cab31us_26_5">#REF!</definedName>
    <definedName name="cab31us_27">NA()</definedName>
    <definedName name="cab31us_27_1">NA()</definedName>
    <definedName name="cab31us_27_1_3">NA()</definedName>
    <definedName name="cab31us_27_1_3_5">#REF!</definedName>
    <definedName name="cab31us_27_1_5">#REF!</definedName>
    <definedName name="cab31us_27_3">NA()</definedName>
    <definedName name="cab31us_27_3_5">#REF!</definedName>
    <definedName name="cab31us_27_5">#REF!</definedName>
    <definedName name="cab31us_28">NA()</definedName>
    <definedName name="cab31us_28_1">NA()</definedName>
    <definedName name="cab31us_28_1_3">NA()</definedName>
    <definedName name="cab31us_28_1_3_5">#REF!</definedName>
    <definedName name="cab31us_28_1_5">#REF!</definedName>
    <definedName name="cab31us_28_3">NA()</definedName>
    <definedName name="cab31us_28_3_5">#REF!</definedName>
    <definedName name="cab31us_28_5">#REF!</definedName>
    <definedName name="cab31us_29">NA()</definedName>
    <definedName name="cab31us_29_3">NA()</definedName>
    <definedName name="cab31us_29_3_5">#REF!</definedName>
    <definedName name="cab31us_29_5">#REF!</definedName>
    <definedName name="cab31us_3">NA()</definedName>
    <definedName name="cab31us_3_5">#REF!</definedName>
    <definedName name="cab31us_4">NA()</definedName>
    <definedName name="cab31us_4_1">NA()</definedName>
    <definedName name="cab31us_4_1_1">NA()</definedName>
    <definedName name="cab31us_4_1_1_1">NA()</definedName>
    <definedName name="cab31us_4_1_1_1_1">NA()</definedName>
    <definedName name="cab31us_4_1_1_1_1_1">NA()</definedName>
    <definedName name="cab31us_4_1_1_1_1_1_5">#REF!</definedName>
    <definedName name="cab31us_4_1_1_1_1_3">NA()</definedName>
    <definedName name="cab31us_4_1_1_1_1_3_5">#REF!</definedName>
    <definedName name="cab31us_4_1_1_1_1_5">#REF!</definedName>
    <definedName name="cab31us_4_1_1_1_3">NA()</definedName>
    <definedName name="cab31us_4_1_1_1_3_1">NA()</definedName>
    <definedName name="cab31us_4_1_1_1_3_1_5">#REF!</definedName>
    <definedName name="cab31us_4_1_1_1_3_5">#REF!</definedName>
    <definedName name="cab31us_4_1_1_1_5">#REF!</definedName>
    <definedName name="cab31us_4_1_1_3">NA()</definedName>
    <definedName name="cab31us_4_1_1_3_5">#REF!</definedName>
    <definedName name="cab31us_4_1_1_5">#REF!</definedName>
    <definedName name="cab31us_4_1_17">NA()</definedName>
    <definedName name="cab31us_4_1_17_3">NA()</definedName>
    <definedName name="cab31us_4_1_17_3_5">#REF!</definedName>
    <definedName name="cab31us_4_1_17_5">#REF!</definedName>
    <definedName name="cab31us_4_1_28">NA()</definedName>
    <definedName name="cab31us_4_1_28_3">NA()</definedName>
    <definedName name="cab31us_4_1_28_3_5">#REF!</definedName>
    <definedName name="cab31us_4_1_28_5">#REF!</definedName>
    <definedName name="cab31us_4_1_5">#REF!</definedName>
    <definedName name="cab31us_4_1_6">NA()</definedName>
    <definedName name="cab31us_4_1_6_3">NA()</definedName>
    <definedName name="cab31us_4_1_6_3_5">#REF!</definedName>
    <definedName name="cab31us_4_1_6_5">#REF!</definedName>
    <definedName name="cab31us_4_10">NA()</definedName>
    <definedName name="cab31us_4_10_3">NA()</definedName>
    <definedName name="cab31us_4_10_3_5">#REF!</definedName>
    <definedName name="cab31us_4_10_5">#REF!</definedName>
    <definedName name="cab31us_4_12">NA()</definedName>
    <definedName name="cab31us_4_12_3">NA()</definedName>
    <definedName name="cab31us_4_12_3_5">#REF!</definedName>
    <definedName name="cab31us_4_12_5">#REF!</definedName>
    <definedName name="cab31us_4_13">NA()</definedName>
    <definedName name="cab31us_4_13_3">NA()</definedName>
    <definedName name="cab31us_4_13_3_5">#REF!</definedName>
    <definedName name="cab31us_4_13_5">#REF!</definedName>
    <definedName name="cab31us_4_14">NA()</definedName>
    <definedName name="cab31us_4_14_3">NA()</definedName>
    <definedName name="cab31us_4_14_3_5">#REF!</definedName>
    <definedName name="cab31us_4_14_5">#REF!</definedName>
    <definedName name="cab31us_4_15">NA()</definedName>
    <definedName name="cab31us_4_15_3">NA()</definedName>
    <definedName name="cab31us_4_15_3_5">#REF!</definedName>
    <definedName name="cab31us_4_15_5">#REF!</definedName>
    <definedName name="cab31us_4_16">NA()</definedName>
    <definedName name="cab31us_4_16_3">NA()</definedName>
    <definedName name="cab31us_4_16_3_5">#REF!</definedName>
    <definedName name="cab31us_4_16_5">#REF!</definedName>
    <definedName name="cab31us_4_17">NA()</definedName>
    <definedName name="cab31us_4_17_3">NA()</definedName>
    <definedName name="cab31us_4_17_3_5">#REF!</definedName>
    <definedName name="cab31us_4_17_5">#REF!</definedName>
    <definedName name="cab31us_4_18">NA()</definedName>
    <definedName name="cab31us_4_18_1">NA()</definedName>
    <definedName name="cab31us_4_18_1_5">#REF!</definedName>
    <definedName name="cab31us_4_18_5">#REF!</definedName>
    <definedName name="cab31us_4_19">NA()</definedName>
    <definedName name="cab31us_4_19_5">#REF!</definedName>
    <definedName name="cab31us_4_20">NA()</definedName>
    <definedName name="cab31us_4_20_3">NA()</definedName>
    <definedName name="cab31us_4_20_3_5">#REF!</definedName>
    <definedName name="cab31us_4_20_5">#REF!</definedName>
    <definedName name="cab31us_4_21">NA()</definedName>
    <definedName name="cab31us_4_21_1">NA()</definedName>
    <definedName name="cab31us_4_21_1_3">NA()</definedName>
    <definedName name="cab31us_4_21_1_3_5">#REF!</definedName>
    <definedName name="cab31us_4_21_1_5">#REF!</definedName>
    <definedName name="cab31us_4_21_5">#REF!</definedName>
    <definedName name="cab31us_4_22">NA()</definedName>
    <definedName name="cab31us_4_22_3">NA()</definedName>
    <definedName name="cab31us_4_22_3_5">#REF!</definedName>
    <definedName name="cab31us_4_22_5">#REF!</definedName>
    <definedName name="cab31us_4_23">NA()</definedName>
    <definedName name="cab31us_4_23_3">NA()</definedName>
    <definedName name="cab31us_4_23_3_5">#REF!</definedName>
    <definedName name="cab31us_4_23_5">#REF!</definedName>
    <definedName name="cab31us_4_24">NA()</definedName>
    <definedName name="cab31us_4_24_3">NA()</definedName>
    <definedName name="cab31us_4_24_3_5">#REF!</definedName>
    <definedName name="cab31us_4_24_5">#REF!</definedName>
    <definedName name="cab31us_4_25">NA()</definedName>
    <definedName name="cab31us_4_25_3">NA()</definedName>
    <definedName name="cab31us_4_25_3_5">#REF!</definedName>
    <definedName name="cab31us_4_25_5">#REF!</definedName>
    <definedName name="cab31us_4_26">NA()</definedName>
    <definedName name="cab31us_4_26_3">NA()</definedName>
    <definedName name="cab31us_4_26_3_5">#REF!</definedName>
    <definedName name="cab31us_4_26_5">#REF!</definedName>
    <definedName name="cab31us_4_27">NA()</definedName>
    <definedName name="cab31us_4_27_3">NA()</definedName>
    <definedName name="cab31us_4_27_3_5">#REF!</definedName>
    <definedName name="cab31us_4_27_5">#REF!</definedName>
    <definedName name="cab31us_4_28">NA()</definedName>
    <definedName name="cab31us_4_28_3">NA()</definedName>
    <definedName name="cab31us_4_28_3_5">#REF!</definedName>
    <definedName name="cab31us_4_28_5">#REF!</definedName>
    <definedName name="cab31us_4_5">#REF!</definedName>
    <definedName name="cab31us_4_6">NA()</definedName>
    <definedName name="cab31us_4_6_3">NA()</definedName>
    <definedName name="cab31us_4_6_3_5">#REF!</definedName>
    <definedName name="cab31us_4_6_5">#REF!</definedName>
    <definedName name="cab31us_4_7">NA()</definedName>
    <definedName name="cab31us_4_7_3">NA()</definedName>
    <definedName name="cab31us_4_7_3_5">#REF!</definedName>
    <definedName name="cab31us_4_7_5">#REF!</definedName>
    <definedName name="cab31us_4_8">NA()</definedName>
    <definedName name="cab31us_4_8_3">NA()</definedName>
    <definedName name="cab31us_4_8_3_5">#REF!</definedName>
    <definedName name="cab31us_4_8_5">#REF!</definedName>
    <definedName name="cab31us_4_9">NA()</definedName>
    <definedName name="cab31us_4_9_3">NA()</definedName>
    <definedName name="cab31us_4_9_3_5">#REF!</definedName>
    <definedName name="cab31us_4_9_5">#REF!</definedName>
    <definedName name="cab31us_5">#REF!</definedName>
    <definedName name="cab31us_5_1">NA()</definedName>
    <definedName name="cab31us_5_17">NA()</definedName>
    <definedName name="cab31us_5_17_3">NA()</definedName>
    <definedName name="cab31us_5_17_3_5">#REF!</definedName>
    <definedName name="cab31us_5_17_5">#REF!</definedName>
    <definedName name="cab31us_5_28">NA()</definedName>
    <definedName name="cab31us_5_28_3">NA()</definedName>
    <definedName name="cab31us_5_28_3_5">#REF!</definedName>
    <definedName name="cab31us_5_28_5">#REF!</definedName>
    <definedName name="cab31us_5_3">NA()</definedName>
    <definedName name="cab31us_5_3_5">#REF!</definedName>
    <definedName name="cab31us_5_5">#REF!</definedName>
    <definedName name="cab31us_5_6">NA()</definedName>
    <definedName name="cab31us_5_6_3">NA()</definedName>
    <definedName name="cab31us_5_6_3_5">#REF!</definedName>
    <definedName name="cab31us_5_6_5">#REF!</definedName>
    <definedName name="cab31us_6">NA()</definedName>
    <definedName name="cab31us_6_1">NA()</definedName>
    <definedName name="cab31us_6_1_5">#REF!</definedName>
    <definedName name="cab31us_6_10">NA()</definedName>
    <definedName name="cab31us_6_10_3">NA()</definedName>
    <definedName name="cab31us_6_10_3_5">#REF!</definedName>
    <definedName name="cab31us_6_10_5">#REF!</definedName>
    <definedName name="cab31us_6_12">NA()</definedName>
    <definedName name="cab31us_6_12_3">NA()</definedName>
    <definedName name="cab31us_6_12_3_5">#REF!</definedName>
    <definedName name="cab31us_6_12_5">#REF!</definedName>
    <definedName name="cab31us_6_13">NA()</definedName>
    <definedName name="cab31us_6_13_3">NA()</definedName>
    <definedName name="cab31us_6_13_3_5">#REF!</definedName>
    <definedName name="cab31us_6_13_5">#REF!</definedName>
    <definedName name="cab31us_6_14">NA()</definedName>
    <definedName name="cab31us_6_14_3">NA()</definedName>
    <definedName name="cab31us_6_14_3_5">#REF!</definedName>
    <definedName name="cab31us_6_14_5">#REF!</definedName>
    <definedName name="cab31us_6_15">NA()</definedName>
    <definedName name="cab31us_6_15_3">NA()</definedName>
    <definedName name="cab31us_6_15_3_5">#REF!</definedName>
    <definedName name="cab31us_6_15_5">#REF!</definedName>
    <definedName name="cab31us_6_16">NA()</definedName>
    <definedName name="cab31us_6_16_3">NA()</definedName>
    <definedName name="cab31us_6_16_3_5">#REF!</definedName>
    <definedName name="cab31us_6_16_5">#REF!</definedName>
    <definedName name="cab31us_6_17">NA()</definedName>
    <definedName name="cab31us_6_17_3">NA()</definedName>
    <definedName name="cab31us_6_17_3_5">#REF!</definedName>
    <definedName name="cab31us_6_17_5">#REF!</definedName>
    <definedName name="cab31us_6_18">NA()</definedName>
    <definedName name="cab31us_6_18_1">NA()</definedName>
    <definedName name="cab31us_6_18_1_5">#REF!</definedName>
    <definedName name="cab31us_6_18_5">#REF!</definedName>
    <definedName name="cab31us_6_19">NA()</definedName>
    <definedName name="cab31us_6_19_5">#REF!</definedName>
    <definedName name="cab31us_6_20">NA()</definedName>
    <definedName name="cab31us_6_20_3">NA()</definedName>
    <definedName name="cab31us_6_20_3_5">#REF!</definedName>
    <definedName name="cab31us_6_20_5">#REF!</definedName>
    <definedName name="cab31us_6_21">NA()</definedName>
    <definedName name="cab31us_6_21_1">NA()</definedName>
    <definedName name="cab31us_6_21_1_3">NA()</definedName>
    <definedName name="cab31us_6_21_1_3_5">#REF!</definedName>
    <definedName name="cab31us_6_21_1_5">#REF!</definedName>
    <definedName name="cab31us_6_21_5">#REF!</definedName>
    <definedName name="cab31us_6_22">NA()</definedName>
    <definedName name="cab31us_6_22_3">NA()</definedName>
    <definedName name="cab31us_6_22_3_5">#REF!</definedName>
    <definedName name="cab31us_6_22_5">#REF!</definedName>
    <definedName name="cab31us_6_23">NA()</definedName>
    <definedName name="cab31us_6_23_3">NA()</definedName>
    <definedName name="cab31us_6_23_3_5">#REF!</definedName>
    <definedName name="cab31us_6_23_5">#REF!</definedName>
    <definedName name="cab31us_6_24">NA()</definedName>
    <definedName name="cab31us_6_24_3">NA()</definedName>
    <definedName name="cab31us_6_24_3_5">#REF!</definedName>
    <definedName name="cab31us_6_24_5">#REF!</definedName>
    <definedName name="cab31us_6_25">NA()</definedName>
    <definedName name="cab31us_6_25_3">NA()</definedName>
    <definedName name="cab31us_6_25_3_5">#REF!</definedName>
    <definedName name="cab31us_6_25_5">#REF!</definedName>
    <definedName name="cab31us_6_26">NA()</definedName>
    <definedName name="cab31us_6_26_3">NA()</definedName>
    <definedName name="cab31us_6_26_3_5">#REF!</definedName>
    <definedName name="cab31us_6_26_5">#REF!</definedName>
    <definedName name="cab31us_6_27">NA()</definedName>
    <definedName name="cab31us_6_27_3">NA()</definedName>
    <definedName name="cab31us_6_27_3_5">#REF!</definedName>
    <definedName name="cab31us_6_27_5">#REF!</definedName>
    <definedName name="cab31us_6_28">NA()</definedName>
    <definedName name="cab31us_6_28_3">NA()</definedName>
    <definedName name="cab31us_6_28_3_5">#REF!</definedName>
    <definedName name="cab31us_6_28_5">#REF!</definedName>
    <definedName name="cab31us_6_5">#REF!</definedName>
    <definedName name="cab31us_6_6">NA()</definedName>
    <definedName name="cab31us_6_6_3">NA()</definedName>
    <definedName name="cab31us_6_6_3_5">#REF!</definedName>
    <definedName name="cab31us_6_6_5">#REF!</definedName>
    <definedName name="cab31us_6_7">NA()</definedName>
    <definedName name="cab31us_6_7_3">NA()</definedName>
    <definedName name="cab31us_6_7_3_5">#REF!</definedName>
    <definedName name="cab31us_6_7_5">#REF!</definedName>
    <definedName name="cab31us_6_8">NA()</definedName>
    <definedName name="cab31us_6_8_3">NA()</definedName>
    <definedName name="cab31us_6_8_3_5">#REF!</definedName>
    <definedName name="cab31us_6_8_5">#REF!</definedName>
    <definedName name="cab31us_6_9">NA()</definedName>
    <definedName name="cab31us_6_9_1">NA()</definedName>
    <definedName name="cab31us_6_9_1_1">NA()</definedName>
    <definedName name="cab31us_6_9_1_1_3">NA()</definedName>
    <definedName name="cab31us_6_9_1_1_3_5">#REF!</definedName>
    <definedName name="cab31us_6_9_1_1_5">#REF!</definedName>
    <definedName name="cab31us_6_9_1_3">NA()</definedName>
    <definedName name="cab31us_6_9_1_3_5">#REF!</definedName>
    <definedName name="cab31us_6_9_1_5">#REF!</definedName>
    <definedName name="cab31us_6_9_5">#REF!</definedName>
    <definedName name="cab31us_7">NA()</definedName>
    <definedName name="cab31us_7_5">#REF!</definedName>
    <definedName name="cab31us_8">NA()</definedName>
    <definedName name="cab31us_8_3">NA()</definedName>
    <definedName name="cab31us_8_3_5">#REF!</definedName>
    <definedName name="cab31us_8_5">#REF!</definedName>
    <definedName name="cab31us_9">NA()</definedName>
    <definedName name="cab31us_9_3">NA()</definedName>
    <definedName name="cab31us_9_3_5">#REF!</definedName>
    <definedName name="cab31us_9_5">#REF!</definedName>
    <definedName name="cab41s">NA()</definedName>
    <definedName name="cab41s_1">NA()</definedName>
    <definedName name="cab41s_1_3">NA()</definedName>
    <definedName name="cab41s_1_3_5">#REF!</definedName>
    <definedName name="cab41s_1_5">#REF!</definedName>
    <definedName name="cab41s_10">NA()</definedName>
    <definedName name="cab41s_10_1">NA()</definedName>
    <definedName name="cab41s_10_1_3">NA()</definedName>
    <definedName name="cab41s_10_1_3_5">#REF!</definedName>
    <definedName name="cab41s_10_1_5">#REF!</definedName>
    <definedName name="cab41s_10_17">NA()</definedName>
    <definedName name="cab41s_10_17_3">NA()</definedName>
    <definedName name="cab41s_10_17_3_5">#REF!</definedName>
    <definedName name="cab41s_10_17_5">#REF!</definedName>
    <definedName name="cab41s_10_5">#REF!</definedName>
    <definedName name="cab41s_11">NA()</definedName>
    <definedName name="cab41s_11_1">NA()</definedName>
    <definedName name="cab41s_11_1_5">#REF!</definedName>
    <definedName name="cab41s_11_5">#REF!</definedName>
    <definedName name="cab41s_12">NA()</definedName>
    <definedName name="cab41s_12_3">NA()</definedName>
    <definedName name="cab41s_12_3_5">#REF!</definedName>
    <definedName name="cab41s_12_5">#REF!</definedName>
    <definedName name="cab41s_13">NA()</definedName>
    <definedName name="cab41s_13_3">NA()</definedName>
    <definedName name="cab41s_13_3_5">#REF!</definedName>
    <definedName name="cab41s_13_5">#REF!</definedName>
    <definedName name="cab41s_14">NA()</definedName>
    <definedName name="cab41s_14_5">#REF!</definedName>
    <definedName name="cab41s_15">NA()</definedName>
    <definedName name="cab41s_15_1">NA()</definedName>
    <definedName name="cab41s_15_1_3">NA()</definedName>
    <definedName name="cab41s_15_1_3_5">#REF!</definedName>
    <definedName name="cab41s_15_1_5">#REF!</definedName>
    <definedName name="cab41s_15_3">NA()</definedName>
    <definedName name="cab41s_15_3_5">#REF!</definedName>
    <definedName name="cab41s_15_5">#REF!</definedName>
    <definedName name="cab41s_16">NA()</definedName>
    <definedName name="cab41s_16_1">NA()</definedName>
    <definedName name="cab41s_16_1_3">NA()</definedName>
    <definedName name="cab41s_16_1_3_5">#REF!</definedName>
    <definedName name="cab41s_16_1_5">#REF!</definedName>
    <definedName name="cab41s_16_3">NA()</definedName>
    <definedName name="cab41s_16_3_5">#REF!</definedName>
    <definedName name="cab41s_16_5">#REF!</definedName>
    <definedName name="cab41s_17">NA()</definedName>
    <definedName name="cab41s_17_1">NA()</definedName>
    <definedName name="cab41s_17_1_5">#REF!</definedName>
    <definedName name="cab41s_17_3">NA()</definedName>
    <definedName name="cab41s_17_3_5">#REF!</definedName>
    <definedName name="cab41s_17_5">#REF!</definedName>
    <definedName name="cab41s_18">NA()</definedName>
    <definedName name="cab41s_18_1">NA()</definedName>
    <definedName name="cab41s_18_1_5">#REF!</definedName>
    <definedName name="cab41s_18_5">#REF!</definedName>
    <definedName name="cab41s_19">NA()</definedName>
    <definedName name="cab41s_19_1">NA()</definedName>
    <definedName name="cab41s_19_1_5">#REF!</definedName>
    <definedName name="cab41s_19_5">#REF!</definedName>
    <definedName name="cab41s_2">NA()</definedName>
    <definedName name="cab41s_2_5">#REF!</definedName>
    <definedName name="cab41s_20">NA()</definedName>
    <definedName name="cab41s_20_1">NA()</definedName>
    <definedName name="cab41s_20_1_3">NA()</definedName>
    <definedName name="cab41s_20_1_3_5">#REF!</definedName>
    <definedName name="cab41s_20_1_5">#REF!</definedName>
    <definedName name="cab41s_20_5">#REF!</definedName>
    <definedName name="cab41s_21">NA()</definedName>
    <definedName name="cab41s_21_1">NA()</definedName>
    <definedName name="cab41s_21_1_1">NA()</definedName>
    <definedName name="cab41s_21_1_1_3">NA()</definedName>
    <definedName name="cab41s_21_1_1_3_5">#REF!</definedName>
    <definedName name="cab41s_21_1_1_5">#REF!</definedName>
    <definedName name="cab41s_21_1_3">NA()</definedName>
    <definedName name="cab41s_21_1_3_5">#REF!</definedName>
    <definedName name="cab41s_21_1_5">#REF!</definedName>
    <definedName name="cab41s_21_5">#REF!</definedName>
    <definedName name="cab41s_22">NA()</definedName>
    <definedName name="cab41s_22_3">NA()</definedName>
    <definedName name="cab41s_22_3_5">#REF!</definedName>
    <definedName name="cab41s_22_5">#REF!</definedName>
    <definedName name="cab41s_23">NA()</definedName>
    <definedName name="cab41s_23_3">NA()</definedName>
    <definedName name="cab41s_23_3_5">#REF!</definedName>
    <definedName name="cab41s_23_5">#REF!</definedName>
    <definedName name="cab41s_24">NA()</definedName>
    <definedName name="cab41s_24_3">NA()</definedName>
    <definedName name="cab41s_24_3_5">#REF!</definedName>
    <definedName name="cab41s_24_5">#REF!</definedName>
    <definedName name="cab41s_25">NA()</definedName>
    <definedName name="cab41s_25_3">NA()</definedName>
    <definedName name="cab41s_25_3_5">#REF!</definedName>
    <definedName name="cab41s_25_5">#REF!</definedName>
    <definedName name="cab41s_26">NA()</definedName>
    <definedName name="cab41s_26_1">NA()</definedName>
    <definedName name="cab41s_26_1_3">NA()</definedName>
    <definedName name="cab41s_26_1_3_5">#REF!</definedName>
    <definedName name="cab41s_26_1_5">#REF!</definedName>
    <definedName name="cab41s_26_3">NA()</definedName>
    <definedName name="cab41s_26_3_5">#REF!</definedName>
    <definedName name="cab41s_26_5">#REF!</definedName>
    <definedName name="cab41s_27">NA()</definedName>
    <definedName name="cab41s_27_1">NA()</definedName>
    <definedName name="cab41s_27_1_3">NA()</definedName>
    <definedName name="cab41s_27_1_3_5">#REF!</definedName>
    <definedName name="cab41s_27_1_5">#REF!</definedName>
    <definedName name="cab41s_27_3">NA()</definedName>
    <definedName name="cab41s_27_3_5">#REF!</definedName>
    <definedName name="cab41s_27_5">#REF!</definedName>
    <definedName name="cab41s_28">NA()</definedName>
    <definedName name="cab41s_28_1">NA()</definedName>
    <definedName name="cab41s_28_1_3">NA()</definedName>
    <definedName name="cab41s_28_1_3_5">#REF!</definedName>
    <definedName name="cab41s_28_1_5">#REF!</definedName>
    <definedName name="cab41s_28_3">NA()</definedName>
    <definedName name="cab41s_28_3_5">#REF!</definedName>
    <definedName name="cab41s_28_5">#REF!</definedName>
    <definedName name="cab41s_29">NA()</definedName>
    <definedName name="cab41s_29_3">NA()</definedName>
    <definedName name="cab41s_29_3_5">#REF!</definedName>
    <definedName name="cab41s_29_5">#REF!</definedName>
    <definedName name="cab41s_3">NA()</definedName>
    <definedName name="cab41s_3_5">#REF!</definedName>
    <definedName name="cab41s_4">NA()</definedName>
    <definedName name="cab41s_4_1">NA()</definedName>
    <definedName name="cab41s_4_1_1">NA()</definedName>
    <definedName name="cab41s_4_1_1_1">NA()</definedName>
    <definedName name="cab41s_4_1_1_1_1">NA()</definedName>
    <definedName name="cab41s_4_1_1_1_1_1">NA()</definedName>
    <definedName name="cab41s_4_1_1_1_1_1_5">#REF!</definedName>
    <definedName name="cab41s_4_1_1_1_1_3">NA()</definedName>
    <definedName name="cab41s_4_1_1_1_1_3_5">#REF!</definedName>
    <definedName name="cab41s_4_1_1_1_1_5">#REF!</definedName>
    <definedName name="cab41s_4_1_1_1_3">NA()</definedName>
    <definedName name="cab41s_4_1_1_1_3_1">NA()</definedName>
    <definedName name="cab41s_4_1_1_1_3_1_5">#REF!</definedName>
    <definedName name="cab41s_4_1_1_1_3_5">#REF!</definedName>
    <definedName name="cab41s_4_1_1_1_5">#REF!</definedName>
    <definedName name="cab41s_4_1_1_3">NA()</definedName>
    <definedName name="cab41s_4_1_1_3_5">#REF!</definedName>
    <definedName name="cab41s_4_1_1_5">#REF!</definedName>
    <definedName name="cab41s_4_1_17">NA()</definedName>
    <definedName name="cab41s_4_1_17_3">NA()</definedName>
    <definedName name="cab41s_4_1_17_3_5">#REF!</definedName>
    <definedName name="cab41s_4_1_17_5">#REF!</definedName>
    <definedName name="cab41s_4_1_28">NA()</definedName>
    <definedName name="cab41s_4_1_28_3">NA()</definedName>
    <definedName name="cab41s_4_1_28_3_5">#REF!</definedName>
    <definedName name="cab41s_4_1_28_5">#REF!</definedName>
    <definedName name="cab41s_4_1_5">#REF!</definedName>
    <definedName name="cab41s_4_1_6">NA()</definedName>
    <definedName name="cab41s_4_1_6_3">NA()</definedName>
    <definedName name="cab41s_4_1_6_3_5">#REF!</definedName>
    <definedName name="cab41s_4_1_6_5">#REF!</definedName>
    <definedName name="cab41s_4_10">NA()</definedName>
    <definedName name="cab41s_4_10_3">NA()</definedName>
    <definedName name="cab41s_4_10_3_5">#REF!</definedName>
    <definedName name="cab41s_4_10_5">#REF!</definedName>
    <definedName name="cab41s_4_12">NA()</definedName>
    <definedName name="cab41s_4_12_3">NA()</definedName>
    <definedName name="cab41s_4_12_3_5">#REF!</definedName>
    <definedName name="cab41s_4_12_5">#REF!</definedName>
    <definedName name="cab41s_4_13">NA()</definedName>
    <definedName name="cab41s_4_13_3">NA()</definedName>
    <definedName name="cab41s_4_13_3_5">#REF!</definedName>
    <definedName name="cab41s_4_13_5">#REF!</definedName>
    <definedName name="cab41s_4_14">NA()</definedName>
    <definedName name="cab41s_4_14_3">NA()</definedName>
    <definedName name="cab41s_4_14_3_5">#REF!</definedName>
    <definedName name="cab41s_4_14_5">#REF!</definedName>
    <definedName name="cab41s_4_15">NA()</definedName>
    <definedName name="cab41s_4_15_3">NA()</definedName>
    <definedName name="cab41s_4_15_3_5">#REF!</definedName>
    <definedName name="cab41s_4_15_5">#REF!</definedName>
    <definedName name="cab41s_4_16">NA()</definedName>
    <definedName name="cab41s_4_16_3">NA()</definedName>
    <definedName name="cab41s_4_16_3_5">#REF!</definedName>
    <definedName name="cab41s_4_16_5">#REF!</definedName>
    <definedName name="cab41s_4_17">NA()</definedName>
    <definedName name="cab41s_4_17_3">NA()</definedName>
    <definedName name="cab41s_4_17_3_5">#REF!</definedName>
    <definedName name="cab41s_4_17_5">#REF!</definedName>
    <definedName name="cab41s_4_18">NA()</definedName>
    <definedName name="cab41s_4_18_1">NA()</definedName>
    <definedName name="cab41s_4_18_1_5">#REF!</definedName>
    <definedName name="cab41s_4_18_5">#REF!</definedName>
    <definedName name="cab41s_4_19">NA()</definedName>
    <definedName name="cab41s_4_19_5">#REF!</definedName>
    <definedName name="cab41s_4_20">NA()</definedName>
    <definedName name="cab41s_4_20_3">NA()</definedName>
    <definedName name="cab41s_4_20_3_5">#REF!</definedName>
    <definedName name="cab41s_4_20_5">#REF!</definedName>
    <definedName name="cab41s_4_21">NA()</definedName>
    <definedName name="cab41s_4_21_1">NA()</definedName>
    <definedName name="cab41s_4_21_1_3">NA()</definedName>
    <definedName name="cab41s_4_21_1_3_5">#REF!</definedName>
    <definedName name="cab41s_4_21_1_5">#REF!</definedName>
    <definedName name="cab41s_4_21_5">#REF!</definedName>
    <definedName name="cab41s_4_22">NA()</definedName>
    <definedName name="cab41s_4_22_3">NA()</definedName>
    <definedName name="cab41s_4_22_3_5">#REF!</definedName>
    <definedName name="cab41s_4_22_5">#REF!</definedName>
    <definedName name="cab41s_4_23">NA()</definedName>
    <definedName name="cab41s_4_23_3">NA()</definedName>
    <definedName name="cab41s_4_23_3_5">#REF!</definedName>
    <definedName name="cab41s_4_23_5">#REF!</definedName>
    <definedName name="cab41s_4_24">NA()</definedName>
    <definedName name="cab41s_4_24_3">NA()</definedName>
    <definedName name="cab41s_4_24_3_5">#REF!</definedName>
    <definedName name="cab41s_4_24_5">#REF!</definedName>
    <definedName name="cab41s_4_25">NA()</definedName>
    <definedName name="cab41s_4_25_3">NA()</definedName>
    <definedName name="cab41s_4_25_3_5">#REF!</definedName>
    <definedName name="cab41s_4_25_5">#REF!</definedName>
    <definedName name="cab41s_4_26">NA()</definedName>
    <definedName name="cab41s_4_26_3">NA()</definedName>
    <definedName name="cab41s_4_26_3_5">#REF!</definedName>
    <definedName name="cab41s_4_26_5">#REF!</definedName>
    <definedName name="cab41s_4_27">NA()</definedName>
    <definedName name="cab41s_4_27_3">NA()</definedName>
    <definedName name="cab41s_4_27_3_5">#REF!</definedName>
    <definedName name="cab41s_4_27_5">#REF!</definedName>
    <definedName name="cab41s_4_28">NA()</definedName>
    <definedName name="cab41s_4_28_3">NA()</definedName>
    <definedName name="cab41s_4_28_3_5">#REF!</definedName>
    <definedName name="cab41s_4_28_5">#REF!</definedName>
    <definedName name="cab41s_4_5">#REF!</definedName>
    <definedName name="cab41s_4_6">NA()</definedName>
    <definedName name="cab41s_4_6_3">NA()</definedName>
    <definedName name="cab41s_4_6_3_5">#REF!</definedName>
    <definedName name="cab41s_4_6_5">#REF!</definedName>
    <definedName name="cab41s_4_7">NA()</definedName>
    <definedName name="cab41s_4_7_3">NA()</definedName>
    <definedName name="cab41s_4_7_3_5">#REF!</definedName>
    <definedName name="cab41s_4_7_5">#REF!</definedName>
    <definedName name="cab41s_4_8">NA()</definedName>
    <definedName name="cab41s_4_8_3">NA()</definedName>
    <definedName name="cab41s_4_8_3_5">#REF!</definedName>
    <definedName name="cab41s_4_8_5">#REF!</definedName>
    <definedName name="cab41s_4_9">NA()</definedName>
    <definedName name="cab41s_4_9_3">NA()</definedName>
    <definedName name="cab41s_4_9_3_5">#REF!</definedName>
    <definedName name="cab41s_4_9_5">#REF!</definedName>
    <definedName name="cab41s_5">#REF!</definedName>
    <definedName name="cab41s_5_1">NA()</definedName>
    <definedName name="cab41s_5_17">NA()</definedName>
    <definedName name="cab41s_5_17_3">NA()</definedName>
    <definedName name="cab41s_5_17_3_5">#REF!</definedName>
    <definedName name="cab41s_5_17_5">#REF!</definedName>
    <definedName name="cab41s_5_28">NA()</definedName>
    <definedName name="cab41s_5_28_3">NA()</definedName>
    <definedName name="cab41s_5_28_3_5">#REF!</definedName>
    <definedName name="cab41s_5_28_5">#REF!</definedName>
    <definedName name="cab41s_5_3">NA()</definedName>
    <definedName name="cab41s_5_3_5">#REF!</definedName>
    <definedName name="cab41s_5_5">#REF!</definedName>
    <definedName name="cab41s_5_6">NA()</definedName>
    <definedName name="cab41s_5_6_3">NA()</definedName>
    <definedName name="cab41s_5_6_3_5">#REF!</definedName>
    <definedName name="cab41s_5_6_5">#REF!</definedName>
    <definedName name="cab41s_6">NA()</definedName>
    <definedName name="cab41s_6_1">NA()</definedName>
    <definedName name="cab41s_6_1_5">#REF!</definedName>
    <definedName name="cab41s_6_10">NA()</definedName>
    <definedName name="cab41s_6_10_3">NA()</definedName>
    <definedName name="cab41s_6_10_3_5">#REF!</definedName>
    <definedName name="cab41s_6_10_5">#REF!</definedName>
    <definedName name="cab41s_6_12">NA()</definedName>
    <definedName name="cab41s_6_12_3">NA()</definedName>
    <definedName name="cab41s_6_12_3_5">#REF!</definedName>
    <definedName name="cab41s_6_12_5">#REF!</definedName>
    <definedName name="cab41s_6_13">NA()</definedName>
    <definedName name="cab41s_6_13_3">NA()</definedName>
    <definedName name="cab41s_6_13_3_5">#REF!</definedName>
    <definedName name="cab41s_6_13_5">#REF!</definedName>
    <definedName name="cab41s_6_14">NA()</definedName>
    <definedName name="cab41s_6_14_3">NA()</definedName>
    <definedName name="cab41s_6_14_3_5">#REF!</definedName>
    <definedName name="cab41s_6_14_5">#REF!</definedName>
    <definedName name="cab41s_6_15">NA()</definedName>
    <definedName name="cab41s_6_15_3">NA()</definedName>
    <definedName name="cab41s_6_15_3_5">#REF!</definedName>
    <definedName name="cab41s_6_15_5">#REF!</definedName>
    <definedName name="cab41s_6_16">NA()</definedName>
    <definedName name="cab41s_6_16_3">NA()</definedName>
    <definedName name="cab41s_6_16_3_5">#REF!</definedName>
    <definedName name="cab41s_6_16_5">#REF!</definedName>
    <definedName name="cab41s_6_17">NA()</definedName>
    <definedName name="cab41s_6_17_3">NA()</definedName>
    <definedName name="cab41s_6_17_3_5">#REF!</definedName>
    <definedName name="cab41s_6_17_5">#REF!</definedName>
    <definedName name="cab41s_6_18">NA()</definedName>
    <definedName name="cab41s_6_18_1">NA()</definedName>
    <definedName name="cab41s_6_18_1_5">#REF!</definedName>
    <definedName name="cab41s_6_18_5">#REF!</definedName>
    <definedName name="cab41s_6_19">NA()</definedName>
    <definedName name="cab41s_6_19_5">#REF!</definedName>
    <definedName name="cab41s_6_20">NA()</definedName>
    <definedName name="cab41s_6_20_3">NA()</definedName>
    <definedName name="cab41s_6_20_3_5">#REF!</definedName>
    <definedName name="cab41s_6_20_5">#REF!</definedName>
    <definedName name="cab41s_6_21">NA()</definedName>
    <definedName name="cab41s_6_21_1">NA()</definedName>
    <definedName name="cab41s_6_21_1_3">NA()</definedName>
    <definedName name="cab41s_6_21_1_3_5">#REF!</definedName>
    <definedName name="cab41s_6_21_1_5">#REF!</definedName>
    <definedName name="cab41s_6_21_5">#REF!</definedName>
    <definedName name="cab41s_6_22">NA()</definedName>
    <definedName name="cab41s_6_22_3">NA()</definedName>
    <definedName name="cab41s_6_22_3_5">#REF!</definedName>
    <definedName name="cab41s_6_22_5">#REF!</definedName>
    <definedName name="cab41s_6_23">NA()</definedName>
    <definedName name="cab41s_6_23_3">NA()</definedName>
    <definedName name="cab41s_6_23_3_5">#REF!</definedName>
    <definedName name="cab41s_6_23_5">#REF!</definedName>
    <definedName name="cab41s_6_24">NA()</definedName>
    <definedName name="cab41s_6_24_3">NA()</definedName>
    <definedName name="cab41s_6_24_3_5">#REF!</definedName>
    <definedName name="cab41s_6_24_5">#REF!</definedName>
    <definedName name="cab41s_6_25">NA()</definedName>
    <definedName name="cab41s_6_25_3">NA()</definedName>
    <definedName name="cab41s_6_25_3_5">#REF!</definedName>
    <definedName name="cab41s_6_25_5">#REF!</definedName>
    <definedName name="cab41s_6_26">NA()</definedName>
    <definedName name="cab41s_6_26_3">NA()</definedName>
    <definedName name="cab41s_6_26_3_5">#REF!</definedName>
    <definedName name="cab41s_6_26_5">#REF!</definedName>
    <definedName name="cab41s_6_27">NA()</definedName>
    <definedName name="cab41s_6_27_3">NA()</definedName>
    <definedName name="cab41s_6_27_3_5">#REF!</definedName>
    <definedName name="cab41s_6_27_5">#REF!</definedName>
    <definedName name="cab41s_6_28">NA()</definedName>
    <definedName name="cab41s_6_28_3">NA()</definedName>
    <definedName name="cab41s_6_28_3_5">#REF!</definedName>
    <definedName name="cab41s_6_28_5">#REF!</definedName>
    <definedName name="cab41s_6_5">#REF!</definedName>
    <definedName name="cab41s_6_6">NA()</definedName>
    <definedName name="cab41s_6_6_3">NA()</definedName>
    <definedName name="cab41s_6_6_3_5">#REF!</definedName>
    <definedName name="cab41s_6_6_5">#REF!</definedName>
    <definedName name="cab41s_6_7">NA()</definedName>
    <definedName name="cab41s_6_7_3">NA()</definedName>
    <definedName name="cab41s_6_7_3_5">#REF!</definedName>
    <definedName name="cab41s_6_7_5">#REF!</definedName>
    <definedName name="cab41s_6_8">NA()</definedName>
    <definedName name="cab41s_6_8_3">NA()</definedName>
    <definedName name="cab41s_6_8_3_5">#REF!</definedName>
    <definedName name="cab41s_6_8_5">#REF!</definedName>
    <definedName name="cab41s_6_9">NA()</definedName>
    <definedName name="cab41s_6_9_1">NA()</definedName>
    <definedName name="cab41s_6_9_1_1">NA()</definedName>
    <definedName name="cab41s_6_9_1_1_3">NA()</definedName>
    <definedName name="cab41s_6_9_1_1_3_5">#REF!</definedName>
    <definedName name="cab41s_6_9_1_1_5">#REF!</definedName>
    <definedName name="cab41s_6_9_1_3">NA()</definedName>
    <definedName name="cab41s_6_9_1_3_5">#REF!</definedName>
    <definedName name="cab41s_6_9_1_5">#REF!</definedName>
    <definedName name="cab41s_6_9_5">#REF!</definedName>
    <definedName name="cab41s_7">NA()</definedName>
    <definedName name="cab41s_7_5">#REF!</definedName>
    <definedName name="cab41s_8">NA()</definedName>
    <definedName name="cab41s_8_3">NA()</definedName>
    <definedName name="cab41s_8_3_5">#REF!</definedName>
    <definedName name="cab41s_8_5">#REF!</definedName>
    <definedName name="cab41s_9">NA()</definedName>
    <definedName name="cab41s_9_3">NA()</definedName>
    <definedName name="cab41s_9_3_5">#REF!</definedName>
    <definedName name="cab41s_9_5">#REF!</definedName>
    <definedName name="cab41us">NA()</definedName>
    <definedName name="cab41us_1">NA()</definedName>
    <definedName name="cab41us_1_3">NA()</definedName>
    <definedName name="cab41us_1_3_5">#REF!</definedName>
    <definedName name="cab41us_1_5">#REF!</definedName>
    <definedName name="cab41us_10">NA()</definedName>
    <definedName name="cab41us_10_1">NA()</definedName>
    <definedName name="cab41us_10_1_3">NA()</definedName>
    <definedName name="cab41us_10_1_3_5">#REF!</definedName>
    <definedName name="cab41us_10_1_5">#REF!</definedName>
    <definedName name="cab41us_10_17">NA()</definedName>
    <definedName name="cab41us_10_17_3">NA()</definedName>
    <definedName name="cab41us_10_17_3_5">#REF!</definedName>
    <definedName name="cab41us_10_17_5">#REF!</definedName>
    <definedName name="cab41us_10_5">#REF!</definedName>
    <definedName name="cab41us_11">NA()</definedName>
    <definedName name="cab41us_11_1">NA()</definedName>
    <definedName name="cab41us_11_1_5">#REF!</definedName>
    <definedName name="cab41us_11_5">#REF!</definedName>
    <definedName name="cab41us_12">NA()</definedName>
    <definedName name="cab41us_12_3">NA()</definedName>
    <definedName name="cab41us_12_3_5">#REF!</definedName>
    <definedName name="cab41us_12_5">#REF!</definedName>
    <definedName name="cab41us_13">NA()</definedName>
    <definedName name="cab41us_13_3">NA()</definedName>
    <definedName name="cab41us_13_3_5">#REF!</definedName>
    <definedName name="cab41us_13_5">#REF!</definedName>
    <definedName name="cab41us_14">NA()</definedName>
    <definedName name="cab41us_14_5">#REF!</definedName>
    <definedName name="cab41us_15">NA()</definedName>
    <definedName name="cab41us_15_1">NA()</definedName>
    <definedName name="cab41us_15_1_3">NA()</definedName>
    <definedName name="cab41us_15_1_3_5">#REF!</definedName>
    <definedName name="cab41us_15_1_5">#REF!</definedName>
    <definedName name="cab41us_15_3">NA()</definedName>
    <definedName name="cab41us_15_3_5">#REF!</definedName>
    <definedName name="cab41us_15_5">#REF!</definedName>
    <definedName name="cab41us_16">NA()</definedName>
    <definedName name="cab41us_16_1">NA()</definedName>
    <definedName name="cab41us_16_1_3">NA()</definedName>
    <definedName name="cab41us_16_1_3_5">#REF!</definedName>
    <definedName name="cab41us_16_1_5">#REF!</definedName>
    <definedName name="cab41us_16_3">NA()</definedName>
    <definedName name="cab41us_16_3_5">#REF!</definedName>
    <definedName name="cab41us_16_5">#REF!</definedName>
    <definedName name="cab41us_17">NA()</definedName>
    <definedName name="cab41us_17_1">NA()</definedName>
    <definedName name="cab41us_17_1_5">#REF!</definedName>
    <definedName name="cab41us_17_3">NA()</definedName>
    <definedName name="cab41us_17_3_5">#REF!</definedName>
    <definedName name="cab41us_17_5">#REF!</definedName>
    <definedName name="cab41us_18">NA()</definedName>
    <definedName name="cab41us_18_1">NA()</definedName>
    <definedName name="cab41us_18_1_5">#REF!</definedName>
    <definedName name="cab41us_18_5">#REF!</definedName>
    <definedName name="cab41us_19">NA()</definedName>
    <definedName name="cab41us_19_1">NA()</definedName>
    <definedName name="cab41us_19_1_5">#REF!</definedName>
    <definedName name="cab41us_19_5">#REF!</definedName>
    <definedName name="cab41us_2">NA()</definedName>
    <definedName name="cab41us_2_5">#REF!</definedName>
    <definedName name="cab41us_20">NA()</definedName>
    <definedName name="cab41us_20_1">NA()</definedName>
    <definedName name="cab41us_20_1_3">NA()</definedName>
    <definedName name="cab41us_20_1_3_5">#REF!</definedName>
    <definedName name="cab41us_20_1_5">#REF!</definedName>
    <definedName name="cab41us_20_5">#REF!</definedName>
    <definedName name="cab41us_21">NA()</definedName>
    <definedName name="cab41us_21_1">NA()</definedName>
    <definedName name="cab41us_21_1_1">NA()</definedName>
    <definedName name="cab41us_21_1_1_3">NA()</definedName>
    <definedName name="cab41us_21_1_1_3_5">#REF!</definedName>
    <definedName name="cab41us_21_1_1_5">#REF!</definedName>
    <definedName name="cab41us_21_1_3">NA()</definedName>
    <definedName name="cab41us_21_1_3_5">#REF!</definedName>
    <definedName name="cab41us_21_1_5">#REF!</definedName>
    <definedName name="cab41us_21_5">#REF!</definedName>
    <definedName name="cab41us_22">NA()</definedName>
    <definedName name="cab41us_22_3">NA()</definedName>
    <definedName name="cab41us_22_3_5">#REF!</definedName>
    <definedName name="cab41us_22_5">#REF!</definedName>
    <definedName name="cab41us_23">NA()</definedName>
    <definedName name="cab41us_23_3">NA()</definedName>
    <definedName name="cab41us_23_3_5">#REF!</definedName>
    <definedName name="cab41us_23_5">#REF!</definedName>
    <definedName name="cab41us_24">NA()</definedName>
    <definedName name="cab41us_24_3">NA()</definedName>
    <definedName name="cab41us_24_3_5">#REF!</definedName>
    <definedName name="cab41us_24_5">#REF!</definedName>
    <definedName name="cab41us_25">NA()</definedName>
    <definedName name="cab41us_25_3">NA()</definedName>
    <definedName name="cab41us_25_3_5">#REF!</definedName>
    <definedName name="cab41us_25_5">#REF!</definedName>
    <definedName name="cab41us_26">NA()</definedName>
    <definedName name="cab41us_26_1">NA()</definedName>
    <definedName name="cab41us_26_1_3">NA()</definedName>
    <definedName name="cab41us_26_1_3_5">#REF!</definedName>
    <definedName name="cab41us_26_1_5">#REF!</definedName>
    <definedName name="cab41us_26_3">NA()</definedName>
    <definedName name="cab41us_26_3_5">#REF!</definedName>
    <definedName name="cab41us_26_5">#REF!</definedName>
    <definedName name="cab41us_27">NA()</definedName>
    <definedName name="cab41us_27_1">NA()</definedName>
    <definedName name="cab41us_27_1_3">NA()</definedName>
    <definedName name="cab41us_27_1_3_5">#REF!</definedName>
    <definedName name="cab41us_27_1_5">#REF!</definedName>
    <definedName name="cab41us_27_3">NA()</definedName>
    <definedName name="cab41us_27_3_5">#REF!</definedName>
    <definedName name="cab41us_27_5">#REF!</definedName>
    <definedName name="cab41us_28">NA()</definedName>
    <definedName name="cab41us_28_1">NA()</definedName>
    <definedName name="cab41us_28_1_3">NA()</definedName>
    <definedName name="cab41us_28_1_3_5">#REF!</definedName>
    <definedName name="cab41us_28_1_5">#REF!</definedName>
    <definedName name="cab41us_28_3">NA()</definedName>
    <definedName name="cab41us_28_3_5">#REF!</definedName>
    <definedName name="cab41us_28_5">#REF!</definedName>
    <definedName name="cab41us_29">NA()</definedName>
    <definedName name="cab41us_29_3">NA()</definedName>
    <definedName name="cab41us_29_3_5">#REF!</definedName>
    <definedName name="cab41us_29_5">#REF!</definedName>
    <definedName name="cab41us_3">NA()</definedName>
    <definedName name="cab41us_3_5">#REF!</definedName>
    <definedName name="cab41us_4">NA()</definedName>
    <definedName name="cab41us_4_1">NA()</definedName>
    <definedName name="cab41us_4_1_1">NA()</definedName>
    <definedName name="cab41us_4_1_1_1">NA()</definedName>
    <definedName name="cab41us_4_1_1_1_1">NA()</definedName>
    <definedName name="cab41us_4_1_1_1_1_1">NA()</definedName>
    <definedName name="cab41us_4_1_1_1_1_1_5">#REF!</definedName>
    <definedName name="cab41us_4_1_1_1_1_3">NA()</definedName>
    <definedName name="cab41us_4_1_1_1_1_3_5">#REF!</definedName>
    <definedName name="cab41us_4_1_1_1_1_5">#REF!</definedName>
    <definedName name="cab41us_4_1_1_1_3">NA()</definedName>
    <definedName name="cab41us_4_1_1_1_3_1">NA()</definedName>
    <definedName name="cab41us_4_1_1_1_3_1_5">#REF!</definedName>
    <definedName name="cab41us_4_1_1_1_3_5">#REF!</definedName>
    <definedName name="cab41us_4_1_1_1_5">#REF!</definedName>
    <definedName name="cab41us_4_1_1_3">NA()</definedName>
    <definedName name="cab41us_4_1_1_3_5">#REF!</definedName>
    <definedName name="cab41us_4_1_1_5">#REF!</definedName>
    <definedName name="cab41us_4_1_17">NA()</definedName>
    <definedName name="cab41us_4_1_17_3">NA()</definedName>
    <definedName name="cab41us_4_1_17_3_5">#REF!</definedName>
    <definedName name="cab41us_4_1_17_5">#REF!</definedName>
    <definedName name="cab41us_4_1_28">NA()</definedName>
    <definedName name="cab41us_4_1_28_3">NA()</definedName>
    <definedName name="cab41us_4_1_28_3_5">#REF!</definedName>
    <definedName name="cab41us_4_1_28_5">#REF!</definedName>
    <definedName name="cab41us_4_1_5">#REF!</definedName>
    <definedName name="cab41us_4_1_6">NA()</definedName>
    <definedName name="cab41us_4_1_6_3">NA()</definedName>
    <definedName name="cab41us_4_1_6_3_5">#REF!</definedName>
    <definedName name="cab41us_4_1_6_5">#REF!</definedName>
    <definedName name="cab41us_4_10">NA()</definedName>
    <definedName name="cab41us_4_10_3">NA()</definedName>
    <definedName name="cab41us_4_10_3_5">#REF!</definedName>
    <definedName name="cab41us_4_10_5">#REF!</definedName>
    <definedName name="cab41us_4_12">NA()</definedName>
    <definedName name="cab41us_4_12_3">NA()</definedName>
    <definedName name="cab41us_4_12_3_5">#REF!</definedName>
    <definedName name="cab41us_4_12_5">#REF!</definedName>
    <definedName name="cab41us_4_13">NA()</definedName>
    <definedName name="cab41us_4_13_3">NA()</definedName>
    <definedName name="cab41us_4_13_3_5">#REF!</definedName>
    <definedName name="cab41us_4_13_5">#REF!</definedName>
    <definedName name="cab41us_4_14">NA()</definedName>
    <definedName name="cab41us_4_14_3">NA()</definedName>
    <definedName name="cab41us_4_14_3_5">#REF!</definedName>
    <definedName name="cab41us_4_14_5">#REF!</definedName>
    <definedName name="cab41us_4_15">NA()</definedName>
    <definedName name="cab41us_4_15_3">NA()</definedName>
    <definedName name="cab41us_4_15_3_5">#REF!</definedName>
    <definedName name="cab41us_4_15_5">#REF!</definedName>
    <definedName name="cab41us_4_16">NA()</definedName>
    <definedName name="cab41us_4_16_3">NA()</definedName>
    <definedName name="cab41us_4_16_3_5">#REF!</definedName>
    <definedName name="cab41us_4_16_5">#REF!</definedName>
    <definedName name="cab41us_4_17">NA()</definedName>
    <definedName name="cab41us_4_17_3">NA()</definedName>
    <definedName name="cab41us_4_17_3_5">#REF!</definedName>
    <definedName name="cab41us_4_17_5">#REF!</definedName>
    <definedName name="cab41us_4_18">NA()</definedName>
    <definedName name="cab41us_4_18_1">NA()</definedName>
    <definedName name="cab41us_4_18_1_5">#REF!</definedName>
    <definedName name="cab41us_4_18_5">#REF!</definedName>
    <definedName name="cab41us_4_19">NA()</definedName>
    <definedName name="cab41us_4_19_5">#REF!</definedName>
    <definedName name="cab41us_4_20">NA()</definedName>
    <definedName name="cab41us_4_20_3">NA()</definedName>
    <definedName name="cab41us_4_20_3_5">#REF!</definedName>
    <definedName name="cab41us_4_20_5">#REF!</definedName>
    <definedName name="cab41us_4_21">NA()</definedName>
    <definedName name="cab41us_4_21_1">NA()</definedName>
    <definedName name="cab41us_4_21_1_3">NA()</definedName>
    <definedName name="cab41us_4_21_1_3_5">#REF!</definedName>
    <definedName name="cab41us_4_21_1_5">#REF!</definedName>
    <definedName name="cab41us_4_21_5">#REF!</definedName>
    <definedName name="cab41us_4_22">NA()</definedName>
    <definedName name="cab41us_4_22_3">NA()</definedName>
    <definedName name="cab41us_4_22_3_5">#REF!</definedName>
    <definedName name="cab41us_4_22_5">#REF!</definedName>
    <definedName name="cab41us_4_23">NA()</definedName>
    <definedName name="cab41us_4_23_3">NA()</definedName>
    <definedName name="cab41us_4_23_3_5">#REF!</definedName>
    <definedName name="cab41us_4_23_5">#REF!</definedName>
    <definedName name="cab41us_4_24">NA()</definedName>
    <definedName name="cab41us_4_24_3">NA()</definedName>
    <definedName name="cab41us_4_24_3_5">#REF!</definedName>
    <definedName name="cab41us_4_24_5">#REF!</definedName>
    <definedName name="cab41us_4_25">NA()</definedName>
    <definedName name="cab41us_4_25_3">NA()</definedName>
    <definedName name="cab41us_4_25_3_5">#REF!</definedName>
    <definedName name="cab41us_4_25_5">#REF!</definedName>
    <definedName name="cab41us_4_26">NA()</definedName>
    <definedName name="cab41us_4_26_3">NA()</definedName>
    <definedName name="cab41us_4_26_3_5">#REF!</definedName>
    <definedName name="cab41us_4_26_5">#REF!</definedName>
    <definedName name="cab41us_4_27">NA()</definedName>
    <definedName name="cab41us_4_27_3">NA()</definedName>
    <definedName name="cab41us_4_27_3_5">#REF!</definedName>
    <definedName name="cab41us_4_27_5">#REF!</definedName>
    <definedName name="cab41us_4_28">NA()</definedName>
    <definedName name="cab41us_4_28_3">NA()</definedName>
    <definedName name="cab41us_4_28_3_5">#REF!</definedName>
    <definedName name="cab41us_4_28_5">#REF!</definedName>
    <definedName name="cab41us_4_5">#REF!</definedName>
    <definedName name="cab41us_4_6">NA()</definedName>
    <definedName name="cab41us_4_6_3">NA()</definedName>
    <definedName name="cab41us_4_6_3_5">#REF!</definedName>
    <definedName name="cab41us_4_6_5">#REF!</definedName>
    <definedName name="cab41us_4_7">NA()</definedName>
    <definedName name="cab41us_4_7_3">NA()</definedName>
    <definedName name="cab41us_4_7_3_5">#REF!</definedName>
    <definedName name="cab41us_4_7_5">#REF!</definedName>
    <definedName name="cab41us_4_8">NA()</definedName>
    <definedName name="cab41us_4_8_3">NA()</definedName>
    <definedName name="cab41us_4_8_3_5">#REF!</definedName>
    <definedName name="cab41us_4_8_5">#REF!</definedName>
    <definedName name="cab41us_4_9">NA()</definedName>
    <definedName name="cab41us_4_9_3">NA()</definedName>
    <definedName name="cab41us_4_9_3_5">#REF!</definedName>
    <definedName name="cab41us_4_9_5">#REF!</definedName>
    <definedName name="cab41us_5">#REF!</definedName>
    <definedName name="cab41us_5_1">NA()</definedName>
    <definedName name="cab41us_5_17">NA()</definedName>
    <definedName name="cab41us_5_17_3">NA()</definedName>
    <definedName name="cab41us_5_17_3_5">#REF!</definedName>
    <definedName name="cab41us_5_17_5">#REF!</definedName>
    <definedName name="cab41us_5_28">NA()</definedName>
    <definedName name="cab41us_5_28_3">NA()</definedName>
    <definedName name="cab41us_5_28_3_5">#REF!</definedName>
    <definedName name="cab41us_5_28_5">#REF!</definedName>
    <definedName name="cab41us_5_3">NA()</definedName>
    <definedName name="cab41us_5_3_5">#REF!</definedName>
    <definedName name="cab41us_5_5">#REF!</definedName>
    <definedName name="cab41us_5_6">NA()</definedName>
    <definedName name="cab41us_5_6_3">NA()</definedName>
    <definedName name="cab41us_5_6_3_5">#REF!</definedName>
    <definedName name="cab41us_5_6_5">#REF!</definedName>
    <definedName name="cab41us_6">NA()</definedName>
    <definedName name="cab41us_6_1">NA()</definedName>
    <definedName name="cab41us_6_1_5">#REF!</definedName>
    <definedName name="cab41us_6_10">NA()</definedName>
    <definedName name="cab41us_6_10_3">NA()</definedName>
    <definedName name="cab41us_6_10_3_5">#REF!</definedName>
    <definedName name="cab41us_6_10_5">#REF!</definedName>
    <definedName name="cab41us_6_12">NA()</definedName>
    <definedName name="cab41us_6_12_3">NA()</definedName>
    <definedName name="cab41us_6_12_3_5">#REF!</definedName>
    <definedName name="cab41us_6_12_5">#REF!</definedName>
    <definedName name="cab41us_6_13">NA()</definedName>
    <definedName name="cab41us_6_13_3">NA()</definedName>
    <definedName name="cab41us_6_13_3_5">#REF!</definedName>
    <definedName name="cab41us_6_13_5">#REF!</definedName>
    <definedName name="cab41us_6_14">NA()</definedName>
    <definedName name="cab41us_6_14_3">NA()</definedName>
    <definedName name="cab41us_6_14_3_5">#REF!</definedName>
    <definedName name="cab41us_6_14_5">#REF!</definedName>
    <definedName name="cab41us_6_15">NA()</definedName>
    <definedName name="cab41us_6_15_3">NA()</definedName>
    <definedName name="cab41us_6_15_3_5">#REF!</definedName>
    <definedName name="cab41us_6_15_5">#REF!</definedName>
    <definedName name="cab41us_6_16">NA()</definedName>
    <definedName name="cab41us_6_16_3">NA()</definedName>
    <definedName name="cab41us_6_16_3_5">#REF!</definedName>
    <definedName name="cab41us_6_16_5">#REF!</definedName>
    <definedName name="cab41us_6_17">NA()</definedName>
    <definedName name="cab41us_6_17_3">NA()</definedName>
    <definedName name="cab41us_6_17_3_5">#REF!</definedName>
    <definedName name="cab41us_6_17_5">#REF!</definedName>
    <definedName name="cab41us_6_18">NA()</definedName>
    <definedName name="cab41us_6_18_1">NA()</definedName>
    <definedName name="cab41us_6_18_1_5">#REF!</definedName>
    <definedName name="cab41us_6_18_5">#REF!</definedName>
    <definedName name="cab41us_6_19">NA()</definedName>
    <definedName name="cab41us_6_19_5">#REF!</definedName>
    <definedName name="cab41us_6_20">NA()</definedName>
    <definedName name="cab41us_6_20_3">NA()</definedName>
    <definedName name="cab41us_6_20_3_5">#REF!</definedName>
    <definedName name="cab41us_6_20_5">#REF!</definedName>
    <definedName name="cab41us_6_21">NA()</definedName>
    <definedName name="cab41us_6_21_1">NA()</definedName>
    <definedName name="cab41us_6_21_1_3">NA()</definedName>
    <definedName name="cab41us_6_21_1_3_5">#REF!</definedName>
    <definedName name="cab41us_6_21_1_5">#REF!</definedName>
    <definedName name="cab41us_6_21_5">#REF!</definedName>
    <definedName name="cab41us_6_22">NA()</definedName>
    <definedName name="cab41us_6_22_3">NA()</definedName>
    <definedName name="cab41us_6_22_3_5">#REF!</definedName>
    <definedName name="cab41us_6_22_5">#REF!</definedName>
    <definedName name="cab41us_6_23">NA()</definedName>
    <definedName name="cab41us_6_23_3">NA()</definedName>
    <definedName name="cab41us_6_23_3_5">#REF!</definedName>
    <definedName name="cab41us_6_23_5">#REF!</definedName>
    <definedName name="cab41us_6_24">NA()</definedName>
    <definedName name="cab41us_6_24_3">NA()</definedName>
    <definedName name="cab41us_6_24_3_5">#REF!</definedName>
    <definedName name="cab41us_6_24_5">#REF!</definedName>
    <definedName name="cab41us_6_25">NA()</definedName>
    <definedName name="cab41us_6_25_3">NA()</definedName>
    <definedName name="cab41us_6_25_3_5">#REF!</definedName>
    <definedName name="cab41us_6_25_5">#REF!</definedName>
    <definedName name="cab41us_6_26">NA()</definedName>
    <definedName name="cab41us_6_26_3">NA()</definedName>
    <definedName name="cab41us_6_26_3_5">#REF!</definedName>
    <definedName name="cab41us_6_26_5">#REF!</definedName>
    <definedName name="cab41us_6_27">NA()</definedName>
    <definedName name="cab41us_6_27_3">NA()</definedName>
    <definedName name="cab41us_6_27_3_5">#REF!</definedName>
    <definedName name="cab41us_6_27_5">#REF!</definedName>
    <definedName name="cab41us_6_28">NA()</definedName>
    <definedName name="cab41us_6_28_3">NA()</definedName>
    <definedName name="cab41us_6_28_3_5">#REF!</definedName>
    <definedName name="cab41us_6_28_5">#REF!</definedName>
    <definedName name="cab41us_6_5">#REF!</definedName>
    <definedName name="cab41us_6_6">NA()</definedName>
    <definedName name="cab41us_6_6_3">NA()</definedName>
    <definedName name="cab41us_6_6_3_5">#REF!</definedName>
    <definedName name="cab41us_6_6_5">#REF!</definedName>
    <definedName name="cab41us_6_7">NA()</definedName>
    <definedName name="cab41us_6_7_3">NA()</definedName>
    <definedName name="cab41us_6_7_3_5">#REF!</definedName>
    <definedName name="cab41us_6_7_5">#REF!</definedName>
    <definedName name="cab41us_6_8">NA()</definedName>
    <definedName name="cab41us_6_8_3">NA()</definedName>
    <definedName name="cab41us_6_8_3_5">#REF!</definedName>
    <definedName name="cab41us_6_8_5">#REF!</definedName>
    <definedName name="cab41us_6_9">NA()</definedName>
    <definedName name="cab41us_6_9_1">NA()</definedName>
    <definedName name="cab41us_6_9_1_1">NA()</definedName>
    <definedName name="cab41us_6_9_1_1_3">NA()</definedName>
    <definedName name="cab41us_6_9_1_1_3_5">#REF!</definedName>
    <definedName name="cab41us_6_9_1_1_5">#REF!</definedName>
    <definedName name="cab41us_6_9_1_3">NA()</definedName>
    <definedName name="cab41us_6_9_1_3_5">#REF!</definedName>
    <definedName name="cab41us_6_9_1_5">#REF!</definedName>
    <definedName name="cab41us_6_9_5">#REF!</definedName>
    <definedName name="cab41us_7">NA()</definedName>
    <definedName name="cab41us_7_5">#REF!</definedName>
    <definedName name="cab41us_8">NA()</definedName>
    <definedName name="cab41us_8_3">NA()</definedName>
    <definedName name="cab41us_8_3_5">#REF!</definedName>
    <definedName name="cab41us_8_5">#REF!</definedName>
    <definedName name="cab41us_9">NA()</definedName>
    <definedName name="cab41us_9_3">NA()</definedName>
    <definedName name="cab41us_9_3_5">#REF!</definedName>
    <definedName name="cab41us_9_5">#REF!</definedName>
    <definedName name="caba">NA()</definedName>
    <definedName name="caba_1">NA()</definedName>
    <definedName name="caba_1_5">#REF!</definedName>
    <definedName name="caba_5">#REF!</definedName>
    <definedName name="cabd">NA()</definedName>
    <definedName name="cabd_5">#REF!</definedName>
    <definedName name="cabf">NA()</definedName>
    <definedName name="cabf_1">NA()</definedName>
    <definedName name="cabf_1_3">NA()</definedName>
    <definedName name="cabf_1_3_5">#REF!</definedName>
    <definedName name="cabf_1_5">#REF!</definedName>
    <definedName name="cabf_10">NA()</definedName>
    <definedName name="cabf_10_5">#REF!</definedName>
    <definedName name="cabf_11">NA()</definedName>
    <definedName name="cabf_11_1">NA()</definedName>
    <definedName name="cabf_11_1_5">#REF!</definedName>
    <definedName name="cabf_11_5">#REF!</definedName>
    <definedName name="cabf_14">NA()</definedName>
    <definedName name="cabf_14_5">#REF!</definedName>
    <definedName name="cabf_15">NA()</definedName>
    <definedName name="cabf_15_5">#REF!</definedName>
    <definedName name="cabf_16">NA()</definedName>
    <definedName name="cabf_16_5">#REF!</definedName>
    <definedName name="cabf_17">NA()</definedName>
    <definedName name="cabf_17_1">NA()</definedName>
    <definedName name="cabf_17_1_5">#REF!</definedName>
    <definedName name="cabf_17_5">#REF!</definedName>
    <definedName name="cabf_18">NA()</definedName>
    <definedName name="cabf_18_1">NA()</definedName>
    <definedName name="cabf_18_1_5">#REF!</definedName>
    <definedName name="cabf_18_5">#REF!</definedName>
    <definedName name="cabf_19">NA()</definedName>
    <definedName name="cabf_19_5">#REF!</definedName>
    <definedName name="cabf_2">NA()</definedName>
    <definedName name="cabf_2_5">#REF!</definedName>
    <definedName name="cabf_20">NA()</definedName>
    <definedName name="cabf_20_5">#REF!</definedName>
    <definedName name="cabf_21">NA()</definedName>
    <definedName name="cabf_21_1">NA()</definedName>
    <definedName name="cabf_21_1_5">#REF!</definedName>
    <definedName name="cabf_21_5">#REF!</definedName>
    <definedName name="cabf_26">NA()</definedName>
    <definedName name="cabf_26_5">#REF!</definedName>
    <definedName name="cabf_27">NA()</definedName>
    <definedName name="cabf_27_5">#REF!</definedName>
    <definedName name="cabf_28">NA()</definedName>
    <definedName name="cabf_28_5">#REF!</definedName>
    <definedName name="cabf_29">NA()</definedName>
    <definedName name="cabf_29_5">#REF!</definedName>
    <definedName name="cabf_3">NA()</definedName>
    <definedName name="cabf_3_5">#REF!</definedName>
    <definedName name="cabf_4">NA()</definedName>
    <definedName name="cabf_4_1">NA()</definedName>
    <definedName name="cabf_4_1_1">NA()</definedName>
    <definedName name="cabf_4_1_1_1">NA()</definedName>
    <definedName name="cabf_4_1_1_1_1">NA()</definedName>
    <definedName name="cabf_4_1_1_1_1_1">NA()</definedName>
    <definedName name="cabf_4_1_1_1_1_1_5">#REF!</definedName>
    <definedName name="cabf_4_1_1_1_1_5">#REF!</definedName>
    <definedName name="cabf_4_1_1_1_5">#REF!</definedName>
    <definedName name="cabf_4_1_1_5">#REF!</definedName>
    <definedName name="cabf_4_1_5">#REF!</definedName>
    <definedName name="cabf_4_18">NA()</definedName>
    <definedName name="cabf_4_18_1">NA()</definedName>
    <definedName name="cabf_4_18_1_5">#REF!</definedName>
    <definedName name="cabf_4_18_5">#REF!</definedName>
    <definedName name="cabf_4_21">NA()</definedName>
    <definedName name="cabf_4_21_5">#REF!</definedName>
    <definedName name="cabf_4_5">#REF!</definedName>
    <definedName name="cabf_5">#REF!</definedName>
    <definedName name="cabf_5_1">NA()</definedName>
    <definedName name="cabf_5_5">#REF!</definedName>
    <definedName name="cabf_6">NA()</definedName>
    <definedName name="cabf_6_1">NA()</definedName>
    <definedName name="cabf_6_1_5">#REF!</definedName>
    <definedName name="cabf_6_18">NA()</definedName>
    <definedName name="cabf_6_18_1">NA()</definedName>
    <definedName name="cabf_6_18_1_5">#REF!</definedName>
    <definedName name="cabf_6_18_5">#REF!</definedName>
    <definedName name="cabf_6_21">NA()</definedName>
    <definedName name="cabf_6_21_5">#REF!</definedName>
    <definedName name="cabf_6_5">#REF!</definedName>
    <definedName name="cabf_7">NA()</definedName>
    <definedName name="cabf_7_5">#REF!</definedName>
    <definedName name="cabinet">NA()</definedName>
    <definedName name="cabinet_1">NA()</definedName>
    <definedName name="cabinet_1_1">NA()</definedName>
    <definedName name="cabinet_2">NA()</definedName>
    <definedName name="cabinet_4">NA()</definedName>
    <definedName name="cabinet_5">#REF!</definedName>
    <definedName name="CABINET1">#REF!</definedName>
    <definedName name="cabl">NA()</definedName>
    <definedName name="cabl_5">#REF!</definedName>
    <definedName name="CABLE">#REF!</definedName>
    <definedName name="CABLE_1">NA()</definedName>
    <definedName name="CABLE_1_5">#REF!</definedName>
    <definedName name="CABLE_10">NA()</definedName>
    <definedName name="CABLE_10_1">NA()</definedName>
    <definedName name="CABLE_10_1_5">#REF!</definedName>
    <definedName name="CABLE_10_17">NA()</definedName>
    <definedName name="CABLE_10_17_5">#REF!</definedName>
    <definedName name="CABLE_10_5">#REF!</definedName>
    <definedName name="CABLE_11">NA()</definedName>
    <definedName name="CABLE_11_1">NA()</definedName>
    <definedName name="CABLE_11_1_5">#REF!</definedName>
    <definedName name="CABLE_11_5">#REF!</definedName>
    <definedName name="CABLE_12">NA()</definedName>
    <definedName name="CABLE_12_5">#REF!</definedName>
    <definedName name="CABLE_13">NA()</definedName>
    <definedName name="CABLE_13_5">#REF!</definedName>
    <definedName name="CABLE_14">NA()</definedName>
    <definedName name="CABLE_14_5">#REF!</definedName>
    <definedName name="CABLE_15">NA()</definedName>
    <definedName name="CABLE_15_1">NA()</definedName>
    <definedName name="CABLE_15_1_5">#REF!</definedName>
    <definedName name="CABLE_15_5">#REF!</definedName>
    <definedName name="CABLE_16">NA()</definedName>
    <definedName name="CABLE_16_1">NA()</definedName>
    <definedName name="CABLE_16_1_5">#REF!</definedName>
    <definedName name="CABLE_16_5">#REF!</definedName>
    <definedName name="CABLE_17">NA()</definedName>
    <definedName name="CABLE_17_1">NA()</definedName>
    <definedName name="CABLE_17_1_5">#REF!</definedName>
    <definedName name="CABLE_17_5">#REF!</definedName>
    <definedName name="CABLE_18">NA()</definedName>
    <definedName name="CABLE_18_1">NA()</definedName>
    <definedName name="CABLE_18_1_5">#REF!</definedName>
    <definedName name="CABLE_18_5">#REF!</definedName>
    <definedName name="CABLE_19">NA()</definedName>
    <definedName name="CABLE_19_1">NA()</definedName>
    <definedName name="CABLE_19_1_5">#REF!</definedName>
    <definedName name="CABLE_19_5">#REF!</definedName>
    <definedName name="CABLE_2">NA()</definedName>
    <definedName name="CABLE_2_5">#REF!</definedName>
    <definedName name="CABLE_20">NA()</definedName>
    <definedName name="CABLE_20_1">NA()</definedName>
    <definedName name="CABLE_20_1_5">#REF!</definedName>
    <definedName name="CABLE_20_5">#REF!</definedName>
    <definedName name="CABLE_21">NA()</definedName>
    <definedName name="CABLE_21_1">NA()</definedName>
    <definedName name="CABLE_21_1_1">NA()</definedName>
    <definedName name="CABLE_21_1_1_5">#REF!</definedName>
    <definedName name="CABLE_21_1_5">#REF!</definedName>
    <definedName name="CABLE_21_5">#REF!</definedName>
    <definedName name="CABLE_22">NA()</definedName>
    <definedName name="CABLE_22_5">#REF!</definedName>
    <definedName name="CABLE_23">NA()</definedName>
    <definedName name="CABLE_23_5">#REF!</definedName>
    <definedName name="CABLE_24">NA()</definedName>
    <definedName name="CABLE_24_5">#REF!</definedName>
    <definedName name="CABLE_25">NA()</definedName>
    <definedName name="CABLE_25_5">#REF!</definedName>
    <definedName name="CABLE_26">NA()</definedName>
    <definedName name="CABLE_26_1">NA()</definedName>
    <definedName name="CABLE_26_1_5">#REF!</definedName>
    <definedName name="CABLE_26_5">#REF!</definedName>
    <definedName name="CABLE_27">NA()</definedName>
    <definedName name="CABLE_27_1">NA()</definedName>
    <definedName name="CABLE_27_1_5">#REF!</definedName>
    <definedName name="CABLE_27_5">#REF!</definedName>
    <definedName name="CABLE_28">NA()</definedName>
    <definedName name="CABLE_28_1">NA()</definedName>
    <definedName name="CABLE_28_1_5">#REF!</definedName>
    <definedName name="CABLE_28_5">#REF!</definedName>
    <definedName name="CABLE_29">NA()</definedName>
    <definedName name="CABLE_29_5">#REF!</definedName>
    <definedName name="CABLE_4">NA()</definedName>
    <definedName name="CABLE_4_1">NA()</definedName>
    <definedName name="CABLE_4_1_1">NA()</definedName>
    <definedName name="CABLE_4_1_1_1">NA()</definedName>
    <definedName name="CABLE_4_1_1_1_1">NA()</definedName>
    <definedName name="CABLE_4_1_1_1_1_1">NA()</definedName>
    <definedName name="CABLE_4_1_1_1_1_1_5">#REF!</definedName>
    <definedName name="CABLE_4_1_1_1_1_5">#REF!</definedName>
    <definedName name="CABLE_4_1_1_1_5">#REF!</definedName>
    <definedName name="CABLE_4_1_1_5">#REF!</definedName>
    <definedName name="CABLE_4_1_17">NA()</definedName>
    <definedName name="CABLE_4_1_17_5">#REF!</definedName>
    <definedName name="CABLE_4_1_28">NA()</definedName>
    <definedName name="CABLE_4_1_28_5">#REF!</definedName>
    <definedName name="CABLE_4_1_5">#REF!</definedName>
    <definedName name="CABLE_4_1_6">NA()</definedName>
    <definedName name="CABLE_4_1_6_5">#REF!</definedName>
    <definedName name="CABLE_4_10">NA()</definedName>
    <definedName name="CABLE_4_10_5">#REF!</definedName>
    <definedName name="CABLE_4_12">NA()</definedName>
    <definedName name="CABLE_4_12_5">#REF!</definedName>
    <definedName name="CABLE_4_13">NA()</definedName>
    <definedName name="CABLE_4_13_5">#REF!</definedName>
    <definedName name="CABLE_4_14">NA()</definedName>
    <definedName name="CABLE_4_14_5">#REF!</definedName>
    <definedName name="CABLE_4_15">NA()</definedName>
    <definedName name="CABLE_4_15_5">#REF!</definedName>
    <definedName name="CABLE_4_16">NA()</definedName>
    <definedName name="CABLE_4_16_5">#REF!</definedName>
    <definedName name="CABLE_4_17">NA()</definedName>
    <definedName name="CABLE_4_17_5">#REF!</definedName>
    <definedName name="CABLE_4_18">NA()</definedName>
    <definedName name="CABLE_4_18_1">NA()</definedName>
    <definedName name="CABLE_4_18_1_5">#REF!</definedName>
    <definedName name="CABLE_4_18_5">#REF!</definedName>
    <definedName name="CABLE_4_19">NA()</definedName>
    <definedName name="CABLE_4_19_5">#REF!</definedName>
    <definedName name="CABLE_4_20">NA()</definedName>
    <definedName name="CABLE_4_20_5">#REF!</definedName>
    <definedName name="CABLE_4_21">NA()</definedName>
    <definedName name="CABLE_4_21_1">NA()</definedName>
    <definedName name="CABLE_4_21_1_5">#REF!</definedName>
    <definedName name="CABLE_4_21_5">#REF!</definedName>
    <definedName name="CABLE_4_22">NA()</definedName>
    <definedName name="CABLE_4_22_5">#REF!</definedName>
    <definedName name="CABLE_4_23">NA()</definedName>
    <definedName name="CABLE_4_23_5">#REF!</definedName>
    <definedName name="CABLE_4_24">NA()</definedName>
    <definedName name="CABLE_4_24_5">#REF!</definedName>
    <definedName name="CABLE_4_25">NA()</definedName>
    <definedName name="CABLE_4_25_5">#REF!</definedName>
    <definedName name="CABLE_4_26">NA()</definedName>
    <definedName name="CABLE_4_26_5">#REF!</definedName>
    <definedName name="CABLE_4_27">NA()</definedName>
    <definedName name="CABLE_4_27_5">#REF!</definedName>
    <definedName name="CABLE_4_28">NA()</definedName>
    <definedName name="CABLE_4_28_5">#REF!</definedName>
    <definedName name="CABLE_4_5">#REF!</definedName>
    <definedName name="CABLE_4_6">NA()</definedName>
    <definedName name="CABLE_4_6_5">#REF!</definedName>
    <definedName name="CABLE_4_7">NA()</definedName>
    <definedName name="CABLE_4_7_5">#REF!</definedName>
    <definedName name="CABLE_4_8">NA()</definedName>
    <definedName name="CABLE_4_8_5">#REF!</definedName>
    <definedName name="CABLE_4_9">NA()</definedName>
    <definedName name="CABLE_4_9_5">#REF!</definedName>
    <definedName name="CABLE_5">#REF!</definedName>
    <definedName name="CABLE_5_1">NA()</definedName>
    <definedName name="CABLE_5_17">NA()</definedName>
    <definedName name="CABLE_5_17_5">#REF!</definedName>
    <definedName name="CABLE_5_28">NA()</definedName>
    <definedName name="CABLE_5_28_5">#REF!</definedName>
    <definedName name="CABLE_5_5">#REF!</definedName>
    <definedName name="CABLE_5_6">NA()</definedName>
    <definedName name="CABLE_5_6_5">#REF!</definedName>
    <definedName name="CABLE_6">NA()</definedName>
    <definedName name="CABLE_6_1">NA()</definedName>
    <definedName name="CABLE_6_1_5">#REF!</definedName>
    <definedName name="CABLE_6_10">NA()</definedName>
    <definedName name="CABLE_6_10_5">#REF!</definedName>
    <definedName name="CABLE_6_12">NA()</definedName>
    <definedName name="CABLE_6_12_5">#REF!</definedName>
    <definedName name="CABLE_6_13">NA()</definedName>
    <definedName name="CABLE_6_13_5">#REF!</definedName>
    <definedName name="CABLE_6_14">NA()</definedName>
    <definedName name="CABLE_6_14_5">#REF!</definedName>
    <definedName name="CABLE_6_15">NA()</definedName>
    <definedName name="CABLE_6_15_5">#REF!</definedName>
    <definedName name="CABLE_6_16">NA()</definedName>
    <definedName name="CABLE_6_16_5">#REF!</definedName>
    <definedName name="CABLE_6_17">NA()</definedName>
    <definedName name="CABLE_6_17_5">#REF!</definedName>
    <definedName name="CABLE_6_18">NA()</definedName>
    <definedName name="CABLE_6_18_1">NA()</definedName>
    <definedName name="CABLE_6_18_1_5">#REF!</definedName>
    <definedName name="CABLE_6_18_5">#REF!</definedName>
    <definedName name="CABLE_6_19">NA()</definedName>
    <definedName name="CABLE_6_19_5">#REF!</definedName>
    <definedName name="CABLE_6_20">NA()</definedName>
    <definedName name="CABLE_6_20_5">#REF!</definedName>
    <definedName name="CABLE_6_21">NA()</definedName>
    <definedName name="CABLE_6_21_1">NA()</definedName>
    <definedName name="CABLE_6_21_1_5">#REF!</definedName>
    <definedName name="CABLE_6_21_5">#REF!</definedName>
    <definedName name="CABLE_6_22">NA()</definedName>
    <definedName name="CABLE_6_22_5">#REF!</definedName>
    <definedName name="CABLE_6_23">NA()</definedName>
    <definedName name="CABLE_6_23_5">#REF!</definedName>
    <definedName name="CABLE_6_24">NA()</definedName>
    <definedName name="CABLE_6_24_5">#REF!</definedName>
    <definedName name="CABLE_6_25">NA()</definedName>
    <definedName name="CABLE_6_25_5">#REF!</definedName>
    <definedName name="CABLE_6_26">NA()</definedName>
    <definedName name="CABLE_6_26_5">#REF!</definedName>
    <definedName name="CABLE_6_27">NA()</definedName>
    <definedName name="CABLE_6_27_5">#REF!</definedName>
    <definedName name="CABLE_6_28">NA()</definedName>
    <definedName name="CABLE_6_28_5">#REF!</definedName>
    <definedName name="CABLE_6_5">#REF!</definedName>
    <definedName name="CABLE_6_6">NA()</definedName>
    <definedName name="CABLE_6_6_5">#REF!</definedName>
    <definedName name="CABLE_6_7">NA()</definedName>
    <definedName name="CABLE_6_7_5">#REF!</definedName>
    <definedName name="CABLE_6_8">NA()</definedName>
    <definedName name="CABLE_6_8_5">#REF!</definedName>
    <definedName name="CABLE_6_9">NA()</definedName>
    <definedName name="CABLE_6_9_1">NA()</definedName>
    <definedName name="CABLE_6_9_1_1">NA()</definedName>
    <definedName name="CABLE_6_9_1_1_5">#REF!</definedName>
    <definedName name="CABLE_6_9_1_5">#REF!</definedName>
    <definedName name="CABLE_6_9_5">#REF!</definedName>
    <definedName name="CABLE_7">NA()</definedName>
    <definedName name="CABLE_7_5">#REF!</definedName>
    <definedName name="CABLE_8">NA()</definedName>
    <definedName name="CABLE_8_5">#REF!</definedName>
    <definedName name="CABLE_9">NA()</definedName>
    <definedName name="CABLE_9_5">#REF!</definedName>
    <definedName name="Cafe">#REF!</definedName>
    <definedName name="caI_14">#REF!</definedName>
    <definedName name="caII_14">#REF!</definedName>
    <definedName name="cal">#REF!</definedName>
    <definedName name="cal_14">#REF!</definedName>
    <definedName name="cald">NA()</definedName>
    <definedName name="cald_5">#REF!</definedName>
    <definedName name="CALf">NA()</definedName>
    <definedName name="CALf_1">NA()</definedName>
    <definedName name="CALf_1_3">NA()</definedName>
    <definedName name="CALf_1_3_5">#REF!</definedName>
    <definedName name="CALf_1_5">#REF!</definedName>
    <definedName name="CALf_10">NA()</definedName>
    <definedName name="CALf_10_5">#REF!</definedName>
    <definedName name="CALf_11">NA()</definedName>
    <definedName name="CALf_11_1">NA()</definedName>
    <definedName name="CALf_11_1_5">#REF!</definedName>
    <definedName name="CALf_11_5">#REF!</definedName>
    <definedName name="CALf_14">NA()</definedName>
    <definedName name="CALf_14_5">#REF!</definedName>
    <definedName name="CALf_15">NA()</definedName>
    <definedName name="CALf_15_5">#REF!</definedName>
    <definedName name="CALf_16">NA()</definedName>
    <definedName name="CALf_16_5">#REF!</definedName>
    <definedName name="CALf_17">NA()</definedName>
    <definedName name="CALf_17_1">NA()</definedName>
    <definedName name="CALf_17_1_5">#REF!</definedName>
    <definedName name="CALf_17_5">#REF!</definedName>
    <definedName name="CALf_18">NA()</definedName>
    <definedName name="CALf_18_1">NA()</definedName>
    <definedName name="CALf_18_1_5">#REF!</definedName>
    <definedName name="CALf_18_5">#REF!</definedName>
    <definedName name="CALf_19">NA()</definedName>
    <definedName name="CALf_19_5">#REF!</definedName>
    <definedName name="CALf_2">NA()</definedName>
    <definedName name="CALf_2_5">#REF!</definedName>
    <definedName name="CALf_20">NA()</definedName>
    <definedName name="CALf_20_5">#REF!</definedName>
    <definedName name="CALf_21">NA()</definedName>
    <definedName name="CALf_21_1">NA()</definedName>
    <definedName name="CALf_21_1_5">#REF!</definedName>
    <definedName name="CALf_21_5">#REF!</definedName>
    <definedName name="CALf_26">NA()</definedName>
    <definedName name="CALf_26_5">#REF!</definedName>
    <definedName name="CALf_27">NA()</definedName>
    <definedName name="CALf_27_5">#REF!</definedName>
    <definedName name="CALf_28">NA()</definedName>
    <definedName name="CALf_28_5">#REF!</definedName>
    <definedName name="CALf_29">NA()</definedName>
    <definedName name="CALf_29_5">#REF!</definedName>
    <definedName name="CALf_3">NA()</definedName>
    <definedName name="CALf_3_5">#REF!</definedName>
    <definedName name="CALf_4">NA()</definedName>
    <definedName name="CALf_4_1">NA()</definedName>
    <definedName name="CALf_4_1_1">NA()</definedName>
    <definedName name="CALf_4_1_1_1">NA()</definedName>
    <definedName name="CALf_4_1_1_1_1">NA()</definedName>
    <definedName name="CALf_4_1_1_1_1_1">NA()</definedName>
    <definedName name="CALf_4_1_1_1_1_1_5">#REF!</definedName>
    <definedName name="CALf_4_1_1_1_1_5">#REF!</definedName>
    <definedName name="CALf_4_1_1_1_5">#REF!</definedName>
    <definedName name="CALf_4_1_1_5">#REF!</definedName>
    <definedName name="CALf_4_1_5">#REF!</definedName>
    <definedName name="CALf_4_18">NA()</definedName>
    <definedName name="CALf_4_18_1">NA()</definedName>
    <definedName name="CALf_4_18_1_5">#REF!</definedName>
    <definedName name="CALf_4_18_5">#REF!</definedName>
    <definedName name="CALf_4_21">NA()</definedName>
    <definedName name="CALf_4_21_5">#REF!</definedName>
    <definedName name="CALf_4_5">#REF!</definedName>
    <definedName name="CALf_5">#REF!</definedName>
    <definedName name="CALf_5_1">NA()</definedName>
    <definedName name="CALf_5_5">#REF!</definedName>
    <definedName name="CALf_6">NA()</definedName>
    <definedName name="CALf_6_1">NA()</definedName>
    <definedName name="CALf_6_1_5">#REF!</definedName>
    <definedName name="CALf_6_18">NA()</definedName>
    <definedName name="CALf_6_18_1">NA()</definedName>
    <definedName name="CALf_6_18_1_5">#REF!</definedName>
    <definedName name="CALf_6_18_5">#REF!</definedName>
    <definedName name="CALf_6_21">NA()</definedName>
    <definedName name="CALf_6_21_5">#REF!</definedName>
    <definedName name="CALf_6_5">#REF!</definedName>
    <definedName name="CALf_7">NA()</definedName>
    <definedName name="CALf_7_5">#REF!</definedName>
    <definedName name="Calibration_Rate">NA()</definedName>
    <definedName name="Calibration_Rate_1">NA()</definedName>
    <definedName name="CALIMP">NA()</definedName>
    <definedName name="Canalabstract">#REF!</definedName>
    <definedName name="Canaldata">#REF!</definedName>
    <definedName name="cant">NA()</definedName>
    <definedName name="cant_1">NA()</definedName>
    <definedName name="cant_10">NA()</definedName>
    <definedName name="cant_10_3">NA()</definedName>
    <definedName name="cant_12">NA()</definedName>
    <definedName name="cant_12_3">NA()</definedName>
    <definedName name="cant_13">NA()</definedName>
    <definedName name="cant_13_3">NA()</definedName>
    <definedName name="cant_14">NA()</definedName>
    <definedName name="cant_14_3">NA()</definedName>
    <definedName name="cant_15">NA()</definedName>
    <definedName name="cant_15_3">NA()</definedName>
    <definedName name="cant_16">NA()</definedName>
    <definedName name="cant_16_3">NA()</definedName>
    <definedName name="cant_17">NA()</definedName>
    <definedName name="cant_17_3">NA()</definedName>
    <definedName name="cant_18">NA()</definedName>
    <definedName name="cant_18_3">NA()</definedName>
    <definedName name="cant_19">NA()</definedName>
    <definedName name="cant_19_3">NA()</definedName>
    <definedName name="cant_20">NA()</definedName>
    <definedName name="cant_20_3">NA()</definedName>
    <definedName name="cant_21">NA()</definedName>
    <definedName name="cant_21_3">NA()</definedName>
    <definedName name="cant_22">NA()</definedName>
    <definedName name="cant_22_3">NA()</definedName>
    <definedName name="cant_23">NA()</definedName>
    <definedName name="cant_23_3">NA()</definedName>
    <definedName name="cant_24">NA()</definedName>
    <definedName name="cant_24_3">NA()</definedName>
    <definedName name="cant_25">NA()</definedName>
    <definedName name="cant_25_3">NA()</definedName>
    <definedName name="cant_26">NA()</definedName>
    <definedName name="cant_26_3">NA()</definedName>
    <definedName name="cant_27">NA()</definedName>
    <definedName name="cant_27_3">NA()</definedName>
    <definedName name="cant_28">NA()</definedName>
    <definedName name="cant_28_3">NA()</definedName>
    <definedName name="cant_3">NA()</definedName>
    <definedName name="cant_6">NA()</definedName>
    <definedName name="cant_6_3">NA()</definedName>
    <definedName name="cant_7">NA()</definedName>
    <definedName name="cant_7_3">NA()</definedName>
    <definedName name="cant_8">NA()</definedName>
    <definedName name="cant_8_3">NA()</definedName>
    <definedName name="cant_9">NA()</definedName>
    <definedName name="cant_9_1">NA()</definedName>
    <definedName name="cant_9_1_1">NA()</definedName>
    <definedName name="cant_9_1_1_3">NA()</definedName>
    <definedName name="cant_9_1_3">NA()</definedName>
    <definedName name="cant_9_3">NA()</definedName>
    <definedName name="canteen">#REF!</definedName>
    <definedName name="capital">#REF!</definedName>
    <definedName name="capping">#REF!</definedName>
    <definedName name="car">#REF!</definedName>
    <definedName name="car_14">#REF!</definedName>
    <definedName name="car2_14">#REF!</definedName>
    <definedName name="CardReaderInd400">NA()</definedName>
    <definedName name="CardReaderInd400_1">NA()</definedName>
    <definedName name="carp" hidden="1">{#N/A,#N/A,TRUE,"Front";#N/A,#N/A,TRUE,"Simple Letter";#N/A,#N/A,TRUE,"Inside";#N/A,#N/A,TRUE,"Contents";#N/A,#N/A,TRUE,"Basis";#N/A,#N/A,TRUE,"Inclusions";#N/A,#N/A,TRUE,"Exclusions";#N/A,#N/A,TRUE,"Areas";#N/A,#N/A,TRUE,"Summary";#N/A,#N/A,TRUE,"Detail"}</definedName>
    <definedName name="CARP1">#REF!</definedName>
    <definedName name="CARP2">#REF!</definedName>
    <definedName name="carpenter">#REF!</definedName>
    <definedName name="carpenter1">#REF!</definedName>
    <definedName name="carpenter2">#REF!</definedName>
    <definedName name="carpenterI">#REF!</definedName>
    <definedName name="carpenterII">#REF!</definedName>
    <definedName name="carpet">#REF!</definedName>
    <definedName name="carpet___0">#REF!</definedName>
    <definedName name="carpet___11">#REF!</definedName>
    <definedName name="carpet___12">#REF!</definedName>
    <definedName name="carpg" hidden="1">{#N/A,#N/A,TRUE,"Front";#N/A,#N/A,TRUE,"Simple Letter";#N/A,#N/A,TRUE,"Inside";#N/A,#N/A,TRUE,"Contents";#N/A,#N/A,TRUE,"Basis";#N/A,#N/A,TRUE,"Inclusions";#N/A,#N/A,TRUE,"Exclusions";#N/A,#N/A,TRUE,"Areas";#N/A,#N/A,TRUE,"Summary";#N/A,#N/A,TRUE,"Detail"}</definedName>
    <definedName name="carpnm" hidden="1">{#N/A,#N/A,TRUE,"Front";#N/A,#N/A,TRUE,"Simple Letter";#N/A,#N/A,TRUE,"Inside";#N/A,#N/A,TRUE,"Contents";#N/A,#N/A,TRUE,"Basis";#N/A,#N/A,TRUE,"Inclusions";#N/A,#N/A,TRUE,"Exclusions";#N/A,#N/A,TRUE,"Areas";#N/A,#N/A,TRUE,"Summary";#N/A,#N/A,TRUE,"Detail"}</definedName>
    <definedName name="carrage_of_coarse_sand">#REF!</definedName>
    <definedName name="carrage_of_Stone_Agg_40mm_and_above">#REF!</definedName>
    <definedName name="carrage_of_Stone_Agg_40mm_below">#REF!</definedName>
    <definedName name="Carriage">#REF!</definedName>
    <definedName name="Carriage_AAC">#REF!</definedName>
    <definedName name="Carriage_Aggregate">#REF!</definedName>
    <definedName name="Carriage_Aggregate_20">#REF!</definedName>
    <definedName name="Carriage_Aggregate40">#REF!</definedName>
    <definedName name="Carriage_Bitumen">#REF!</definedName>
    <definedName name="Carriage_Bricks">#REF!</definedName>
    <definedName name="Carriage_cement">#REF!</definedName>
    <definedName name="Carriage_Marble">#REF!</definedName>
    <definedName name="Carriage_MS_bar_6mm">#REF!</definedName>
    <definedName name="Carriage_of_Brick_Agg">#REF!</definedName>
    <definedName name="Carriage_RMC">#REF!</definedName>
    <definedName name="Carriage_Sand">#REF!</definedName>
    <definedName name="Carriage_Steel">#REF!</definedName>
    <definedName name="Carriage_tile">#REF!</definedName>
    <definedName name="Carriage_Water_proof">#REF!</definedName>
    <definedName name="carriageway">#REF!</definedName>
    <definedName name="CartageBadhani">#REF!</definedName>
    <definedName name="CartageKabrai">#REF!</definedName>
    <definedName name="CartageLal">#REF!</definedName>
    <definedName name="cartageRBM">#REF!</definedName>
    <definedName name="cash_bank">#REF!</definedName>
    <definedName name="CATIN">#N/A</definedName>
    <definedName name="CATJYOU">#N/A</definedName>
    <definedName name="CATREC">#N/A</definedName>
    <definedName name="CATSYU">#N/A</definedName>
    <definedName name="cbe">#REF!</definedName>
    <definedName name="cbgl1">#REF!</definedName>
    <definedName name="cbgl2">#REF!</definedName>
    <definedName name="cbgl3">#REF!</definedName>
    <definedName name="cbgl4">#REF!</definedName>
    <definedName name="cbh">#REF!</definedName>
    <definedName name="cbl">#REF!</definedName>
    <definedName name="cbm">#REF!</definedName>
    <definedName name="cc">#REF!</definedName>
    <definedName name="ccc" hidden="1">{#N/A,#N/A,TRUE,"Front";#N/A,#N/A,TRUE,"Simple Letter";#N/A,#N/A,TRUE,"Inside";#N/A,#N/A,TRUE,"Contents";#N/A,#N/A,TRUE,"Basis";#N/A,#N/A,TRUE,"Inclusions";#N/A,#N/A,TRUE,"Exclusions";#N/A,#N/A,TRUE,"Areas";#N/A,#N/A,TRUE,"Summary";#N/A,#N/A,TRUE,"Detail"}</definedName>
    <definedName name="ccccccccc" hidden="1">#REF!</definedName>
    <definedName name="ccd">#REF!</definedName>
    <definedName name="cce">#REF!</definedName>
    <definedName name="ccjoint">#REF!</definedName>
    <definedName name="ccmii">#REF!</definedName>
    <definedName name="ccmiii">#REF!</definedName>
    <definedName name="ccmiii_1">#REF!</definedName>
    <definedName name="ccmiv">#REF!</definedName>
    <definedName name="ccmiv_1">#REF!</definedName>
    <definedName name="ccmv">#REF!</definedName>
    <definedName name="cco">#REF!</definedName>
    <definedName name="ccolagl">#REF!</definedName>
    <definedName name="ccs">#REF!</definedName>
    <definedName name="ccv">NA()</definedName>
    <definedName name="ccv_1">NA()</definedName>
    <definedName name="ccv_1_5">#REF!</definedName>
    <definedName name="ccv_5">#REF!</definedName>
    <definedName name="cd">#REF!</definedName>
    <definedName name="cd_14">#REF!</definedName>
    <definedName name="cdf">NA()</definedName>
    <definedName name="cdf_1">NA()</definedName>
    <definedName name="cdf_1_5">#REF!</definedName>
    <definedName name="cdf_10">NA()</definedName>
    <definedName name="cdf_10_3">NA()</definedName>
    <definedName name="cdf_10_3_5">#REF!</definedName>
    <definedName name="cdf_10_5">#REF!</definedName>
    <definedName name="cdf_12">NA()</definedName>
    <definedName name="cdf_12_3">NA()</definedName>
    <definedName name="cdf_12_3_5">#REF!</definedName>
    <definedName name="cdf_12_5">#REF!</definedName>
    <definedName name="cdf_13">NA()</definedName>
    <definedName name="cdf_13_3">NA()</definedName>
    <definedName name="cdf_13_3_5">#REF!</definedName>
    <definedName name="cdf_13_5">#REF!</definedName>
    <definedName name="cdf_14">NA()</definedName>
    <definedName name="cdf_14_3">NA()</definedName>
    <definedName name="cdf_14_3_5">#REF!</definedName>
    <definedName name="cdf_14_5">#REF!</definedName>
    <definedName name="cdf_15">NA()</definedName>
    <definedName name="cdf_15_3">NA()</definedName>
    <definedName name="cdf_15_3_5">#REF!</definedName>
    <definedName name="cdf_15_5">#REF!</definedName>
    <definedName name="cdf_16">NA()</definedName>
    <definedName name="cdf_16_3">NA()</definedName>
    <definedName name="cdf_16_3_5">#REF!</definedName>
    <definedName name="cdf_16_5">#REF!</definedName>
    <definedName name="cdf_17">NA()</definedName>
    <definedName name="cdf_17_3">NA()</definedName>
    <definedName name="cdf_17_3_5">#REF!</definedName>
    <definedName name="cdf_17_5">#REF!</definedName>
    <definedName name="cdf_18">NA()</definedName>
    <definedName name="cdf_18_1">NA()</definedName>
    <definedName name="cdf_18_1_3">NA()</definedName>
    <definedName name="cdf_18_1_3_5">#REF!</definedName>
    <definedName name="cdf_18_1_5">#REF!</definedName>
    <definedName name="cdf_18_3">NA()</definedName>
    <definedName name="cdf_18_3_5">#REF!</definedName>
    <definedName name="cdf_18_5">#REF!</definedName>
    <definedName name="cdf_19">NA()</definedName>
    <definedName name="cdf_19_3">NA()</definedName>
    <definedName name="cdf_19_3_5">#REF!</definedName>
    <definedName name="cdf_19_5">#REF!</definedName>
    <definedName name="cdf_20">NA()</definedName>
    <definedName name="cdf_20_3">NA()</definedName>
    <definedName name="cdf_20_3_5">#REF!</definedName>
    <definedName name="cdf_20_5">#REF!</definedName>
    <definedName name="cdf_21">NA()</definedName>
    <definedName name="cdf_21_1">NA()</definedName>
    <definedName name="cdf_21_1_3">NA()</definedName>
    <definedName name="cdf_21_1_3_5">#REF!</definedName>
    <definedName name="cdf_21_1_5">#REF!</definedName>
    <definedName name="cdf_21_3">NA()</definedName>
    <definedName name="cdf_21_3_5">#REF!</definedName>
    <definedName name="cdf_21_5">#REF!</definedName>
    <definedName name="cdf_22">NA()</definedName>
    <definedName name="cdf_22_3">NA()</definedName>
    <definedName name="cdf_22_3_5">#REF!</definedName>
    <definedName name="cdf_22_5">#REF!</definedName>
    <definedName name="cdf_23">NA()</definedName>
    <definedName name="cdf_23_3">NA()</definedName>
    <definedName name="cdf_23_3_5">#REF!</definedName>
    <definedName name="cdf_23_5">#REF!</definedName>
    <definedName name="cdf_24">NA()</definedName>
    <definedName name="cdf_24_3">NA()</definedName>
    <definedName name="cdf_24_3_5">#REF!</definedName>
    <definedName name="cdf_24_5">#REF!</definedName>
    <definedName name="cdf_25">NA()</definedName>
    <definedName name="cdf_25_3">NA()</definedName>
    <definedName name="cdf_25_3_5">#REF!</definedName>
    <definedName name="cdf_25_5">#REF!</definedName>
    <definedName name="cdf_26">NA()</definedName>
    <definedName name="cdf_26_3">NA()</definedName>
    <definedName name="cdf_26_3_5">#REF!</definedName>
    <definedName name="cdf_26_5">#REF!</definedName>
    <definedName name="cdf_27">NA()</definedName>
    <definedName name="cdf_27_3">NA()</definedName>
    <definedName name="cdf_27_3_5">#REF!</definedName>
    <definedName name="cdf_27_5">#REF!</definedName>
    <definedName name="cdf_28">NA()</definedName>
    <definedName name="cdf_28_3">NA()</definedName>
    <definedName name="cdf_28_3_5">#REF!</definedName>
    <definedName name="cdf_28_5">#REF!</definedName>
    <definedName name="cdf_3">NA()</definedName>
    <definedName name="cdf_3_5">#REF!</definedName>
    <definedName name="cdf_5">#REF!</definedName>
    <definedName name="cdf_6">NA()</definedName>
    <definedName name="cdf_6_3">NA()</definedName>
    <definedName name="cdf_6_3_5">#REF!</definedName>
    <definedName name="cdf_6_5">#REF!</definedName>
    <definedName name="cdf_7">NA()</definedName>
    <definedName name="cdf_7_3">NA()</definedName>
    <definedName name="cdf_7_3_5">#REF!</definedName>
    <definedName name="cdf_7_5">#REF!</definedName>
    <definedName name="cdf_8">NA()</definedName>
    <definedName name="cdf_8_3">NA()</definedName>
    <definedName name="cdf_8_3_5">#REF!</definedName>
    <definedName name="cdf_8_5">#REF!</definedName>
    <definedName name="cdf_9">NA()</definedName>
    <definedName name="cdf_9_3">NA()</definedName>
    <definedName name="cdf_9_3_5">#REF!</definedName>
    <definedName name="cdf_9_5">#REF!</definedName>
    <definedName name="ce">#REF!</definedName>
    <definedName name="ce_14">#REF!</definedName>
    <definedName name="Ceiling_speaker">#REF!</definedName>
    <definedName name="Ceiling_Speaker_Unsupervised">#REF!</definedName>
    <definedName name="Cement">#REF!</definedName>
    <definedName name="Cement_14">#REF!</definedName>
    <definedName name="cemlead">#REF!</definedName>
    <definedName name="census3">#REF!</definedName>
    <definedName name="cf" hidden="1">{#N/A,#N/A,TRUE,"Front";#N/A,#N/A,TRUE,"Simple Letter";#N/A,#N/A,TRUE,"Inside";#N/A,#N/A,TRUE,"Contents";#N/A,#N/A,TRUE,"Basis";#N/A,#N/A,TRUE,"Inclusions";#N/A,#N/A,TRUE,"Exclusions";#N/A,#N/A,TRUE,"Areas";#N/A,#N/A,TRUE,"Summary";#N/A,#N/A,TRUE,"Detail"}</definedName>
    <definedName name="cfb">#REF!</definedName>
    <definedName name="cfbeams">#REF!</definedName>
    <definedName name="cfg">{#N/A,#N/A,TRUE,"Front";#N/A,#N/A,TRUE,"Simple Letter";#N/A,#N/A,TRUE,"Inside";#N/A,#N/A,TRUE,"Contents";#N/A,#N/A,TRUE,"Basis";#N/A,#N/A,TRUE,"Inclusions";#N/A,#N/A,TRUE,"Exclusions";#N/A,#N/A,TRUE,"Areas";#N/A,#N/A,TRUE,"Summary";#N/A,#N/A,TRUE,"Detail"}</definedName>
    <definedName name="cfi">#REF!</definedName>
    <definedName name="cfsalb">#REF!</definedName>
    <definedName name="cfslab">#REF!</definedName>
    <definedName name="CH">#REF!</definedName>
    <definedName name="ChangeBy">NA()</definedName>
    <definedName name="ChangeBy_1">NA()</definedName>
    <definedName name="ChangeBy_1_3">NA()</definedName>
    <definedName name="ChangeBy_1_3_5">#REF!</definedName>
    <definedName name="ChangeBy_1_5">#REF!</definedName>
    <definedName name="ChangeBy_10">NA()</definedName>
    <definedName name="ChangeBy_10_1">NA()</definedName>
    <definedName name="ChangeBy_10_1_3">NA()</definedName>
    <definedName name="ChangeBy_10_1_3_5">#REF!</definedName>
    <definedName name="ChangeBy_10_1_5">#REF!</definedName>
    <definedName name="ChangeBy_10_17">NA()</definedName>
    <definedName name="ChangeBy_10_17_3">NA()</definedName>
    <definedName name="ChangeBy_10_17_3_5">#REF!</definedName>
    <definedName name="ChangeBy_10_17_5">#REF!</definedName>
    <definedName name="ChangeBy_10_5">#REF!</definedName>
    <definedName name="ChangeBy_11">NA()</definedName>
    <definedName name="ChangeBy_11_1">NA()</definedName>
    <definedName name="ChangeBy_11_1_5">#REF!</definedName>
    <definedName name="ChangeBy_11_5">#REF!</definedName>
    <definedName name="ChangeBy_12">NA()</definedName>
    <definedName name="ChangeBy_12_3">NA()</definedName>
    <definedName name="ChangeBy_12_3_5">#REF!</definedName>
    <definedName name="ChangeBy_12_5">#REF!</definedName>
    <definedName name="ChangeBy_13">NA()</definedName>
    <definedName name="ChangeBy_13_3">NA()</definedName>
    <definedName name="ChangeBy_13_3_5">#REF!</definedName>
    <definedName name="ChangeBy_13_5">#REF!</definedName>
    <definedName name="ChangeBy_14">NA()</definedName>
    <definedName name="ChangeBy_14_5">#REF!</definedName>
    <definedName name="ChangeBy_15">NA()</definedName>
    <definedName name="ChangeBy_15_1">NA()</definedName>
    <definedName name="ChangeBy_15_1_3">NA()</definedName>
    <definedName name="ChangeBy_15_1_3_5">#REF!</definedName>
    <definedName name="ChangeBy_15_1_5">#REF!</definedName>
    <definedName name="ChangeBy_15_3">NA()</definedName>
    <definedName name="ChangeBy_15_3_5">#REF!</definedName>
    <definedName name="ChangeBy_15_5">#REF!</definedName>
    <definedName name="ChangeBy_16">NA()</definedName>
    <definedName name="ChangeBy_16_1">NA()</definedName>
    <definedName name="ChangeBy_16_1_3">NA()</definedName>
    <definedName name="ChangeBy_16_1_3_5">#REF!</definedName>
    <definedName name="ChangeBy_16_1_5">#REF!</definedName>
    <definedName name="ChangeBy_16_3">NA()</definedName>
    <definedName name="ChangeBy_16_3_5">#REF!</definedName>
    <definedName name="ChangeBy_16_5">#REF!</definedName>
    <definedName name="ChangeBy_17">NA()</definedName>
    <definedName name="ChangeBy_17_1">NA()</definedName>
    <definedName name="ChangeBy_17_1_5">#REF!</definedName>
    <definedName name="ChangeBy_17_3">NA()</definedName>
    <definedName name="ChangeBy_17_3_5">#REF!</definedName>
    <definedName name="ChangeBy_17_5">#REF!</definedName>
    <definedName name="ChangeBy_18">NA()</definedName>
    <definedName name="ChangeBy_18_1">NA()</definedName>
    <definedName name="ChangeBy_18_1_5">#REF!</definedName>
    <definedName name="ChangeBy_18_5">#REF!</definedName>
    <definedName name="ChangeBy_19">NA()</definedName>
    <definedName name="ChangeBy_19_1">NA()</definedName>
    <definedName name="ChangeBy_19_1_5">#REF!</definedName>
    <definedName name="ChangeBy_19_5">#REF!</definedName>
    <definedName name="ChangeBy_2">NA()</definedName>
    <definedName name="ChangeBy_2_5">#REF!</definedName>
    <definedName name="ChangeBy_20">NA()</definedName>
    <definedName name="ChangeBy_20_1">NA()</definedName>
    <definedName name="ChangeBy_20_1_3">NA()</definedName>
    <definedName name="ChangeBy_20_1_3_5">#REF!</definedName>
    <definedName name="ChangeBy_20_1_5">#REF!</definedName>
    <definedName name="ChangeBy_20_5">#REF!</definedName>
    <definedName name="ChangeBy_21">NA()</definedName>
    <definedName name="ChangeBy_21_1">NA()</definedName>
    <definedName name="ChangeBy_21_1_1">NA()</definedName>
    <definedName name="ChangeBy_21_1_1_3">NA()</definedName>
    <definedName name="ChangeBy_21_1_1_3_5">#REF!</definedName>
    <definedName name="ChangeBy_21_1_1_5">#REF!</definedName>
    <definedName name="ChangeBy_21_1_3">NA()</definedName>
    <definedName name="ChangeBy_21_1_3_5">#REF!</definedName>
    <definedName name="ChangeBy_21_1_5">#REF!</definedName>
    <definedName name="ChangeBy_21_5">#REF!</definedName>
    <definedName name="ChangeBy_22">NA()</definedName>
    <definedName name="ChangeBy_22_3">NA()</definedName>
    <definedName name="ChangeBy_22_3_5">#REF!</definedName>
    <definedName name="ChangeBy_22_5">#REF!</definedName>
    <definedName name="ChangeBy_23">NA()</definedName>
    <definedName name="ChangeBy_23_3">NA()</definedName>
    <definedName name="ChangeBy_23_3_5">#REF!</definedName>
    <definedName name="ChangeBy_23_5">#REF!</definedName>
    <definedName name="ChangeBy_24">NA()</definedName>
    <definedName name="ChangeBy_24_3">NA()</definedName>
    <definedName name="ChangeBy_24_3_5">#REF!</definedName>
    <definedName name="ChangeBy_24_5">#REF!</definedName>
    <definedName name="ChangeBy_25">NA()</definedName>
    <definedName name="ChangeBy_25_3">NA()</definedName>
    <definedName name="ChangeBy_25_3_5">#REF!</definedName>
    <definedName name="ChangeBy_25_5">#REF!</definedName>
    <definedName name="ChangeBy_26">NA()</definedName>
    <definedName name="ChangeBy_26_1">NA()</definedName>
    <definedName name="ChangeBy_26_1_3">NA()</definedName>
    <definedName name="ChangeBy_26_1_3_5">#REF!</definedName>
    <definedName name="ChangeBy_26_1_5">#REF!</definedName>
    <definedName name="ChangeBy_26_3">NA()</definedName>
    <definedName name="ChangeBy_26_3_5">#REF!</definedName>
    <definedName name="ChangeBy_26_5">#REF!</definedName>
    <definedName name="ChangeBy_27">NA()</definedName>
    <definedName name="ChangeBy_27_1">NA()</definedName>
    <definedName name="ChangeBy_27_1_3">NA()</definedName>
    <definedName name="ChangeBy_27_1_3_5">#REF!</definedName>
    <definedName name="ChangeBy_27_1_5">#REF!</definedName>
    <definedName name="ChangeBy_27_3">NA()</definedName>
    <definedName name="ChangeBy_27_3_5">#REF!</definedName>
    <definedName name="ChangeBy_27_5">#REF!</definedName>
    <definedName name="ChangeBy_28">NA()</definedName>
    <definedName name="ChangeBy_28_1">NA()</definedName>
    <definedName name="ChangeBy_28_1_3">NA()</definedName>
    <definedName name="ChangeBy_28_1_3_5">#REF!</definedName>
    <definedName name="ChangeBy_28_1_5">#REF!</definedName>
    <definedName name="ChangeBy_28_3">NA()</definedName>
    <definedName name="ChangeBy_28_3_5">#REF!</definedName>
    <definedName name="ChangeBy_28_5">#REF!</definedName>
    <definedName name="ChangeBy_29">NA()</definedName>
    <definedName name="ChangeBy_29_3">NA()</definedName>
    <definedName name="ChangeBy_29_3_5">#REF!</definedName>
    <definedName name="ChangeBy_29_5">#REF!</definedName>
    <definedName name="ChangeBy_3">NA()</definedName>
    <definedName name="ChangeBy_3_5">#REF!</definedName>
    <definedName name="ChangeBy_4">NA()</definedName>
    <definedName name="ChangeBy_4_1">NA()</definedName>
    <definedName name="ChangeBy_4_1_1">NA()</definedName>
    <definedName name="ChangeBy_4_1_1_1">NA()</definedName>
    <definedName name="ChangeBy_4_1_1_1_1">NA()</definedName>
    <definedName name="ChangeBy_4_1_1_1_1_1">NA()</definedName>
    <definedName name="ChangeBy_4_1_1_1_1_1_5">#REF!</definedName>
    <definedName name="ChangeBy_4_1_1_1_1_3">NA()</definedName>
    <definedName name="ChangeBy_4_1_1_1_1_3_5">#REF!</definedName>
    <definedName name="ChangeBy_4_1_1_1_1_5">#REF!</definedName>
    <definedName name="ChangeBy_4_1_1_1_3">NA()</definedName>
    <definedName name="ChangeBy_4_1_1_1_3_1">NA()</definedName>
    <definedName name="ChangeBy_4_1_1_1_3_1_5">#REF!</definedName>
    <definedName name="ChangeBy_4_1_1_1_3_5">#REF!</definedName>
    <definedName name="ChangeBy_4_1_1_1_5">#REF!</definedName>
    <definedName name="ChangeBy_4_1_1_3">NA()</definedName>
    <definedName name="ChangeBy_4_1_1_3_5">#REF!</definedName>
    <definedName name="ChangeBy_4_1_1_5">#REF!</definedName>
    <definedName name="ChangeBy_4_1_17">NA()</definedName>
    <definedName name="ChangeBy_4_1_17_3">NA()</definedName>
    <definedName name="ChangeBy_4_1_17_3_5">#REF!</definedName>
    <definedName name="ChangeBy_4_1_17_5">#REF!</definedName>
    <definedName name="ChangeBy_4_1_28">NA()</definedName>
    <definedName name="ChangeBy_4_1_28_3">NA()</definedName>
    <definedName name="ChangeBy_4_1_28_3_5">#REF!</definedName>
    <definedName name="ChangeBy_4_1_28_5">#REF!</definedName>
    <definedName name="ChangeBy_4_1_5">#REF!</definedName>
    <definedName name="ChangeBy_4_1_6">NA()</definedName>
    <definedName name="ChangeBy_4_1_6_3">NA()</definedName>
    <definedName name="ChangeBy_4_1_6_3_5">#REF!</definedName>
    <definedName name="ChangeBy_4_1_6_5">#REF!</definedName>
    <definedName name="ChangeBy_4_10">NA()</definedName>
    <definedName name="ChangeBy_4_10_3">NA()</definedName>
    <definedName name="ChangeBy_4_10_3_5">#REF!</definedName>
    <definedName name="ChangeBy_4_10_5">#REF!</definedName>
    <definedName name="ChangeBy_4_12">NA()</definedName>
    <definedName name="ChangeBy_4_12_3">NA()</definedName>
    <definedName name="ChangeBy_4_12_3_5">#REF!</definedName>
    <definedName name="ChangeBy_4_12_5">#REF!</definedName>
    <definedName name="ChangeBy_4_13">NA()</definedName>
    <definedName name="ChangeBy_4_13_3">NA()</definedName>
    <definedName name="ChangeBy_4_13_3_5">#REF!</definedName>
    <definedName name="ChangeBy_4_13_5">#REF!</definedName>
    <definedName name="ChangeBy_4_14">NA()</definedName>
    <definedName name="ChangeBy_4_14_3">NA()</definedName>
    <definedName name="ChangeBy_4_14_3_5">#REF!</definedName>
    <definedName name="ChangeBy_4_14_5">#REF!</definedName>
    <definedName name="ChangeBy_4_15">NA()</definedName>
    <definedName name="ChangeBy_4_15_3">NA()</definedName>
    <definedName name="ChangeBy_4_15_3_5">#REF!</definedName>
    <definedName name="ChangeBy_4_15_5">#REF!</definedName>
    <definedName name="ChangeBy_4_16">NA()</definedName>
    <definedName name="ChangeBy_4_16_3">NA()</definedName>
    <definedName name="ChangeBy_4_16_3_5">#REF!</definedName>
    <definedName name="ChangeBy_4_16_5">#REF!</definedName>
    <definedName name="ChangeBy_4_17">NA()</definedName>
    <definedName name="ChangeBy_4_17_3">NA()</definedName>
    <definedName name="ChangeBy_4_17_3_5">#REF!</definedName>
    <definedName name="ChangeBy_4_17_5">#REF!</definedName>
    <definedName name="ChangeBy_4_18">NA()</definedName>
    <definedName name="ChangeBy_4_18_1">NA()</definedName>
    <definedName name="ChangeBy_4_18_1_5">#REF!</definedName>
    <definedName name="ChangeBy_4_18_5">#REF!</definedName>
    <definedName name="ChangeBy_4_19">NA()</definedName>
    <definedName name="ChangeBy_4_19_5">#REF!</definedName>
    <definedName name="ChangeBy_4_20">NA()</definedName>
    <definedName name="ChangeBy_4_20_3">NA()</definedName>
    <definedName name="ChangeBy_4_20_3_5">#REF!</definedName>
    <definedName name="ChangeBy_4_20_5">#REF!</definedName>
    <definedName name="ChangeBy_4_21">NA()</definedName>
    <definedName name="ChangeBy_4_21_1">NA()</definedName>
    <definedName name="ChangeBy_4_21_1_3">NA()</definedName>
    <definedName name="ChangeBy_4_21_1_3_5">#REF!</definedName>
    <definedName name="ChangeBy_4_21_1_5">#REF!</definedName>
    <definedName name="ChangeBy_4_21_5">#REF!</definedName>
    <definedName name="ChangeBy_4_22">NA()</definedName>
    <definedName name="ChangeBy_4_22_3">NA()</definedName>
    <definedName name="ChangeBy_4_22_3_5">#REF!</definedName>
    <definedName name="ChangeBy_4_22_5">#REF!</definedName>
    <definedName name="ChangeBy_4_23">NA()</definedName>
    <definedName name="ChangeBy_4_23_3">NA()</definedName>
    <definedName name="ChangeBy_4_23_3_5">#REF!</definedName>
    <definedName name="ChangeBy_4_23_5">#REF!</definedName>
    <definedName name="ChangeBy_4_24">NA()</definedName>
    <definedName name="ChangeBy_4_24_3">NA()</definedName>
    <definedName name="ChangeBy_4_24_3_5">#REF!</definedName>
    <definedName name="ChangeBy_4_24_5">#REF!</definedName>
    <definedName name="ChangeBy_4_25">NA()</definedName>
    <definedName name="ChangeBy_4_25_3">NA()</definedName>
    <definedName name="ChangeBy_4_25_3_5">#REF!</definedName>
    <definedName name="ChangeBy_4_25_5">#REF!</definedName>
    <definedName name="ChangeBy_4_26">NA()</definedName>
    <definedName name="ChangeBy_4_26_3">NA()</definedName>
    <definedName name="ChangeBy_4_26_3_5">#REF!</definedName>
    <definedName name="ChangeBy_4_26_5">#REF!</definedName>
    <definedName name="ChangeBy_4_27">NA()</definedName>
    <definedName name="ChangeBy_4_27_3">NA()</definedName>
    <definedName name="ChangeBy_4_27_3_5">#REF!</definedName>
    <definedName name="ChangeBy_4_27_5">#REF!</definedName>
    <definedName name="ChangeBy_4_28">NA()</definedName>
    <definedName name="ChangeBy_4_28_3">NA()</definedName>
    <definedName name="ChangeBy_4_28_3_5">#REF!</definedName>
    <definedName name="ChangeBy_4_28_5">#REF!</definedName>
    <definedName name="ChangeBy_4_5">#REF!</definedName>
    <definedName name="ChangeBy_4_6">NA()</definedName>
    <definedName name="ChangeBy_4_6_3">NA()</definedName>
    <definedName name="ChangeBy_4_6_3_5">#REF!</definedName>
    <definedName name="ChangeBy_4_6_5">#REF!</definedName>
    <definedName name="ChangeBy_4_7">NA()</definedName>
    <definedName name="ChangeBy_4_7_3">NA()</definedName>
    <definedName name="ChangeBy_4_7_3_5">#REF!</definedName>
    <definedName name="ChangeBy_4_7_5">#REF!</definedName>
    <definedName name="ChangeBy_4_8">NA()</definedName>
    <definedName name="ChangeBy_4_8_3">NA()</definedName>
    <definedName name="ChangeBy_4_8_3_5">#REF!</definedName>
    <definedName name="ChangeBy_4_8_5">#REF!</definedName>
    <definedName name="ChangeBy_4_9">NA()</definedName>
    <definedName name="ChangeBy_4_9_3">NA()</definedName>
    <definedName name="ChangeBy_4_9_3_5">#REF!</definedName>
    <definedName name="ChangeBy_4_9_5">#REF!</definedName>
    <definedName name="ChangeBy_5">#REF!</definedName>
    <definedName name="ChangeBy_5_1">NA()</definedName>
    <definedName name="ChangeBy_5_17">NA()</definedName>
    <definedName name="ChangeBy_5_17_3">NA()</definedName>
    <definedName name="ChangeBy_5_17_3_5">#REF!</definedName>
    <definedName name="ChangeBy_5_17_5">#REF!</definedName>
    <definedName name="ChangeBy_5_28">NA()</definedName>
    <definedName name="ChangeBy_5_28_3">NA()</definedName>
    <definedName name="ChangeBy_5_28_3_5">#REF!</definedName>
    <definedName name="ChangeBy_5_28_5">#REF!</definedName>
    <definedName name="ChangeBy_5_3">NA()</definedName>
    <definedName name="ChangeBy_5_3_5">#REF!</definedName>
    <definedName name="ChangeBy_5_5">#REF!</definedName>
    <definedName name="ChangeBy_5_6">NA()</definedName>
    <definedName name="ChangeBy_5_6_3">NA()</definedName>
    <definedName name="ChangeBy_5_6_3_5">#REF!</definedName>
    <definedName name="ChangeBy_5_6_5">#REF!</definedName>
    <definedName name="ChangeBy_6">NA()</definedName>
    <definedName name="ChangeBy_6_1">NA()</definedName>
    <definedName name="ChangeBy_6_1_5">#REF!</definedName>
    <definedName name="ChangeBy_6_10">NA()</definedName>
    <definedName name="ChangeBy_6_10_3">NA()</definedName>
    <definedName name="ChangeBy_6_10_3_5">#REF!</definedName>
    <definedName name="ChangeBy_6_10_5">#REF!</definedName>
    <definedName name="ChangeBy_6_12">NA()</definedName>
    <definedName name="ChangeBy_6_12_3">NA()</definedName>
    <definedName name="ChangeBy_6_12_3_5">#REF!</definedName>
    <definedName name="ChangeBy_6_12_5">#REF!</definedName>
    <definedName name="ChangeBy_6_13">NA()</definedName>
    <definedName name="ChangeBy_6_13_3">NA()</definedName>
    <definedName name="ChangeBy_6_13_3_5">#REF!</definedName>
    <definedName name="ChangeBy_6_13_5">#REF!</definedName>
    <definedName name="ChangeBy_6_14">NA()</definedName>
    <definedName name="ChangeBy_6_14_3">NA()</definedName>
    <definedName name="ChangeBy_6_14_3_5">#REF!</definedName>
    <definedName name="ChangeBy_6_14_5">#REF!</definedName>
    <definedName name="ChangeBy_6_15">NA()</definedName>
    <definedName name="ChangeBy_6_15_3">NA()</definedName>
    <definedName name="ChangeBy_6_15_3_5">#REF!</definedName>
    <definedName name="ChangeBy_6_15_5">#REF!</definedName>
    <definedName name="ChangeBy_6_16">NA()</definedName>
    <definedName name="ChangeBy_6_16_3">NA()</definedName>
    <definedName name="ChangeBy_6_16_3_5">#REF!</definedName>
    <definedName name="ChangeBy_6_16_5">#REF!</definedName>
    <definedName name="ChangeBy_6_17">NA()</definedName>
    <definedName name="ChangeBy_6_17_3">NA()</definedName>
    <definedName name="ChangeBy_6_17_3_5">#REF!</definedName>
    <definedName name="ChangeBy_6_17_5">#REF!</definedName>
    <definedName name="ChangeBy_6_18">NA()</definedName>
    <definedName name="ChangeBy_6_18_1">NA()</definedName>
    <definedName name="ChangeBy_6_18_1_5">#REF!</definedName>
    <definedName name="ChangeBy_6_18_5">#REF!</definedName>
    <definedName name="ChangeBy_6_19">NA()</definedName>
    <definedName name="ChangeBy_6_19_5">#REF!</definedName>
    <definedName name="ChangeBy_6_20">NA()</definedName>
    <definedName name="ChangeBy_6_20_3">NA()</definedName>
    <definedName name="ChangeBy_6_20_3_5">#REF!</definedName>
    <definedName name="ChangeBy_6_20_5">#REF!</definedName>
    <definedName name="ChangeBy_6_21">NA()</definedName>
    <definedName name="ChangeBy_6_21_1">NA()</definedName>
    <definedName name="ChangeBy_6_21_1_3">NA()</definedName>
    <definedName name="ChangeBy_6_21_1_3_5">#REF!</definedName>
    <definedName name="ChangeBy_6_21_1_5">#REF!</definedName>
    <definedName name="ChangeBy_6_21_5">#REF!</definedName>
    <definedName name="ChangeBy_6_22">NA()</definedName>
    <definedName name="ChangeBy_6_22_3">NA()</definedName>
    <definedName name="ChangeBy_6_22_3_5">#REF!</definedName>
    <definedName name="ChangeBy_6_22_5">#REF!</definedName>
    <definedName name="ChangeBy_6_23">NA()</definedName>
    <definedName name="ChangeBy_6_23_3">NA()</definedName>
    <definedName name="ChangeBy_6_23_3_5">#REF!</definedName>
    <definedName name="ChangeBy_6_23_5">#REF!</definedName>
    <definedName name="ChangeBy_6_24">NA()</definedName>
    <definedName name="ChangeBy_6_24_3">NA()</definedName>
    <definedName name="ChangeBy_6_24_3_5">#REF!</definedName>
    <definedName name="ChangeBy_6_24_5">#REF!</definedName>
    <definedName name="ChangeBy_6_25">NA()</definedName>
    <definedName name="ChangeBy_6_25_3">NA()</definedName>
    <definedName name="ChangeBy_6_25_3_5">#REF!</definedName>
    <definedName name="ChangeBy_6_25_5">#REF!</definedName>
    <definedName name="ChangeBy_6_26">NA()</definedName>
    <definedName name="ChangeBy_6_26_3">NA()</definedName>
    <definedName name="ChangeBy_6_26_3_5">#REF!</definedName>
    <definedName name="ChangeBy_6_26_5">#REF!</definedName>
    <definedName name="ChangeBy_6_27">NA()</definedName>
    <definedName name="ChangeBy_6_27_3">NA()</definedName>
    <definedName name="ChangeBy_6_27_3_5">#REF!</definedName>
    <definedName name="ChangeBy_6_27_5">#REF!</definedName>
    <definedName name="ChangeBy_6_28">NA()</definedName>
    <definedName name="ChangeBy_6_28_3">NA()</definedName>
    <definedName name="ChangeBy_6_28_3_5">#REF!</definedName>
    <definedName name="ChangeBy_6_28_5">#REF!</definedName>
    <definedName name="ChangeBy_6_5">#REF!</definedName>
    <definedName name="ChangeBy_6_6">NA()</definedName>
    <definedName name="ChangeBy_6_6_3">NA()</definedName>
    <definedName name="ChangeBy_6_6_3_5">#REF!</definedName>
    <definedName name="ChangeBy_6_6_5">#REF!</definedName>
    <definedName name="ChangeBy_6_7">NA()</definedName>
    <definedName name="ChangeBy_6_7_3">NA()</definedName>
    <definedName name="ChangeBy_6_7_3_5">#REF!</definedName>
    <definedName name="ChangeBy_6_7_5">#REF!</definedName>
    <definedName name="ChangeBy_6_8">NA()</definedName>
    <definedName name="ChangeBy_6_8_3">NA()</definedName>
    <definedName name="ChangeBy_6_8_3_5">#REF!</definedName>
    <definedName name="ChangeBy_6_8_5">#REF!</definedName>
    <definedName name="ChangeBy_6_9">NA()</definedName>
    <definedName name="ChangeBy_6_9_1">NA()</definedName>
    <definedName name="ChangeBy_6_9_1_1">NA()</definedName>
    <definedName name="ChangeBy_6_9_1_1_3">NA()</definedName>
    <definedName name="ChangeBy_6_9_1_1_3_5">#REF!</definedName>
    <definedName name="ChangeBy_6_9_1_1_5">#REF!</definedName>
    <definedName name="ChangeBy_6_9_1_3">NA()</definedName>
    <definedName name="ChangeBy_6_9_1_3_5">#REF!</definedName>
    <definedName name="ChangeBy_6_9_1_5">#REF!</definedName>
    <definedName name="ChangeBy_6_9_5">#REF!</definedName>
    <definedName name="ChangeBy_7">NA()</definedName>
    <definedName name="ChangeBy_7_5">#REF!</definedName>
    <definedName name="ChangeBy_8">NA()</definedName>
    <definedName name="ChangeBy_8_3">NA()</definedName>
    <definedName name="ChangeBy_8_3_5">#REF!</definedName>
    <definedName name="ChangeBy_8_5">#REF!</definedName>
    <definedName name="ChangeBy_9">NA()</definedName>
    <definedName name="ChangeBy_9_3">NA()</definedName>
    <definedName name="ChangeBy_9_3_5">#REF!</definedName>
    <definedName name="ChangeBy_9_5">#REF!</definedName>
    <definedName name="ChangeDate">NA()</definedName>
    <definedName name="ChangeDate_1">NA()</definedName>
    <definedName name="ChangeDate_1_3">NA()</definedName>
    <definedName name="ChangeDate_1_3_5">#REF!</definedName>
    <definedName name="ChangeDate_1_5">#REF!</definedName>
    <definedName name="ChangeDate_10">NA()</definedName>
    <definedName name="ChangeDate_10_1">NA()</definedName>
    <definedName name="ChangeDate_10_1_3">NA()</definedName>
    <definedName name="ChangeDate_10_1_3_5">#REF!</definedName>
    <definedName name="ChangeDate_10_1_5">#REF!</definedName>
    <definedName name="ChangeDate_10_17">NA()</definedName>
    <definedName name="ChangeDate_10_17_3">NA()</definedName>
    <definedName name="ChangeDate_10_17_3_5">#REF!</definedName>
    <definedName name="ChangeDate_10_17_5">#REF!</definedName>
    <definedName name="ChangeDate_10_5">#REF!</definedName>
    <definedName name="ChangeDate_11">NA()</definedName>
    <definedName name="ChangeDate_11_1">NA()</definedName>
    <definedName name="ChangeDate_11_1_5">#REF!</definedName>
    <definedName name="ChangeDate_11_5">#REF!</definedName>
    <definedName name="ChangeDate_12">NA()</definedName>
    <definedName name="ChangeDate_12_3">NA()</definedName>
    <definedName name="ChangeDate_12_3_5">#REF!</definedName>
    <definedName name="ChangeDate_12_5">#REF!</definedName>
    <definedName name="ChangeDate_13">NA()</definedName>
    <definedName name="ChangeDate_13_3">NA()</definedName>
    <definedName name="ChangeDate_13_3_5">#REF!</definedName>
    <definedName name="ChangeDate_13_5">#REF!</definedName>
    <definedName name="ChangeDate_14">NA()</definedName>
    <definedName name="ChangeDate_14_5">#REF!</definedName>
    <definedName name="ChangeDate_15">NA()</definedName>
    <definedName name="ChangeDate_15_1">NA()</definedName>
    <definedName name="ChangeDate_15_1_3">NA()</definedName>
    <definedName name="ChangeDate_15_1_3_5">#REF!</definedName>
    <definedName name="ChangeDate_15_1_5">#REF!</definedName>
    <definedName name="ChangeDate_15_3">NA()</definedName>
    <definedName name="ChangeDate_15_3_5">#REF!</definedName>
    <definedName name="ChangeDate_15_5">#REF!</definedName>
    <definedName name="ChangeDate_16">NA()</definedName>
    <definedName name="ChangeDate_16_1">NA()</definedName>
    <definedName name="ChangeDate_16_1_3">NA()</definedName>
    <definedName name="ChangeDate_16_1_3_5">#REF!</definedName>
    <definedName name="ChangeDate_16_1_5">#REF!</definedName>
    <definedName name="ChangeDate_16_3">NA()</definedName>
    <definedName name="ChangeDate_16_3_5">#REF!</definedName>
    <definedName name="ChangeDate_16_5">#REF!</definedName>
    <definedName name="ChangeDate_17">NA()</definedName>
    <definedName name="ChangeDate_17_1">NA()</definedName>
    <definedName name="ChangeDate_17_1_5">#REF!</definedName>
    <definedName name="ChangeDate_17_3">NA()</definedName>
    <definedName name="ChangeDate_17_3_5">#REF!</definedName>
    <definedName name="ChangeDate_17_5">#REF!</definedName>
    <definedName name="ChangeDate_18">NA()</definedName>
    <definedName name="ChangeDate_18_1">NA()</definedName>
    <definedName name="ChangeDate_18_1_5">#REF!</definedName>
    <definedName name="ChangeDate_18_5">#REF!</definedName>
    <definedName name="ChangeDate_19">NA()</definedName>
    <definedName name="ChangeDate_19_1">NA()</definedName>
    <definedName name="ChangeDate_19_1_5">#REF!</definedName>
    <definedName name="ChangeDate_19_5">#REF!</definedName>
    <definedName name="ChangeDate_2">NA()</definedName>
    <definedName name="ChangeDate_2_5">#REF!</definedName>
    <definedName name="ChangeDate_20">NA()</definedName>
    <definedName name="ChangeDate_20_1">NA()</definedName>
    <definedName name="ChangeDate_20_1_3">NA()</definedName>
    <definedName name="ChangeDate_20_1_3_5">#REF!</definedName>
    <definedName name="ChangeDate_20_1_5">#REF!</definedName>
    <definedName name="ChangeDate_20_5">#REF!</definedName>
    <definedName name="ChangeDate_21">NA()</definedName>
    <definedName name="ChangeDate_21_1">NA()</definedName>
    <definedName name="ChangeDate_21_1_1">NA()</definedName>
    <definedName name="ChangeDate_21_1_1_3">NA()</definedName>
    <definedName name="ChangeDate_21_1_1_3_5">#REF!</definedName>
    <definedName name="ChangeDate_21_1_1_5">#REF!</definedName>
    <definedName name="ChangeDate_21_1_3">NA()</definedName>
    <definedName name="ChangeDate_21_1_3_5">#REF!</definedName>
    <definedName name="ChangeDate_21_1_5">#REF!</definedName>
    <definedName name="ChangeDate_21_5">#REF!</definedName>
    <definedName name="ChangeDate_22">NA()</definedName>
    <definedName name="ChangeDate_22_3">NA()</definedName>
    <definedName name="ChangeDate_22_3_5">#REF!</definedName>
    <definedName name="ChangeDate_22_5">#REF!</definedName>
    <definedName name="ChangeDate_23">NA()</definedName>
    <definedName name="ChangeDate_23_3">NA()</definedName>
    <definedName name="ChangeDate_23_3_5">#REF!</definedName>
    <definedName name="ChangeDate_23_5">#REF!</definedName>
    <definedName name="ChangeDate_24">NA()</definedName>
    <definedName name="ChangeDate_24_3">NA()</definedName>
    <definedName name="ChangeDate_24_3_5">#REF!</definedName>
    <definedName name="ChangeDate_24_5">#REF!</definedName>
    <definedName name="ChangeDate_25">NA()</definedName>
    <definedName name="ChangeDate_25_3">NA()</definedName>
    <definedName name="ChangeDate_25_3_5">#REF!</definedName>
    <definedName name="ChangeDate_25_5">#REF!</definedName>
    <definedName name="ChangeDate_26">NA()</definedName>
    <definedName name="ChangeDate_26_1">NA()</definedName>
    <definedName name="ChangeDate_26_1_3">NA()</definedName>
    <definedName name="ChangeDate_26_1_3_5">#REF!</definedName>
    <definedName name="ChangeDate_26_1_5">#REF!</definedName>
    <definedName name="ChangeDate_26_3">NA()</definedName>
    <definedName name="ChangeDate_26_3_5">#REF!</definedName>
    <definedName name="ChangeDate_26_5">#REF!</definedName>
    <definedName name="ChangeDate_27">NA()</definedName>
    <definedName name="ChangeDate_27_1">NA()</definedName>
    <definedName name="ChangeDate_27_1_3">NA()</definedName>
    <definedName name="ChangeDate_27_1_3_5">#REF!</definedName>
    <definedName name="ChangeDate_27_1_5">#REF!</definedName>
    <definedName name="ChangeDate_27_3">NA()</definedName>
    <definedName name="ChangeDate_27_3_5">#REF!</definedName>
    <definedName name="ChangeDate_27_5">#REF!</definedName>
    <definedName name="ChangeDate_28">NA()</definedName>
    <definedName name="ChangeDate_28_1">NA()</definedName>
    <definedName name="ChangeDate_28_1_3">NA()</definedName>
    <definedName name="ChangeDate_28_1_3_5">#REF!</definedName>
    <definedName name="ChangeDate_28_1_5">#REF!</definedName>
    <definedName name="ChangeDate_28_3">NA()</definedName>
    <definedName name="ChangeDate_28_3_5">#REF!</definedName>
    <definedName name="ChangeDate_28_5">#REF!</definedName>
    <definedName name="ChangeDate_29">NA()</definedName>
    <definedName name="ChangeDate_29_3">NA()</definedName>
    <definedName name="ChangeDate_29_3_5">#REF!</definedName>
    <definedName name="ChangeDate_29_5">#REF!</definedName>
    <definedName name="ChangeDate_3">NA()</definedName>
    <definedName name="ChangeDate_3_5">#REF!</definedName>
    <definedName name="ChangeDate_4">NA()</definedName>
    <definedName name="ChangeDate_4_1">NA()</definedName>
    <definedName name="ChangeDate_4_1_1">NA()</definedName>
    <definedName name="ChangeDate_4_1_1_1">NA()</definedName>
    <definedName name="ChangeDate_4_1_1_1_1">NA()</definedName>
    <definedName name="ChangeDate_4_1_1_1_1_1">NA()</definedName>
    <definedName name="ChangeDate_4_1_1_1_1_1_5">#REF!</definedName>
    <definedName name="ChangeDate_4_1_1_1_1_3">NA()</definedName>
    <definedName name="ChangeDate_4_1_1_1_1_3_5">#REF!</definedName>
    <definedName name="ChangeDate_4_1_1_1_1_5">#REF!</definedName>
    <definedName name="ChangeDate_4_1_1_1_3">NA()</definedName>
    <definedName name="ChangeDate_4_1_1_1_3_1">NA()</definedName>
    <definedName name="ChangeDate_4_1_1_1_3_1_5">#REF!</definedName>
    <definedName name="ChangeDate_4_1_1_1_3_5">#REF!</definedName>
    <definedName name="ChangeDate_4_1_1_1_5">#REF!</definedName>
    <definedName name="ChangeDate_4_1_1_3">NA()</definedName>
    <definedName name="ChangeDate_4_1_1_3_5">#REF!</definedName>
    <definedName name="ChangeDate_4_1_1_5">#REF!</definedName>
    <definedName name="ChangeDate_4_1_17">NA()</definedName>
    <definedName name="ChangeDate_4_1_17_3">NA()</definedName>
    <definedName name="ChangeDate_4_1_17_3_5">#REF!</definedName>
    <definedName name="ChangeDate_4_1_17_5">#REF!</definedName>
    <definedName name="ChangeDate_4_1_28">NA()</definedName>
    <definedName name="ChangeDate_4_1_28_3">NA()</definedName>
    <definedName name="ChangeDate_4_1_28_3_5">#REF!</definedName>
    <definedName name="ChangeDate_4_1_28_5">#REF!</definedName>
    <definedName name="ChangeDate_4_1_5">#REF!</definedName>
    <definedName name="ChangeDate_4_1_6">NA()</definedName>
    <definedName name="ChangeDate_4_1_6_3">NA()</definedName>
    <definedName name="ChangeDate_4_1_6_3_5">#REF!</definedName>
    <definedName name="ChangeDate_4_1_6_5">#REF!</definedName>
    <definedName name="ChangeDate_4_10">NA()</definedName>
    <definedName name="ChangeDate_4_10_3">NA()</definedName>
    <definedName name="ChangeDate_4_10_3_5">#REF!</definedName>
    <definedName name="ChangeDate_4_10_5">#REF!</definedName>
    <definedName name="ChangeDate_4_12">NA()</definedName>
    <definedName name="ChangeDate_4_12_3">NA()</definedName>
    <definedName name="ChangeDate_4_12_3_5">#REF!</definedName>
    <definedName name="ChangeDate_4_12_5">#REF!</definedName>
    <definedName name="ChangeDate_4_13">NA()</definedName>
    <definedName name="ChangeDate_4_13_3">NA()</definedName>
    <definedName name="ChangeDate_4_13_3_5">#REF!</definedName>
    <definedName name="ChangeDate_4_13_5">#REF!</definedName>
    <definedName name="ChangeDate_4_14">NA()</definedName>
    <definedName name="ChangeDate_4_14_3">NA()</definedName>
    <definedName name="ChangeDate_4_14_3_5">#REF!</definedName>
    <definedName name="ChangeDate_4_14_5">#REF!</definedName>
    <definedName name="ChangeDate_4_15">NA()</definedName>
    <definedName name="ChangeDate_4_15_3">NA()</definedName>
    <definedName name="ChangeDate_4_15_3_5">#REF!</definedName>
    <definedName name="ChangeDate_4_15_5">#REF!</definedName>
    <definedName name="ChangeDate_4_16">NA()</definedName>
    <definedName name="ChangeDate_4_16_3">NA()</definedName>
    <definedName name="ChangeDate_4_16_3_5">#REF!</definedName>
    <definedName name="ChangeDate_4_16_5">#REF!</definedName>
    <definedName name="ChangeDate_4_17">NA()</definedName>
    <definedName name="ChangeDate_4_17_3">NA()</definedName>
    <definedName name="ChangeDate_4_17_3_5">#REF!</definedName>
    <definedName name="ChangeDate_4_17_5">#REF!</definedName>
    <definedName name="ChangeDate_4_18">NA()</definedName>
    <definedName name="ChangeDate_4_18_1">NA()</definedName>
    <definedName name="ChangeDate_4_18_1_5">#REF!</definedName>
    <definedName name="ChangeDate_4_18_5">#REF!</definedName>
    <definedName name="ChangeDate_4_19">NA()</definedName>
    <definedName name="ChangeDate_4_19_5">#REF!</definedName>
    <definedName name="ChangeDate_4_20">NA()</definedName>
    <definedName name="ChangeDate_4_20_3">NA()</definedName>
    <definedName name="ChangeDate_4_20_3_5">#REF!</definedName>
    <definedName name="ChangeDate_4_20_5">#REF!</definedName>
    <definedName name="ChangeDate_4_21">NA()</definedName>
    <definedName name="ChangeDate_4_21_1">NA()</definedName>
    <definedName name="ChangeDate_4_21_1_3">NA()</definedName>
    <definedName name="ChangeDate_4_21_1_3_5">#REF!</definedName>
    <definedName name="ChangeDate_4_21_1_5">#REF!</definedName>
    <definedName name="ChangeDate_4_21_5">#REF!</definedName>
    <definedName name="ChangeDate_4_22">NA()</definedName>
    <definedName name="ChangeDate_4_22_3">NA()</definedName>
    <definedName name="ChangeDate_4_22_3_5">#REF!</definedName>
    <definedName name="ChangeDate_4_22_5">#REF!</definedName>
    <definedName name="ChangeDate_4_23">NA()</definedName>
    <definedName name="ChangeDate_4_23_3">NA()</definedName>
    <definedName name="ChangeDate_4_23_3_5">#REF!</definedName>
    <definedName name="ChangeDate_4_23_5">#REF!</definedName>
    <definedName name="ChangeDate_4_24">NA()</definedName>
    <definedName name="ChangeDate_4_24_3">NA()</definedName>
    <definedName name="ChangeDate_4_24_3_5">#REF!</definedName>
    <definedName name="ChangeDate_4_24_5">#REF!</definedName>
    <definedName name="ChangeDate_4_25">NA()</definedName>
    <definedName name="ChangeDate_4_25_3">NA()</definedName>
    <definedName name="ChangeDate_4_25_3_5">#REF!</definedName>
    <definedName name="ChangeDate_4_25_5">#REF!</definedName>
    <definedName name="ChangeDate_4_26">NA()</definedName>
    <definedName name="ChangeDate_4_26_3">NA()</definedName>
    <definedName name="ChangeDate_4_26_3_5">#REF!</definedName>
    <definedName name="ChangeDate_4_26_5">#REF!</definedName>
    <definedName name="ChangeDate_4_27">NA()</definedName>
    <definedName name="ChangeDate_4_27_3">NA()</definedName>
    <definedName name="ChangeDate_4_27_3_5">#REF!</definedName>
    <definedName name="ChangeDate_4_27_5">#REF!</definedName>
    <definedName name="ChangeDate_4_28">NA()</definedName>
    <definedName name="ChangeDate_4_28_3">NA()</definedName>
    <definedName name="ChangeDate_4_28_3_5">#REF!</definedName>
    <definedName name="ChangeDate_4_28_5">#REF!</definedName>
    <definedName name="ChangeDate_4_5">#REF!</definedName>
    <definedName name="ChangeDate_4_6">NA()</definedName>
    <definedName name="ChangeDate_4_6_3">NA()</definedName>
    <definedName name="ChangeDate_4_6_3_5">#REF!</definedName>
    <definedName name="ChangeDate_4_6_5">#REF!</definedName>
    <definedName name="ChangeDate_4_7">NA()</definedName>
    <definedName name="ChangeDate_4_7_3">NA()</definedName>
    <definedName name="ChangeDate_4_7_3_5">#REF!</definedName>
    <definedName name="ChangeDate_4_7_5">#REF!</definedName>
    <definedName name="ChangeDate_4_8">NA()</definedName>
    <definedName name="ChangeDate_4_8_3">NA()</definedName>
    <definedName name="ChangeDate_4_8_3_5">#REF!</definedName>
    <definedName name="ChangeDate_4_8_5">#REF!</definedName>
    <definedName name="ChangeDate_4_9">NA()</definedName>
    <definedName name="ChangeDate_4_9_3">NA()</definedName>
    <definedName name="ChangeDate_4_9_3_5">#REF!</definedName>
    <definedName name="ChangeDate_4_9_5">#REF!</definedName>
    <definedName name="ChangeDate_5">#REF!</definedName>
    <definedName name="ChangeDate_5_1">NA()</definedName>
    <definedName name="ChangeDate_5_17">NA()</definedName>
    <definedName name="ChangeDate_5_17_3">NA()</definedName>
    <definedName name="ChangeDate_5_17_3_5">#REF!</definedName>
    <definedName name="ChangeDate_5_17_5">#REF!</definedName>
    <definedName name="ChangeDate_5_28">NA()</definedName>
    <definedName name="ChangeDate_5_28_3">NA()</definedName>
    <definedName name="ChangeDate_5_28_3_5">#REF!</definedName>
    <definedName name="ChangeDate_5_28_5">#REF!</definedName>
    <definedName name="ChangeDate_5_3">NA()</definedName>
    <definedName name="ChangeDate_5_3_5">#REF!</definedName>
    <definedName name="ChangeDate_5_5">#REF!</definedName>
    <definedName name="ChangeDate_5_6">NA()</definedName>
    <definedName name="ChangeDate_5_6_3">NA()</definedName>
    <definedName name="ChangeDate_5_6_3_5">#REF!</definedName>
    <definedName name="ChangeDate_5_6_5">#REF!</definedName>
    <definedName name="ChangeDate_6">NA()</definedName>
    <definedName name="ChangeDate_6_1">NA()</definedName>
    <definedName name="ChangeDate_6_1_5">#REF!</definedName>
    <definedName name="ChangeDate_6_10">NA()</definedName>
    <definedName name="ChangeDate_6_10_3">NA()</definedName>
    <definedName name="ChangeDate_6_10_3_5">#REF!</definedName>
    <definedName name="ChangeDate_6_10_5">#REF!</definedName>
    <definedName name="ChangeDate_6_12">NA()</definedName>
    <definedName name="ChangeDate_6_12_3">NA()</definedName>
    <definedName name="ChangeDate_6_12_3_5">#REF!</definedName>
    <definedName name="ChangeDate_6_12_5">#REF!</definedName>
    <definedName name="ChangeDate_6_13">NA()</definedName>
    <definedName name="ChangeDate_6_13_3">NA()</definedName>
    <definedName name="ChangeDate_6_13_3_5">#REF!</definedName>
    <definedName name="ChangeDate_6_13_5">#REF!</definedName>
    <definedName name="ChangeDate_6_14">NA()</definedName>
    <definedName name="ChangeDate_6_14_3">NA()</definedName>
    <definedName name="ChangeDate_6_14_3_5">#REF!</definedName>
    <definedName name="ChangeDate_6_14_5">#REF!</definedName>
    <definedName name="ChangeDate_6_15">NA()</definedName>
    <definedName name="ChangeDate_6_15_3">NA()</definedName>
    <definedName name="ChangeDate_6_15_3_5">#REF!</definedName>
    <definedName name="ChangeDate_6_15_5">#REF!</definedName>
    <definedName name="ChangeDate_6_16">NA()</definedName>
    <definedName name="ChangeDate_6_16_3">NA()</definedName>
    <definedName name="ChangeDate_6_16_3_5">#REF!</definedName>
    <definedName name="ChangeDate_6_16_5">#REF!</definedName>
    <definedName name="ChangeDate_6_17">NA()</definedName>
    <definedName name="ChangeDate_6_17_3">NA()</definedName>
    <definedName name="ChangeDate_6_17_3_5">#REF!</definedName>
    <definedName name="ChangeDate_6_17_5">#REF!</definedName>
    <definedName name="ChangeDate_6_18">NA()</definedName>
    <definedName name="ChangeDate_6_18_1">NA()</definedName>
    <definedName name="ChangeDate_6_18_1_5">#REF!</definedName>
    <definedName name="ChangeDate_6_18_5">#REF!</definedName>
    <definedName name="ChangeDate_6_19">NA()</definedName>
    <definedName name="ChangeDate_6_19_5">#REF!</definedName>
    <definedName name="ChangeDate_6_20">NA()</definedName>
    <definedName name="ChangeDate_6_20_3">NA()</definedName>
    <definedName name="ChangeDate_6_20_3_5">#REF!</definedName>
    <definedName name="ChangeDate_6_20_5">#REF!</definedName>
    <definedName name="ChangeDate_6_21">NA()</definedName>
    <definedName name="ChangeDate_6_21_1">NA()</definedName>
    <definedName name="ChangeDate_6_21_1_3">NA()</definedName>
    <definedName name="ChangeDate_6_21_1_3_5">#REF!</definedName>
    <definedName name="ChangeDate_6_21_1_5">#REF!</definedName>
    <definedName name="ChangeDate_6_21_5">#REF!</definedName>
    <definedName name="ChangeDate_6_22">NA()</definedName>
    <definedName name="ChangeDate_6_22_3">NA()</definedName>
    <definedName name="ChangeDate_6_22_3_5">#REF!</definedName>
    <definedName name="ChangeDate_6_22_5">#REF!</definedName>
    <definedName name="ChangeDate_6_23">NA()</definedName>
    <definedName name="ChangeDate_6_23_3">NA()</definedName>
    <definedName name="ChangeDate_6_23_3_5">#REF!</definedName>
    <definedName name="ChangeDate_6_23_5">#REF!</definedName>
    <definedName name="ChangeDate_6_24">NA()</definedName>
    <definedName name="ChangeDate_6_24_3">NA()</definedName>
    <definedName name="ChangeDate_6_24_3_5">#REF!</definedName>
    <definedName name="ChangeDate_6_24_5">#REF!</definedName>
    <definedName name="ChangeDate_6_25">NA()</definedName>
    <definedName name="ChangeDate_6_25_3">NA()</definedName>
    <definedName name="ChangeDate_6_25_3_5">#REF!</definedName>
    <definedName name="ChangeDate_6_25_5">#REF!</definedName>
    <definedName name="ChangeDate_6_26">NA()</definedName>
    <definedName name="ChangeDate_6_26_3">NA()</definedName>
    <definedName name="ChangeDate_6_26_3_5">#REF!</definedName>
    <definedName name="ChangeDate_6_26_5">#REF!</definedName>
    <definedName name="ChangeDate_6_27">NA()</definedName>
    <definedName name="ChangeDate_6_27_3">NA()</definedName>
    <definedName name="ChangeDate_6_27_3_5">#REF!</definedName>
    <definedName name="ChangeDate_6_27_5">#REF!</definedName>
    <definedName name="ChangeDate_6_28">NA()</definedName>
    <definedName name="ChangeDate_6_28_3">NA()</definedName>
    <definedName name="ChangeDate_6_28_3_5">#REF!</definedName>
    <definedName name="ChangeDate_6_28_5">#REF!</definedName>
    <definedName name="ChangeDate_6_5">#REF!</definedName>
    <definedName name="ChangeDate_6_6">NA()</definedName>
    <definedName name="ChangeDate_6_6_3">NA()</definedName>
    <definedName name="ChangeDate_6_6_3_5">#REF!</definedName>
    <definedName name="ChangeDate_6_6_5">#REF!</definedName>
    <definedName name="ChangeDate_6_7">NA()</definedName>
    <definedName name="ChangeDate_6_7_3">NA()</definedName>
    <definedName name="ChangeDate_6_7_3_5">#REF!</definedName>
    <definedName name="ChangeDate_6_7_5">#REF!</definedName>
    <definedName name="ChangeDate_6_8">NA()</definedName>
    <definedName name="ChangeDate_6_8_3">NA()</definedName>
    <definedName name="ChangeDate_6_8_3_5">#REF!</definedName>
    <definedName name="ChangeDate_6_8_5">#REF!</definedName>
    <definedName name="ChangeDate_6_9">NA()</definedName>
    <definedName name="ChangeDate_6_9_1">NA()</definedName>
    <definedName name="ChangeDate_6_9_1_1">NA()</definedName>
    <definedName name="ChangeDate_6_9_1_1_3">NA()</definedName>
    <definedName name="ChangeDate_6_9_1_1_3_5">#REF!</definedName>
    <definedName name="ChangeDate_6_9_1_1_5">#REF!</definedName>
    <definedName name="ChangeDate_6_9_1_3">NA()</definedName>
    <definedName name="ChangeDate_6_9_1_3_5">#REF!</definedName>
    <definedName name="ChangeDate_6_9_1_5">#REF!</definedName>
    <definedName name="ChangeDate_6_9_5">#REF!</definedName>
    <definedName name="ChangeDate_7">NA()</definedName>
    <definedName name="ChangeDate_7_5">#REF!</definedName>
    <definedName name="ChangeDate_8">NA()</definedName>
    <definedName name="ChangeDate_8_3">NA()</definedName>
    <definedName name="ChangeDate_8_3_5">#REF!</definedName>
    <definedName name="ChangeDate_8_5">#REF!</definedName>
    <definedName name="ChangeDate_9">NA()</definedName>
    <definedName name="ChangeDate_9_3">NA()</definedName>
    <definedName name="ChangeDate_9_3_5">#REF!</definedName>
    <definedName name="ChangeDate_9_5">#REF!</definedName>
    <definedName name="Channel_Shoulders">#REF!</definedName>
    <definedName name="checked">#REF!</definedName>
    <definedName name="chiller">NA()</definedName>
    <definedName name="chiller_1">NA()</definedName>
    <definedName name="chiller_1_5">#REF!</definedName>
    <definedName name="chiller_10">NA()</definedName>
    <definedName name="chiller_10_5">#REF!</definedName>
    <definedName name="chiller_12">NA()</definedName>
    <definedName name="chiller_12_5">#REF!</definedName>
    <definedName name="chiller_13">NA()</definedName>
    <definedName name="chiller_13_5">#REF!</definedName>
    <definedName name="chiller_14">NA()</definedName>
    <definedName name="chiller_14_5">#REF!</definedName>
    <definedName name="chiller_15">NA()</definedName>
    <definedName name="chiller_15_5">#REF!</definedName>
    <definedName name="chiller_16">NA()</definedName>
    <definedName name="chiller_16_5">#REF!</definedName>
    <definedName name="chiller_17">NA()</definedName>
    <definedName name="chiller_17_5">#REF!</definedName>
    <definedName name="chiller_18">NA()</definedName>
    <definedName name="chiller_18_5">#REF!</definedName>
    <definedName name="chiller_19">NA()</definedName>
    <definedName name="chiller_19_5">#REF!</definedName>
    <definedName name="chiller_20">NA()</definedName>
    <definedName name="chiller_20_5">#REF!</definedName>
    <definedName name="chiller_21">NA()</definedName>
    <definedName name="chiller_21_5">#REF!</definedName>
    <definedName name="chiller_22">NA()</definedName>
    <definedName name="chiller_22_5">#REF!</definedName>
    <definedName name="chiller_23">NA()</definedName>
    <definedName name="chiller_23_1">NA()</definedName>
    <definedName name="chiller_23_1_5">#REF!</definedName>
    <definedName name="chiller_23_17">NA()</definedName>
    <definedName name="chiller_23_17_5">#REF!</definedName>
    <definedName name="chiller_23_28">NA()</definedName>
    <definedName name="chiller_23_28_5">#REF!</definedName>
    <definedName name="chiller_23_5">#REF!</definedName>
    <definedName name="chiller_23_6">NA()</definedName>
    <definedName name="chiller_23_6_5">#REF!</definedName>
    <definedName name="chiller_24">NA()</definedName>
    <definedName name="chiller_24_5">#REF!</definedName>
    <definedName name="chiller_25">NA()</definedName>
    <definedName name="chiller_25_5">#REF!</definedName>
    <definedName name="chiller_26">NA()</definedName>
    <definedName name="chiller_26_5">#REF!</definedName>
    <definedName name="chiller_27">NA()</definedName>
    <definedName name="chiller_27_5">#REF!</definedName>
    <definedName name="chiller_28">NA()</definedName>
    <definedName name="chiller_28_5">#REF!</definedName>
    <definedName name="chiller_5">#REF!</definedName>
    <definedName name="chiller_6">NA()</definedName>
    <definedName name="chiller_6_5">#REF!</definedName>
    <definedName name="chiller_7">NA()</definedName>
    <definedName name="chiller_7_5">#REF!</definedName>
    <definedName name="chiller_8">NA()</definedName>
    <definedName name="chiller_8_5">#REF!</definedName>
    <definedName name="chiller_9">NA()</definedName>
    <definedName name="chiller_9_1">NA()</definedName>
    <definedName name="chiller_9_1_1">NA()</definedName>
    <definedName name="chiller_9_1_1_5">#REF!</definedName>
    <definedName name="chiller_9_1_5">#REF!</definedName>
    <definedName name="chiller_9_5">#REF!</definedName>
    <definedName name="chip_spreader">#REF!</definedName>
    <definedName name="chiseler">#REF!</definedName>
    <definedName name="CHOW">#REF!</definedName>
    <definedName name="ci">#REF!</definedName>
    <definedName name="ci_1">#REF!</definedName>
    <definedName name="ci_11">#REF!</definedName>
    <definedName name="ci_13">#REF!</definedName>
    <definedName name="ci_14">#REF!</definedName>
    <definedName name="ci_2">#REF!</definedName>
    <definedName name="ci_4">#REF!</definedName>
    <definedName name="ci_5">#REF!</definedName>
    <definedName name="ci_6">#REF!</definedName>
    <definedName name="ci_7">#REF!</definedName>
    <definedName name="ci_9">#REF!</definedName>
    <definedName name="CI_m">#REF!</definedName>
    <definedName name="ciff">NA()</definedName>
    <definedName name="ciff_1">NA()</definedName>
    <definedName name="ciff_1_5">#REF!</definedName>
    <definedName name="ciff_10">NA()</definedName>
    <definedName name="ciff_10_3">NA()</definedName>
    <definedName name="ciff_10_3_5">#REF!</definedName>
    <definedName name="ciff_10_5">#REF!</definedName>
    <definedName name="ciff_12">NA()</definedName>
    <definedName name="ciff_12_3">NA()</definedName>
    <definedName name="ciff_12_3_5">#REF!</definedName>
    <definedName name="ciff_12_5">#REF!</definedName>
    <definedName name="ciff_13">NA()</definedName>
    <definedName name="ciff_13_3">NA()</definedName>
    <definedName name="ciff_13_3_5">#REF!</definedName>
    <definedName name="ciff_13_5">#REF!</definedName>
    <definedName name="ciff_14">NA()</definedName>
    <definedName name="ciff_14_3">NA()</definedName>
    <definedName name="ciff_14_3_5">#REF!</definedName>
    <definedName name="ciff_14_5">#REF!</definedName>
    <definedName name="ciff_15">NA()</definedName>
    <definedName name="ciff_15_3">NA()</definedName>
    <definedName name="ciff_15_3_5">#REF!</definedName>
    <definedName name="ciff_15_5">#REF!</definedName>
    <definedName name="ciff_16">NA()</definedName>
    <definedName name="ciff_16_3">NA()</definedName>
    <definedName name="ciff_16_3_5">#REF!</definedName>
    <definedName name="ciff_16_5">#REF!</definedName>
    <definedName name="ciff_17">NA()</definedName>
    <definedName name="ciff_17_3">NA()</definedName>
    <definedName name="ciff_17_3_5">#REF!</definedName>
    <definedName name="ciff_17_5">#REF!</definedName>
    <definedName name="ciff_18">NA()</definedName>
    <definedName name="ciff_18_1">NA()</definedName>
    <definedName name="ciff_18_1_3">NA()</definedName>
    <definedName name="ciff_18_1_3_5">#REF!</definedName>
    <definedName name="ciff_18_1_5">#REF!</definedName>
    <definedName name="ciff_18_3">NA()</definedName>
    <definedName name="ciff_18_3_5">#REF!</definedName>
    <definedName name="ciff_18_5">#REF!</definedName>
    <definedName name="ciff_19">NA()</definedName>
    <definedName name="ciff_19_3">NA()</definedName>
    <definedName name="ciff_19_3_5">#REF!</definedName>
    <definedName name="ciff_19_5">#REF!</definedName>
    <definedName name="ciff_20">NA()</definedName>
    <definedName name="ciff_20_3">NA()</definedName>
    <definedName name="ciff_20_3_5">#REF!</definedName>
    <definedName name="ciff_20_5">#REF!</definedName>
    <definedName name="ciff_21">NA()</definedName>
    <definedName name="ciff_21_1">NA()</definedName>
    <definedName name="ciff_21_1_3">NA()</definedName>
    <definedName name="ciff_21_1_3_5">#REF!</definedName>
    <definedName name="ciff_21_1_5">#REF!</definedName>
    <definedName name="ciff_21_3">NA()</definedName>
    <definedName name="ciff_21_3_5">#REF!</definedName>
    <definedName name="ciff_21_5">#REF!</definedName>
    <definedName name="ciff_22">NA()</definedName>
    <definedName name="ciff_22_3">NA()</definedName>
    <definedName name="ciff_22_3_5">#REF!</definedName>
    <definedName name="ciff_22_5">#REF!</definedName>
    <definedName name="ciff_23">NA()</definedName>
    <definedName name="ciff_23_3">NA()</definedName>
    <definedName name="ciff_23_3_5">#REF!</definedName>
    <definedName name="ciff_23_5">#REF!</definedName>
    <definedName name="ciff_24">NA()</definedName>
    <definedName name="ciff_24_3">NA()</definedName>
    <definedName name="ciff_24_3_5">#REF!</definedName>
    <definedName name="ciff_24_5">#REF!</definedName>
    <definedName name="ciff_25">NA()</definedName>
    <definedName name="ciff_25_3">NA()</definedName>
    <definedName name="ciff_25_3_5">#REF!</definedName>
    <definedName name="ciff_25_5">#REF!</definedName>
    <definedName name="ciff_26">NA()</definedName>
    <definedName name="ciff_26_3">NA()</definedName>
    <definedName name="ciff_26_3_5">#REF!</definedName>
    <definedName name="ciff_26_5">#REF!</definedName>
    <definedName name="ciff_27">NA()</definedName>
    <definedName name="ciff_27_3">NA()</definedName>
    <definedName name="ciff_27_3_5">#REF!</definedName>
    <definedName name="ciff_27_5">#REF!</definedName>
    <definedName name="ciff_28">NA()</definedName>
    <definedName name="ciff_28_3">NA()</definedName>
    <definedName name="ciff_28_3_5">#REF!</definedName>
    <definedName name="ciff_28_5">#REF!</definedName>
    <definedName name="ciff_3">NA()</definedName>
    <definedName name="ciff_3_5">#REF!</definedName>
    <definedName name="ciff_5">#REF!</definedName>
    <definedName name="ciff_6">NA()</definedName>
    <definedName name="ciff_6_3">NA()</definedName>
    <definedName name="ciff_6_3_5">#REF!</definedName>
    <definedName name="ciff_6_5">#REF!</definedName>
    <definedName name="ciff_7">NA()</definedName>
    <definedName name="ciff_7_3">NA()</definedName>
    <definedName name="ciff_7_3_5">#REF!</definedName>
    <definedName name="ciff_7_5">#REF!</definedName>
    <definedName name="ciff_8">NA()</definedName>
    <definedName name="ciff_8_3">NA()</definedName>
    <definedName name="ciff_8_3_5">#REF!</definedName>
    <definedName name="ciff_8_5">#REF!</definedName>
    <definedName name="ciff_9">NA()</definedName>
    <definedName name="ciff_9_3">NA()</definedName>
    <definedName name="ciff_9_3_5">#REF!</definedName>
    <definedName name="ciff_9_5">#REF!</definedName>
    <definedName name="City">#REF!</definedName>
    <definedName name="CIV">'[14]CIVIL WORK'!#REF!</definedName>
    <definedName name="CIVIL">#REF!</definedName>
    <definedName name="CIVIL_WORKS">#REF!</definedName>
    <definedName name="ClientAddress1">#REF!</definedName>
    <definedName name="ClientAddress1_5">#REF!</definedName>
    <definedName name="ClientAddress2">#REF!</definedName>
    <definedName name="ClientAddress2_5">#REF!</definedName>
    <definedName name="ClientCity">NA()</definedName>
    <definedName name="ClientCity_5">#REF!</definedName>
    <definedName name="ClientCountry">NA()</definedName>
    <definedName name="ClientCountry_5">#REF!</definedName>
    <definedName name="ClientEmail">NA()</definedName>
    <definedName name="ClientEmail_5">#REF!</definedName>
    <definedName name="ClientFax">NA()</definedName>
    <definedName name="ClientFax_5">#REF!</definedName>
    <definedName name="ClientPhone">NA()</definedName>
    <definedName name="ClientPhone_5">#REF!</definedName>
    <definedName name="ClientState">NA()</definedName>
    <definedName name="ClientState_1">NA()</definedName>
    <definedName name="ClientState_1_5">#REF!</definedName>
    <definedName name="ClientState_5">#REF!</definedName>
    <definedName name="ClientZip">NA()</definedName>
    <definedName name="ClientZip_1">NA()</definedName>
    <definedName name="ClientZip_1_5">#REF!</definedName>
    <definedName name="ClientZip_5">#REF!</definedName>
    <definedName name="clintels">#REF!</definedName>
    <definedName name="clrf">NA()</definedName>
    <definedName name="clrf_1">NA()</definedName>
    <definedName name="clrf_1_5">#REF!</definedName>
    <definedName name="clrf_10">NA()</definedName>
    <definedName name="clrf_10_3">NA()</definedName>
    <definedName name="clrf_10_3_5">#REF!</definedName>
    <definedName name="clrf_10_5">#REF!</definedName>
    <definedName name="clrf_12">NA()</definedName>
    <definedName name="clrf_12_3">NA()</definedName>
    <definedName name="clrf_12_3_5">#REF!</definedName>
    <definedName name="clrf_12_5">#REF!</definedName>
    <definedName name="clrf_13">NA()</definedName>
    <definedName name="clrf_13_3">NA()</definedName>
    <definedName name="clrf_13_3_5">#REF!</definedName>
    <definedName name="clrf_13_5">#REF!</definedName>
    <definedName name="clrf_14">NA()</definedName>
    <definedName name="clrf_14_3">NA()</definedName>
    <definedName name="clrf_14_3_5">#REF!</definedName>
    <definedName name="clrf_14_5">#REF!</definedName>
    <definedName name="clrf_15">NA()</definedName>
    <definedName name="clrf_15_3">NA()</definedName>
    <definedName name="clrf_15_3_5">#REF!</definedName>
    <definedName name="clrf_15_5">#REF!</definedName>
    <definedName name="clrf_16">NA()</definedName>
    <definedName name="clrf_16_3">NA()</definedName>
    <definedName name="clrf_16_3_5">#REF!</definedName>
    <definedName name="clrf_16_5">#REF!</definedName>
    <definedName name="clrf_17">NA()</definedName>
    <definedName name="clrf_17_3">NA()</definedName>
    <definedName name="clrf_17_3_5">#REF!</definedName>
    <definedName name="clrf_17_5">#REF!</definedName>
    <definedName name="clrf_18">NA()</definedName>
    <definedName name="clrf_18_1">NA()</definedName>
    <definedName name="clrf_18_1_3">NA()</definedName>
    <definedName name="clrf_18_1_3_5">#REF!</definedName>
    <definedName name="clrf_18_1_5">#REF!</definedName>
    <definedName name="clrf_18_3">NA()</definedName>
    <definedName name="clrf_18_3_5">#REF!</definedName>
    <definedName name="clrf_18_5">#REF!</definedName>
    <definedName name="clrf_19">NA()</definedName>
    <definedName name="clrf_19_3">NA()</definedName>
    <definedName name="clrf_19_3_5">#REF!</definedName>
    <definedName name="clrf_19_5">#REF!</definedName>
    <definedName name="clrf_20">NA()</definedName>
    <definedName name="clrf_20_3">NA()</definedName>
    <definedName name="clrf_20_3_5">#REF!</definedName>
    <definedName name="clrf_20_5">#REF!</definedName>
    <definedName name="clrf_21">NA()</definedName>
    <definedName name="clrf_21_1">NA()</definedName>
    <definedName name="clrf_21_1_3">NA()</definedName>
    <definedName name="clrf_21_1_3_5">#REF!</definedName>
    <definedName name="clrf_21_1_5">#REF!</definedName>
    <definedName name="clrf_21_3">NA()</definedName>
    <definedName name="clrf_21_3_5">#REF!</definedName>
    <definedName name="clrf_21_5">#REF!</definedName>
    <definedName name="clrf_22">NA()</definedName>
    <definedName name="clrf_22_3">NA()</definedName>
    <definedName name="clrf_22_3_5">#REF!</definedName>
    <definedName name="clrf_22_5">#REF!</definedName>
    <definedName name="clrf_23">NA()</definedName>
    <definedName name="clrf_23_3">NA()</definedName>
    <definedName name="clrf_23_3_5">#REF!</definedName>
    <definedName name="clrf_23_5">#REF!</definedName>
    <definedName name="clrf_24">NA()</definedName>
    <definedName name="clrf_24_3">NA()</definedName>
    <definedName name="clrf_24_3_5">#REF!</definedName>
    <definedName name="clrf_24_5">#REF!</definedName>
    <definedName name="clrf_25">NA()</definedName>
    <definedName name="clrf_25_3">NA()</definedName>
    <definedName name="clrf_25_3_5">#REF!</definedName>
    <definedName name="clrf_25_5">#REF!</definedName>
    <definedName name="clrf_26">NA()</definedName>
    <definedName name="clrf_26_3">NA()</definedName>
    <definedName name="clrf_26_3_5">#REF!</definedName>
    <definedName name="clrf_26_5">#REF!</definedName>
    <definedName name="clrf_27">NA()</definedName>
    <definedName name="clrf_27_3">NA()</definedName>
    <definedName name="clrf_27_3_5">#REF!</definedName>
    <definedName name="clrf_27_5">#REF!</definedName>
    <definedName name="clrf_28">NA()</definedName>
    <definedName name="clrf_28_3">NA()</definedName>
    <definedName name="clrf_28_3_5">#REF!</definedName>
    <definedName name="clrf_28_5">#REF!</definedName>
    <definedName name="clrf_3">NA()</definedName>
    <definedName name="clrf_3_5">#REF!</definedName>
    <definedName name="clrf_5">#REF!</definedName>
    <definedName name="clrf_6">NA()</definedName>
    <definedName name="clrf_6_3">NA()</definedName>
    <definedName name="clrf_6_3_5">#REF!</definedName>
    <definedName name="clrf_6_5">#REF!</definedName>
    <definedName name="clrf_7">NA()</definedName>
    <definedName name="clrf_7_3">NA()</definedName>
    <definedName name="clrf_7_3_5">#REF!</definedName>
    <definedName name="clrf_7_5">#REF!</definedName>
    <definedName name="clrf_8">NA()</definedName>
    <definedName name="clrf_8_3">NA()</definedName>
    <definedName name="clrf_8_3_5">#REF!</definedName>
    <definedName name="clrf_8_5">#REF!</definedName>
    <definedName name="clrf_9">NA()</definedName>
    <definedName name="clrf_9_3">NA()</definedName>
    <definedName name="clrf_9_3_5">#REF!</definedName>
    <definedName name="clrf_9_5">#REF!</definedName>
    <definedName name="cluster">#REF!</definedName>
    <definedName name="CM_vi">#REF!</definedName>
    <definedName name="cm1.3">#REF!</definedName>
    <definedName name="cmas">#REF!</definedName>
    <definedName name="cmas1">#REF!</definedName>
    <definedName name="cmaz">#REF!</definedName>
    <definedName name="cmii">#REF!</definedName>
    <definedName name="cmii_1">#REF!</definedName>
    <definedName name="CMiii_">#REF!</definedName>
    <definedName name="cmiii_1">#REF!</definedName>
    <definedName name="cmiii_2">#REF!</definedName>
    <definedName name="cmiv_1">#REF!</definedName>
    <definedName name="cmiv_2">#REF!</definedName>
    <definedName name="CMPrapatra9Habs500">#REF!</definedName>
    <definedName name="Cmtbithpsteel">#REF!</definedName>
    <definedName name="CMTTONE">#REF!</definedName>
    <definedName name="CMTTONNE">#REF!</definedName>
    <definedName name="cmv">#REF!</definedName>
    <definedName name="CMV_">#REF!</definedName>
    <definedName name="cmvi">#REF!</definedName>
    <definedName name="cmvi_2">#REF!</definedName>
    <definedName name="CO">[7]DATA!$F$30</definedName>
    <definedName name="co_1">#REF!</definedName>
    <definedName name="co_14">#REF!</definedName>
    <definedName name="co_2">#REF!</definedName>
    <definedName name="COAD">NA()</definedName>
    <definedName name="COAD_1">#REF!</definedName>
    <definedName name="COAD_2">#REF!</definedName>
    <definedName name="coalsp">#REF!</definedName>
    <definedName name="coarse">#REF!</definedName>
    <definedName name="Coarse_Sand">#REF!</definedName>
    <definedName name="cobo">#REF!</definedName>
    <definedName name="Code" hidden="1">#REF!</definedName>
    <definedName name="COH">[7]DATA!$F$35</definedName>
    <definedName name="COHB">[7]DATA!$F$39</definedName>
    <definedName name="coimbatore">#REF!</definedName>
    <definedName name="col">#REF!</definedName>
    <definedName name="col___0">#REF!</definedName>
    <definedName name="col___11">#REF!</definedName>
    <definedName name="col___12">#REF!</definedName>
    <definedName name="Colbgl">#REF!</definedName>
    <definedName name="colbgl2">#REF!</definedName>
    <definedName name="Cold_twisted_steel_bars___TMT">#REF!</definedName>
    <definedName name="Column_Clamp">#REF!</definedName>
    <definedName name="column_shuttering">#REF!</definedName>
    <definedName name="Columns">#REF!</definedName>
    <definedName name="Com.St." hidden="1">{"'Sheet1'!$A$4386:$N$4591"}</definedName>
    <definedName name="Comments">NA()</definedName>
    <definedName name="Comments_5">#REF!</definedName>
    <definedName name="COMP." hidden="1">'[15]Rate Analysis'!#REF!</definedName>
    <definedName name="compactor">#REF!</definedName>
    <definedName name="Company">#REF!</definedName>
    <definedName name="Company_5">#REF!</definedName>
    <definedName name="company_add1">#REF!</definedName>
    <definedName name="company_add1_1">#REF!</definedName>
    <definedName name="company_add1_1_1">NA()</definedName>
    <definedName name="company_add1_1_1_1">NA()</definedName>
    <definedName name="company_add1_1_8">NA()</definedName>
    <definedName name="company_add1_2">NA()</definedName>
    <definedName name="company_add1_2_1">NA()</definedName>
    <definedName name="company_add1_3">#REF!</definedName>
    <definedName name="company_add1_3_1">NA()</definedName>
    <definedName name="company_add1_3_8">NA()</definedName>
    <definedName name="company_add1_4">#REF!</definedName>
    <definedName name="company_add1_4_1">NA()</definedName>
    <definedName name="company_add1_4_1_1">NA()</definedName>
    <definedName name="company_add1_4_8">NA()</definedName>
    <definedName name="company_add1_5">#REF!</definedName>
    <definedName name="company_add1_5_1">NA()</definedName>
    <definedName name="company_add1_5_1_1">NA()</definedName>
    <definedName name="company_add1_6">#REF!</definedName>
    <definedName name="company_add1_6_1">NA()</definedName>
    <definedName name="company_add1_6_1_1">NA()</definedName>
    <definedName name="company_add1_7">#REF!</definedName>
    <definedName name="company_add1_7_1">NA()</definedName>
    <definedName name="company_add1_8">NA()</definedName>
    <definedName name="company_add2">#REF!</definedName>
    <definedName name="company_add2_1">#REF!</definedName>
    <definedName name="company_add2_1_1">NA()</definedName>
    <definedName name="company_add2_1_1_1">NA()</definedName>
    <definedName name="company_add2_1_8">NA()</definedName>
    <definedName name="company_add2_2">NA()</definedName>
    <definedName name="company_add2_2_1">NA()</definedName>
    <definedName name="company_add2_3">#REF!</definedName>
    <definedName name="company_add2_3_1">NA()</definedName>
    <definedName name="company_add2_3_8">NA()</definedName>
    <definedName name="company_add2_4">#REF!</definedName>
    <definedName name="company_add2_4_1">NA()</definedName>
    <definedName name="company_add2_4_1_1">NA()</definedName>
    <definedName name="company_add2_4_8">NA()</definedName>
    <definedName name="company_add2_5">#REF!</definedName>
    <definedName name="company_add2_5_1">NA()</definedName>
    <definedName name="company_add2_5_1_1">NA()</definedName>
    <definedName name="company_add2_6">#REF!</definedName>
    <definedName name="company_add2_6_1">NA()</definedName>
    <definedName name="company_add2_6_1_1">NA()</definedName>
    <definedName name="company_add2_7">#REF!</definedName>
    <definedName name="company_add2_7_1">NA()</definedName>
    <definedName name="company_add2_8">NA()</definedName>
    <definedName name="company_name">#REF!</definedName>
    <definedName name="company_name_1">#REF!</definedName>
    <definedName name="company_name_1_1">NA()</definedName>
    <definedName name="company_name_1_1_1">NA()</definedName>
    <definedName name="company_name_1_8">NA()</definedName>
    <definedName name="company_name_2">NA()</definedName>
    <definedName name="company_name_2_1">NA()</definedName>
    <definedName name="company_name_3">#REF!</definedName>
    <definedName name="company_name_3_1">NA()</definedName>
    <definedName name="company_name_3_8">NA()</definedName>
    <definedName name="company_name_4">#REF!</definedName>
    <definedName name="company_name_4_1">NA()</definedName>
    <definedName name="company_name_4_1_1">NA()</definedName>
    <definedName name="company_name_4_8">NA()</definedName>
    <definedName name="company_name_5">#REF!</definedName>
    <definedName name="company_name_5_1">NA()</definedName>
    <definedName name="company_name_5_1_1">NA()</definedName>
    <definedName name="company_name_6">#REF!</definedName>
    <definedName name="company_name_6_1">NA()</definedName>
    <definedName name="company_name_6_1_1">NA()</definedName>
    <definedName name="company_name_7">#REF!</definedName>
    <definedName name="company_name_7_1">NA()</definedName>
    <definedName name="company_name_8">NA()</definedName>
    <definedName name="CompanyInfo1">"JCI"</definedName>
    <definedName name="CompanyInfo2">"JCI"</definedName>
    <definedName name="CompDate">NA()</definedName>
    <definedName name="CompDate_1">NA()</definedName>
    <definedName name="CompDate_1_3">NA()</definedName>
    <definedName name="CompDate_1_3_5">#REF!</definedName>
    <definedName name="CompDate_1_5">#REF!</definedName>
    <definedName name="CompDate_10">NA()</definedName>
    <definedName name="CompDate_10_5">#REF!</definedName>
    <definedName name="CompDate_11">NA()</definedName>
    <definedName name="CompDate_11_1">NA()</definedName>
    <definedName name="CompDate_11_1_5">#REF!</definedName>
    <definedName name="CompDate_11_5">#REF!</definedName>
    <definedName name="CompDate_14">NA()</definedName>
    <definedName name="CompDate_14_5">#REF!</definedName>
    <definedName name="CompDate_15">NA()</definedName>
    <definedName name="CompDate_15_5">#REF!</definedName>
    <definedName name="CompDate_16">NA()</definedName>
    <definedName name="CompDate_16_5">#REF!</definedName>
    <definedName name="CompDate_17">NA()</definedName>
    <definedName name="CompDate_17_1">NA()</definedName>
    <definedName name="CompDate_17_1_5">#REF!</definedName>
    <definedName name="CompDate_17_5">#REF!</definedName>
    <definedName name="CompDate_18">NA()</definedName>
    <definedName name="CompDate_18_1">NA()</definedName>
    <definedName name="CompDate_18_1_5">#REF!</definedName>
    <definedName name="CompDate_18_5">#REF!</definedName>
    <definedName name="CompDate_19">NA()</definedName>
    <definedName name="CompDate_19_5">#REF!</definedName>
    <definedName name="CompDate_2">NA()</definedName>
    <definedName name="CompDate_2_5">#REF!</definedName>
    <definedName name="CompDate_20">NA()</definedName>
    <definedName name="CompDate_20_5">#REF!</definedName>
    <definedName name="CompDate_21">NA()</definedName>
    <definedName name="CompDate_21_1">NA()</definedName>
    <definedName name="CompDate_21_1_5">#REF!</definedName>
    <definedName name="CompDate_21_5">#REF!</definedName>
    <definedName name="CompDate_26">NA()</definedName>
    <definedName name="CompDate_26_5">#REF!</definedName>
    <definedName name="CompDate_27">NA()</definedName>
    <definedName name="CompDate_27_5">#REF!</definedName>
    <definedName name="CompDate_28">NA()</definedName>
    <definedName name="CompDate_28_5">#REF!</definedName>
    <definedName name="CompDate_29">NA()</definedName>
    <definedName name="CompDate_29_5">#REF!</definedName>
    <definedName name="CompDate_3">NA()</definedName>
    <definedName name="CompDate_3_5">#REF!</definedName>
    <definedName name="CompDate_4">NA()</definedName>
    <definedName name="CompDate_4_1">NA()</definedName>
    <definedName name="CompDate_4_1_1">NA()</definedName>
    <definedName name="CompDate_4_1_1_1">NA()</definedName>
    <definedName name="CompDate_4_1_1_1_1">NA()</definedName>
    <definedName name="CompDate_4_1_1_1_1_1">NA()</definedName>
    <definedName name="CompDate_4_1_1_1_1_1_5">#REF!</definedName>
    <definedName name="CompDate_4_1_1_1_1_5">#REF!</definedName>
    <definedName name="CompDate_4_1_1_1_5">#REF!</definedName>
    <definedName name="CompDate_4_1_1_5">#REF!</definedName>
    <definedName name="CompDate_4_1_5">#REF!</definedName>
    <definedName name="CompDate_4_18">NA()</definedName>
    <definedName name="CompDate_4_18_1">NA()</definedName>
    <definedName name="CompDate_4_18_1_5">#REF!</definedName>
    <definedName name="CompDate_4_18_5">#REF!</definedName>
    <definedName name="CompDate_4_21">NA()</definedName>
    <definedName name="CompDate_4_21_5">#REF!</definedName>
    <definedName name="CompDate_4_5">#REF!</definedName>
    <definedName name="CompDate_5">#REF!</definedName>
    <definedName name="CompDate_5_1">NA()</definedName>
    <definedName name="CompDate_5_5">#REF!</definedName>
    <definedName name="CompDate_6">NA()</definedName>
    <definedName name="CompDate_6_1">NA()</definedName>
    <definedName name="CompDate_6_1_5">#REF!</definedName>
    <definedName name="CompDate_6_18">NA()</definedName>
    <definedName name="CompDate_6_18_1">NA()</definedName>
    <definedName name="CompDate_6_18_1_5">#REF!</definedName>
    <definedName name="CompDate_6_18_5">#REF!</definedName>
    <definedName name="CompDate_6_21">NA()</definedName>
    <definedName name="CompDate_6_21_5">#REF!</definedName>
    <definedName name="CompDate_6_5">#REF!</definedName>
    <definedName name="CompDate_7">NA()</definedName>
    <definedName name="CompDate_7_5">#REF!</definedName>
    <definedName name="COMPERATIVE" hidden="1">[16]analysis!#REF!</definedName>
    <definedName name="compressor">#REF!</definedName>
    <definedName name="conanalysis" hidden="1">{#N/A,#N/A,TRUE,"Front";#N/A,#N/A,TRUE,"Simple Letter";#N/A,#N/A,TRUE,"Inside";#N/A,#N/A,TRUE,"Contents";#N/A,#N/A,TRUE,"Basis";#N/A,#N/A,TRUE,"Inclusions";#N/A,#N/A,TRUE,"Exclusions";#N/A,#N/A,TRUE,"Areas";#N/A,#N/A,TRUE,"Summary";#N/A,#N/A,TRUE,"Detail"}</definedName>
    <definedName name="concbatch">#REF!</definedName>
    <definedName name="concretemixer">#REF!</definedName>
    <definedName name="concretepump">#REF!</definedName>
    <definedName name="condf">NA()</definedName>
    <definedName name="condf_18">NA()</definedName>
    <definedName name="condf_18_1">NA()</definedName>
    <definedName name="condf_18_1_5">#REF!</definedName>
    <definedName name="condf_18_5">#REF!</definedName>
    <definedName name="condf_21">NA()</definedName>
    <definedName name="condf_21_5">#REF!</definedName>
    <definedName name="condf_5">#REF!</definedName>
    <definedName name="conf">NA()</definedName>
    <definedName name="conf_1">NA()</definedName>
    <definedName name="conf_1_3">NA()</definedName>
    <definedName name="conf_1_3_5">#REF!</definedName>
    <definedName name="conf_1_5">#REF!</definedName>
    <definedName name="conf_10">NA()</definedName>
    <definedName name="conf_10_5">#REF!</definedName>
    <definedName name="conf_11">NA()</definedName>
    <definedName name="conf_11_1">NA()</definedName>
    <definedName name="conf_11_1_5">#REF!</definedName>
    <definedName name="conf_11_5">#REF!</definedName>
    <definedName name="conf_14">NA()</definedName>
    <definedName name="conf_14_5">#REF!</definedName>
    <definedName name="conf_15">NA()</definedName>
    <definedName name="conf_15_5">#REF!</definedName>
    <definedName name="conf_16">NA()</definedName>
    <definedName name="conf_16_5">#REF!</definedName>
    <definedName name="conf_17">NA()</definedName>
    <definedName name="conf_17_1">NA()</definedName>
    <definedName name="conf_17_1_5">#REF!</definedName>
    <definedName name="conf_17_5">#REF!</definedName>
    <definedName name="conf_18">NA()</definedName>
    <definedName name="conf_18_1">NA()</definedName>
    <definedName name="conf_18_1_5">#REF!</definedName>
    <definedName name="conf_18_5">#REF!</definedName>
    <definedName name="conf_19">NA()</definedName>
    <definedName name="conf_19_5">#REF!</definedName>
    <definedName name="conf_2">NA()</definedName>
    <definedName name="conf_2_5">#REF!</definedName>
    <definedName name="conf_20">NA()</definedName>
    <definedName name="conf_20_5">#REF!</definedName>
    <definedName name="conf_21">NA()</definedName>
    <definedName name="conf_21_1">NA()</definedName>
    <definedName name="conf_21_1_5">#REF!</definedName>
    <definedName name="conf_21_5">#REF!</definedName>
    <definedName name="conf_26">NA()</definedName>
    <definedName name="conf_26_5">#REF!</definedName>
    <definedName name="conf_27">NA()</definedName>
    <definedName name="conf_27_5">#REF!</definedName>
    <definedName name="conf_28">NA()</definedName>
    <definedName name="conf_28_5">#REF!</definedName>
    <definedName name="conf_29">NA()</definedName>
    <definedName name="conf_29_5">#REF!</definedName>
    <definedName name="conf_3">NA()</definedName>
    <definedName name="conf_3_5">#REF!</definedName>
    <definedName name="conf_4">NA()</definedName>
    <definedName name="conf_4_1">NA()</definedName>
    <definedName name="conf_4_1_1">NA()</definedName>
    <definedName name="conf_4_1_1_1">NA()</definedName>
    <definedName name="conf_4_1_1_1_1">NA()</definedName>
    <definedName name="conf_4_1_1_1_1_1">NA()</definedName>
    <definedName name="conf_4_1_1_1_1_1_5">#REF!</definedName>
    <definedName name="conf_4_1_1_1_1_5">#REF!</definedName>
    <definedName name="conf_4_1_1_1_5">#REF!</definedName>
    <definedName name="conf_4_1_1_5">#REF!</definedName>
    <definedName name="conf_4_1_5">#REF!</definedName>
    <definedName name="conf_4_18">NA()</definedName>
    <definedName name="conf_4_18_1">NA()</definedName>
    <definedName name="conf_4_18_1_5">#REF!</definedName>
    <definedName name="conf_4_18_5">#REF!</definedName>
    <definedName name="conf_4_21">NA()</definedName>
    <definedName name="conf_4_21_5">#REF!</definedName>
    <definedName name="conf_4_5">#REF!</definedName>
    <definedName name="conf_5">#REF!</definedName>
    <definedName name="conf_5_1">NA()</definedName>
    <definedName name="conf_5_5">#REF!</definedName>
    <definedName name="conf_6">NA()</definedName>
    <definedName name="conf_6_1">NA()</definedName>
    <definedName name="conf_6_1_5">#REF!</definedName>
    <definedName name="conf_6_18">NA()</definedName>
    <definedName name="conf_6_18_1">NA()</definedName>
    <definedName name="conf_6_18_1_5">#REF!</definedName>
    <definedName name="conf_6_18_5">#REF!</definedName>
    <definedName name="conf_6_21">NA()</definedName>
    <definedName name="conf_6_21_5">#REF!</definedName>
    <definedName name="conf_6_5">#REF!</definedName>
    <definedName name="conf_7">NA()</definedName>
    <definedName name="conf_7_5">#REF!</definedName>
    <definedName name="conm">#REF!</definedName>
    <definedName name="conmsf">NA()</definedName>
    <definedName name="conpmp">#REF!</definedName>
    <definedName name="CONSTR_A02B">#N/A</definedName>
    <definedName name="constrn">#REF!</definedName>
    <definedName name="Construction_Period">NA()</definedName>
    <definedName name="Construction_Period_5">#REF!</definedName>
    <definedName name="Cont">#N/A</definedName>
    <definedName name="Contact">NA()</definedName>
    <definedName name="Contact_5">#REF!</definedName>
    <definedName name="ContAmt">NA()</definedName>
    <definedName name="ContAmt_1">NA()</definedName>
    <definedName name="ContAmt_1_3">NA()</definedName>
    <definedName name="ContAmt_1_3_5">#REF!</definedName>
    <definedName name="ContAmt_1_5">#REF!</definedName>
    <definedName name="ContAmt_10">NA()</definedName>
    <definedName name="ContAmt_10_1">NA()</definedName>
    <definedName name="ContAmt_10_1_3">NA()</definedName>
    <definedName name="ContAmt_10_1_3_5">#REF!</definedName>
    <definedName name="ContAmt_10_1_5">#REF!</definedName>
    <definedName name="ContAmt_10_17">NA()</definedName>
    <definedName name="ContAmt_10_17_3">NA()</definedName>
    <definedName name="ContAmt_10_17_3_5">#REF!</definedName>
    <definedName name="ContAmt_10_17_5">#REF!</definedName>
    <definedName name="ContAmt_10_5">#REF!</definedName>
    <definedName name="ContAmt_11">NA()</definedName>
    <definedName name="ContAmt_11_1">NA()</definedName>
    <definedName name="ContAmt_11_1_5">#REF!</definedName>
    <definedName name="ContAmt_11_5">#REF!</definedName>
    <definedName name="ContAmt_12">NA()</definedName>
    <definedName name="ContAmt_12_3">NA()</definedName>
    <definedName name="ContAmt_12_3_5">#REF!</definedName>
    <definedName name="ContAmt_12_5">#REF!</definedName>
    <definedName name="ContAmt_13">NA()</definedName>
    <definedName name="ContAmt_13_3">NA()</definedName>
    <definedName name="ContAmt_13_3_5">#REF!</definedName>
    <definedName name="ContAmt_13_5">#REF!</definedName>
    <definedName name="ContAmt_14">NA()</definedName>
    <definedName name="ContAmt_14_5">#REF!</definedName>
    <definedName name="ContAmt_15">NA()</definedName>
    <definedName name="ContAmt_15_1">NA()</definedName>
    <definedName name="ContAmt_15_1_3">NA()</definedName>
    <definedName name="ContAmt_15_1_3_5">#REF!</definedName>
    <definedName name="ContAmt_15_1_5">#REF!</definedName>
    <definedName name="ContAmt_15_3">NA()</definedName>
    <definedName name="ContAmt_15_3_5">#REF!</definedName>
    <definedName name="ContAmt_15_5">#REF!</definedName>
    <definedName name="ContAmt_16">NA()</definedName>
    <definedName name="ContAmt_16_1">NA()</definedName>
    <definedName name="ContAmt_16_1_3">NA()</definedName>
    <definedName name="ContAmt_16_1_3_5">#REF!</definedName>
    <definedName name="ContAmt_16_1_5">#REF!</definedName>
    <definedName name="ContAmt_16_3">NA()</definedName>
    <definedName name="ContAmt_16_3_5">#REF!</definedName>
    <definedName name="ContAmt_16_5">#REF!</definedName>
    <definedName name="ContAmt_17">NA()</definedName>
    <definedName name="ContAmt_17_1">NA()</definedName>
    <definedName name="ContAmt_17_1_5">#REF!</definedName>
    <definedName name="ContAmt_17_3">NA()</definedName>
    <definedName name="ContAmt_17_3_5">#REF!</definedName>
    <definedName name="ContAmt_17_5">#REF!</definedName>
    <definedName name="ContAmt_18">NA()</definedName>
    <definedName name="ContAmt_18_1">NA()</definedName>
    <definedName name="ContAmt_18_1_5">#REF!</definedName>
    <definedName name="ContAmt_18_5">#REF!</definedName>
    <definedName name="ContAmt_19">NA()</definedName>
    <definedName name="ContAmt_19_1">NA()</definedName>
    <definedName name="ContAmt_19_1_5">#REF!</definedName>
    <definedName name="ContAmt_19_5">#REF!</definedName>
    <definedName name="ContAmt_2">NA()</definedName>
    <definedName name="ContAmt_2_5">#REF!</definedName>
    <definedName name="ContAmt_20">NA()</definedName>
    <definedName name="ContAmt_20_1">NA()</definedName>
    <definedName name="ContAmt_20_1_3">NA()</definedName>
    <definedName name="ContAmt_20_1_3_5">#REF!</definedName>
    <definedName name="ContAmt_20_1_5">#REF!</definedName>
    <definedName name="ContAmt_20_5">#REF!</definedName>
    <definedName name="ContAmt_21">NA()</definedName>
    <definedName name="ContAmt_21_1">NA()</definedName>
    <definedName name="ContAmt_21_1_1">NA()</definedName>
    <definedName name="ContAmt_21_1_1_3">NA()</definedName>
    <definedName name="ContAmt_21_1_1_3_5">#REF!</definedName>
    <definedName name="ContAmt_21_1_1_5">#REF!</definedName>
    <definedName name="ContAmt_21_1_3">NA()</definedName>
    <definedName name="ContAmt_21_1_3_5">#REF!</definedName>
    <definedName name="ContAmt_21_1_5">#REF!</definedName>
    <definedName name="ContAmt_21_5">#REF!</definedName>
    <definedName name="ContAmt_22">NA()</definedName>
    <definedName name="ContAmt_22_3">NA()</definedName>
    <definedName name="ContAmt_22_3_5">#REF!</definedName>
    <definedName name="ContAmt_22_5">#REF!</definedName>
    <definedName name="ContAmt_23">NA()</definedName>
    <definedName name="ContAmt_23_3">NA()</definedName>
    <definedName name="ContAmt_23_3_5">#REF!</definedName>
    <definedName name="ContAmt_23_5">#REF!</definedName>
    <definedName name="ContAmt_24">NA()</definedName>
    <definedName name="ContAmt_24_3">NA()</definedName>
    <definedName name="ContAmt_24_3_5">#REF!</definedName>
    <definedName name="ContAmt_24_5">#REF!</definedName>
    <definedName name="ContAmt_25">NA()</definedName>
    <definedName name="ContAmt_25_3">NA()</definedName>
    <definedName name="ContAmt_25_3_5">#REF!</definedName>
    <definedName name="ContAmt_25_5">#REF!</definedName>
    <definedName name="ContAmt_26">NA()</definedName>
    <definedName name="ContAmt_26_1">NA()</definedName>
    <definedName name="ContAmt_26_1_3">NA()</definedName>
    <definedName name="ContAmt_26_1_3_5">#REF!</definedName>
    <definedName name="ContAmt_26_1_5">#REF!</definedName>
    <definedName name="ContAmt_26_3">NA()</definedName>
    <definedName name="ContAmt_26_3_5">#REF!</definedName>
    <definedName name="ContAmt_26_5">#REF!</definedName>
    <definedName name="ContAmt_27">NA()</definedName>
    <definedName name="ContAmt_27_1">NA()</definedName>
    <definedName name="ContAmt_27_1_3">NA()</definedName>
    <definedName name="ContAmt_27_1_3_5">#REF!</definedName>
    <definedName name="ContAmt_27_1_5">#REF!</definedName>
    <definedName name="ContAmt_27_3">NA()</definedName>
    <definedName name="ContAmt_27_3_5">#REF!</definedName>
    <definedName name="ContAmt_27_5">#REF!</definedName>
    <definedName name="ContAmt_28">NA()</definedName>
    <definedName name="ContAmt_28_1">NA()</definedName>
    <definedName name="ContAmt_28_1_3">NA()</definedName>
    <definedName name="ContAmt_28_1_3_5">#REF!</definedName>
    <definedName name="ContAmt_28_1_5">#REF!</definedName>
    <definedName name="ContAmt_28_3">NA()</definedName>
    <definedName name="ContAmt_28_3_5">#REF!</definedName>
    <definedName name="ContAmt_28_5">#REF!</definedName>
    <definedName name="ContAmt_29">NA()</definedName>
    <definedName name="ContAmt_29_3">NA()</definedName>
    <definedName name="ContAmt_29_3_5">#REF!</definedName>
    <definedName name="ContAmt_29_5">#REF!</definedName>
    <definedName name="ContAmt_3">NA()</definedName>
    <definedName name="ContAmt_3_5">#REF!</definedName>
    <definedName name="ContAmt_4">NA()</definedName>
    <definedName name="ContAmt_4_1">NA()</definedName>
    <definedName name="ContAmt_4_1_1">NA()</definedName>
    <definedName name="ContAmt_4_1_1_1">NA()</definedName>
    <definedName name="ContAmt_4_1_1_1_1">NA()</definedName>
    <definedName name="ContAmt_4_1_1_1_1_1">NA()</definedName>
    <definedName name="ContAmt_4_1_1_1_1_1_5">#REF!</definedName>
    <definedName name="ContAmt_4_1_1_1_1_3">NA()</definedName>
    <definedName name="ContAmt_4_1_1_1_1_3_5">#REF!</definedName>
    <definedName name="ContAmt_4_1_1_1_1_5">#REF!</definedName>
    <definedName name="ContAmt_4_1_1_1_3">NA()</definedName>
    <definedName name="ContAmt_4_1_1_1_3_1">NA()</definedName>
    <definedName name="ContAmt_4_1_1_1_3_1_5">#REF!</definedName>
    <definedName name="ContAmt_4_1_1_1_3_5">#REF!</definedName>
    <definedName name="ContAmt_4_1_1_1_5">#REF!</definedName>
    <definedName name="ContAmt_4_1_1_3">NA()</definedName>
    <definedName name="ContAmt_4_1_1_3_5">#REF!</definedName>
    <definedName name="ContAmt_4_1_1_5">#REF!</definedName>
    <definedName name="ContAmt_4_1_17">NA()</definedName>
    <definedName name="ContAmt_4_1_17_3">NA()</definedName>
    <definedName name="ContAmt_4_1_17_3_5">#REF!</definedName>
    <definedName name="ContAmt_4_1_17_5">#REF!</definedName>
    <definedName name="ContAmt_4_1_28">NA()</definedName>
    <definedName name="ContAmt_4_1_28_3">NA()</definedName>
    <definedName name="ContAmt_4_1_28_3_5">#REF!</definedName>
    <definedName name="ContAmt_4_1_28_5">#REF!</definedName>
    <definedName name="ContAmt_4_1_5">#REF!</definedName>
    <definedName name="ContAmt_4_1_6">NA()</definedName>
    <definedName name="ContAmt_4_1_6_3">NA()</definedName>
    <definedName name="ContAmt_4_1_6_3_5">#REF!</definedName>
    <definedName name="ContAmt_4_1_6_5">#REF!</definedName>
    <definedName name="ContAmt_4_10">NA()</definedName>
    <definedName name="ContAmt_4_10_3">NA()</definedName>
    <definedName name="ContAmt_4_10_3_5">#REF!</definedName>
    <definedName name="ContAmt_4_10_5">#REF!</definedName>
    <definedName name="ContAmt_4_12">NA()</definedName>
    <definedName name="ContAmt_4_12_3">NA()</definedName>
    <definedName name="ContAmt_4_12_3_5">#REF!</definedName>
    <definedName name="ContAmt_4_12_5">#REF!</definedName>
    <definedName name="ContAmt_4_13">NA()</definedName>
    <definedName name="ContAmt_4_13_3">NA()</definedName>
    <definedName name="ContAmt_4_13_3_5">#REF!</definedName>
    <definedName name="ContAmt_4_13_5">#REF!</definedName>
    <definedName name="ContAmt_4_14">NA()</definedName>
    <definedName name="ContAmt_4_14_3">NA()</definedName>
    <definedName name="ContAmt_4_14_3_5">#REF!</definedName>
    <definedName name="ContAmt_4_14_5">#REF!</definedName>
    <definedName name="ContAmt_4_15">NA()</definedName>
    <definedName name="ContAmt_4_15_3">NA()</definedName>
    <definedName name="ContAmt_4_15_3_5">#REF!</definedName>
    <definedName name="ContAmt_4_15_5">#REF!</definedName>
    <definedName name="ContAmt_4_16">NA()</definedName>
    <definedName name="ContAmt_4_16_3">NA()</definedName>
    <definedName name="ContAmt_4_16_3_5">#REF!</definedName>
    <definedName name="ContAmt_4_16_5">#REF!</definedName>
    <definedName name="ContAmt_4_17">NA()</definedName>
    <definedName name="ContAmt_4_17_3">NA()</definedName>
    <definedName name="ContAmt_4_17_3_5">#REF!</definedName>
    <definedName name="ContAmt_4_17_5">#REF!</definedName>
    <definedName name="ContAmt_4_18">NA()</definedName>
    <definedName name="ContAmt_4_18_1">NA()</definedName>
    <definedName name="ContAmt_4_18_1_5">#REF!</definedName>
    <definedName name="ContAmt_4_18_5">#REF!</definedName>
    <definedName name="ContAmt_4_19">NA()</definedName>
    <definedName name="ContAmt_4_19_5">#REF!</definedName>
    <definedName name="ContAmt_4_20">NA()</definedName>
    <definedName name="ContAmt_4_20_3">NA()</definedName>
    <definedName name="ContAmt_4_20_3_5">#REF!</definedName>
    <definedName name="ContAmt_4_20_5">#REF!</definedName>
    <definedName name="ContAmt_4_21">NA()</definedName>
    <definedName name="ContAmt_4_21_1">NA()</definedName>
    <definedName name="ContAmt_4_21_1_3">NA()</definedName>
    <definedName name="ContAmt_4_21_1_3_5">#REF!</definedName>
    <definedName name="ContAmt_4_21_1_5">#REF!</definedName>
    <definedName name="ContAmt_4_21_5">#REF!</definedName>
    <definedName name="ContAmt_4_22">NA()</definedName>
    <definedName name="ContAmt_4_22_3">NA()</definedName>
    <definedName name="ContAmt_4_22_3_5">#REF!</definedName>
    <definedName name="ContAmt_4_22_5">#REF!</definedName>
    <definedName name="ContAmt_4_23">NA()</definedName>
    <definedName name="ContAmt_4_23_3">NA()</definedName>
    <definedName name="ContAmt_4_23_3_5">#REF!</definedName>
    <definedName name="ContAmt_4_23_5">#REF!</definedName>
    <definedName name="ContAmt_4_24">NA()</definedName>
    <definedName name="ContAmt_4_24_3">NA()</definedName>
    <definedName name="ContAmt_4_24_3_5">#REF!</definedName>
    <definedName name="ContAmt_4_24_5">#REF!</definedName>
    <definedName name="ContAmt_4_25">NA()</definedName>
    <definedName name="ContAmt_4_25_3">NA()</definedName>
    <definedName name="ContAmt_4_25_3_5">#REF!</definedName>
    <definedName name="ContAmt_4_25_5">#REF!</definedName>
    <definedName name="ContAmt_4_26">NA()</definedName>
    <definedName name="ContAmt_4_26_3">NA()</definedName>
    <definedName name="ContAmt_4_26_3_5">#REF!</definedName>
    <definedName name="ContAmt_4_26_5">#REF!</definedName>
    <definedName name="ContAmt_4_27">NA()</definedName>
    <definedName name="ContAmt_4_27_3">NA()</definedName>
    <definedName name="ContAmt_4_27_3_5">#REF!</definedName>
    <definedName name="ContAmt_4_27_5">#REF!</definedName>
    <definedName name="ContAmt_4_28">NA()</definedName>
    <definedName name="ContAmt_4_28_3">NA()</definedName>
    <definedName name="ContAmt_4_28_3_5">#REF!</definedName>
    <definedName name="ContAmt_4_28_5">#REF!</definedName>
    <definedName name="ContAmt_4_5">#REF!</definedName>
    <definedName name="ContAmt_4_6">NA()</definedName>
    <definedName name="ContAmt_4_6_3">NA()</definedName>
    <definedName name="ContAmt_4_6_3_5">#REF!</definedName>
    <definedName name="ContAmt_4_6_5">#REF!</definedName>
    <definedName name="ContAmt_4_7">NA()</definedName>
    <definedName name="ContAmt_4_7_3">NA()</definedName>
    <definedName name="ContAmt_4_7_3_5">#REF!</definedName>
    <definedName name="ContAmt_4_7_5">#REF!</definedName>
    <definedName name="ContAmt_4_8">NA()</definedName>
    <definedName name="ContAmt_4_8_3">NA()</definedName>
    <definedName name="ContAmt_4_8_3_5">#REF!</definedName>
    <definedName name="ContAmt_4_8_5">#REF!</definedName>
    <definedName name="ContAmt_4_9">NA()</definedName>
    <definedName name="ContAmt_4_9_3">NA()</definedName>
    <definedName name="ContAmt_4_9_3_5">#REF!</definedName>
    <definedName name="ContAmt_4_9_5">#REF!</definedName>
    <definedName name="ContAmt_5">#REF!</definedName>
    <definedName name="ContAmt_5_1">NA()</definedName>
    <definedName name="ContAmt_5_17">NA()</definedName>
    <definedName name="ContAmt_5_17_3">NA()</definedName>
    <definedName name="ContAmt_5_17_3_5">#REF!</definedName>
    <definedName name="ContAmt_5_17_5">#REF!</definedName>
    <definedName name="ContAmt_5_28">NA()</definedName>
    <definedName name="ContAmt_5_28_3">NA()</definedName>
    <definedName name="ContAmt_5_28_3_5">#REF!</definedName>
    <definedName name="ContAmt_5_28_5">#REF!</definedName>
    <definedName name="ContAmt_5_3">NA()</definedName>
    <definedName name="ContAmt_5_3_5">#REF!</definedName>
    <definedName name="ContAmt_5_5">#REF!</definedName>
    <definedName name="ContAmt_5_6">NA()</definedName>
    <definedName name="ContAmt_5_6_3">NA()</definedName>
    <definedName name="ContAmt_5_6_3_5">#REF!</definedName>
    <definedName name="ContAmt_5_6_5">#REF!</definedName>
    <definedName name="ContAmt_6">NA()</definedName>
    <definedName name="ContAmt_6_1">NA()</definedName>
    <definedName name="ContAmt_6_1_5">#REF!</definedName>
    <definedName name="ContAmt_6_10">NA()</definedName>
    <definedName name="ContAmt_6_10_3">NA()</definedName>
    <definedName name="ContAmt_6_10_3_5">#REF!</definedName>
    <definedName name="ContAmt_6_10_5">#REF!</definedName>
    <definedName name="ContAmt_6_12">NA()</definedName>
    <definedName name="ContAmt_6_12_3">NA()</definedName>
    <definedName name="ContAmt_6_12_3_5">#REF!</definedName>
    <definedName name="ContAmt_6_12_5">#REF!</definedName>
    <definedName name="ContAmt_6_13">NA()</definedName>
    <definedName name="ContAmt_6_13_3">NA()</definedName>
    <definedName name="ContAmt_6_13_3_5">#REF!</definedName>
    <definedName name="ContAmt_6_13_5">#REF!</definedName>
    <definedName name="ContAmt_6_14">NA()</definedName>
    <definedName name="ContAmt_6_14_3">NA()</definedName>
    <definedName name="ContAmt_6_14_3_5">#REF!</definedName>
    <definedName name="ContAmt_6_14_5">#REF!</definedName>
    <definedName name="ContAmt_6_15">NA()</definedName>
    <definedName name="ContAmt_6_15_3">NA()</definedName>
    <definedName name="ContAmt_6_15_3_5">#REF!</definedName>
    <definedName name="ContAmt_6_15_5">#REF!</definedName>
    <definedName name="ContAmt_6_16">NA()</definedName>
    <definedName name="ContAmt_6_16_3">NA()</definedName>
    <definedName name="ContAmt_6_16_3_5">#REF!</definedName>
    <definedName name="ContAmt_6_16_5">#REF!</definedName>
    <definedName name="ContAmt_6_17">NA()</definedName>
    <definedName name="ContAmt_6_17_3">NA()</definedName>
    <definedName name="ContAmt_6_17_3_5">#REF!</definedName>
    <definedName name="ContAmt_6_17_5">#REF!</definedName>
    <definedName name="ContAmt_6_18">NA()</definedName>
    <definedName name="ContAmt_6_18_1">NA()</definedName>
    <definedName name="ContAmt_6_18_1_5">#REF!</definedName>
    <definedName name="ContAmt_6_18_5">#REF!</definedName>
    <definedName name="ContAmt_6_19">NA()</definedName>
    <definedName name="ContAmt_6_19_5">#REF!</definedName>
    <definedName name="ContAmt_6_20">NA()</definedName>
    <definedName name="ContAmt_6_20_3">NA()</definedName>
    <definedName name="ContAmt_6_20_3_5">#REF!</definedName>
    <definedName name="ContAmt_6_20_5">#REF!</definedName>
    <definedName name="ContAmt_6_21">NA()</definedName>
    <definedName name="ContAmt_6_21_1">NA()</definedName>
    <definedName name="ContAmt_6_21_1_3">NA()</definedName>
    <definedName name="ContAmt_6_21_1_3_5">#REF!</definedName>
    <definedName name="ContAmt_6_21_1_5">#REF!</definedName>
    <definedName name="ContAmt_6_21_5">#REF!</definedName>
    <definedName name="ContAmt_6_22">NA()</definedName>
    <definedName name="ContAmt_6_22_3">NA()</definedName>
    <definedName name="ContAmt_6_22_3_5">#REF!</definedName>
    <definedName name="ContAmt_6_22_5">#REF!</definedName>
    <definedName name="ContAmt_6_23">NA()</definedName>
    <definedName name="ContAmt_6_23_3">NA()</definedName>
    <definedName name="ContAmt_6_23_3_5">#REF!</definedName>
    <definedName name="ContAmt_6_23_5">#REF!</definedName>
    <definedName name="ContAmt_6_24">NA()</definedName>
    <definedName name="ContAmt_6_24_3">NA()</definedName>
    <definedName name="ContAmt_6_24_3_5">#REF!</definedName>
    <definedName name="ContAmt_6_24_5">#REF!</definedName>
    <definedName name="ContAmt_6_25">NA()</definedName>
    <definedName name="ContAmt_6_25_3">NA()</definedName>
    <definedName name="ContAmt_6_25_3_5">#REF!</definedName>
    <definedName name="ContAmt_6_25_5">#REF!</definedName>
    <definedName name="ContAmt_6_26">NA()</definedName>
    <definedName name="ContAmt_6_26_3">NA()</definedName>
    <definedName name="ContAmt_6_26_3_5">#REF!</definedName>
    <definedName name="ContAmt_6_26_5">#REF!</definedName>
    <definedName name="ContAmt_6_27">NA()</definedName>
    <definedName name="ContAmt_6_27_3">NA()</definedName>
    <definedName name="ContAmt_6_27_3_5">#REF!</definedName>
    <definedName name="ContAmt_6_27_5">#REF!</definedName>
    <definedName name="ContAmt_6_28">NA()</definedName>
    <definedName name="ContAmt_6_28_3">NA()</definedName>
    <definedName name="ContAmt_6_28_3_5">#REF!</definedName>
    <definedName name="ContAmt_6_28_5">#REF!</definedName>
    <definedName name="ContAmt_6_5">#REF!</definedName>
    <definedName name="ContAmt_6_6">NA()</definedName>
    <definedName name="ContAmt_6_6_3">NA()</definedName>
    <definedName name="ContAmt_6_6_3_5">#REF!</definedName>
    <definedName name="ContAmt_6_6_5">#REF!</definedName>
    <definedName name="ContAmt_6_7">NA()</definedName>
    <definedName name="ContAmt_6_7_3">NA()</definedName>
    <definedName name="ContAmt_6_7_3_5">#REF!</definedName>
    <definedName name="ContAmt_6_7_5">#REF!</definedName>
    <definedName name="ContAmt_6_8">NA()</definedName>
    <definedName name="ContAmt_6_8_3">NA()</definedName>
    <definedName name="ContAmt_6_8_3_5">#REF!</definedName>
    <definedName name="ContAmt_6_8_5">#REF!</definedName>
    <definedName name="ContAmt_6_9">NA()</definedName>
    <definedName name="ContAmt_6_9_1">NA()</definedName>
    <definedName name="ContAmt_6_9_1_1">NA()</definedName>
    <definedName name="ContAmt_6_9_1_1_3">NA()</definedName>
    <definedName name="ContAmt_6_9_1_1_3_5">#REF!</definedName>
    <definedName name="ContAmt_6_9_1_1_5">#REF!</definedName>
    <definedName name="ContAmt_6_9_1_3">NA()</definedName>
    <definedName name="ContAmt_6_9_1_3_5">#REF!</definedName>
    <definedName name="ContAmt_6_9_1_5">#REF!</definedName>
    <definedName name="ContAmt_6_9_5">#REF!</definedName>
    <definedName name="ContAmt_7">NA()</definedName>
    <definedName name="ContAmt_7_5">#REF!</definedName>
    <definedName name="ContAmt_8">NA()</definedName>
    <definedName name="ContAmt_8_3">NA()</definedName>
    <definedName name="ContAmt_8_3_5">#REF!</definedName>
    <definedName name="ContAmt_8_5">#REF!</definedName>
    <definedName name="ContAmt_9">NA()</definedName>
    <definedName name="ContAmt_9_3">NA()</definedName>
    <definedName name="ContAmt_9_3_5">#REF!</definedName>
    <definedName name="ContAmt_9_5">#REF!</definedName>
    <definedName name="Continue">#N/A</definedName>
    <definedName name="ContractName">"Contract"</definedName>
    <definedName name="ContractNumber">"88888888"</definedName>
    <definedName name="ContractorProfit">12/100</definedName>
    <definedName name="ContWithAcct">NA()</definedName>
    <definedName name="ContWithAcct_1">NA()</definedName>
    <definedName name="ContWithAcct_1_3">NA()</definedName>
    <definedName name="ContWithAcct_1_3_5">#REF!</definedName>
    <definedName name="ContWithAcct_1_5">#REF!</definedName>
    <definedName name="ContWithAcct_10">NA()</definedName>
    <definedName name="ContWithAcct_10_1">NA()</definedName>
    <definedName name="ContWithAcct_10_1_3">NA()</definedName>
    <definedName name="ContWithAcct_10_1_3_5">#REF!</definedName>
    <definedName name="ContWithAcct_10_1_5">#REF!</definedName>
    <definedName name="ContWithAcct_10_17">NA()</definedName>
    <definedName name="ContWithAcct_10_17_3">NA()</definedName>
    <definedName name="ContWithAcct_10_17_3_5">#REF!</definedName>
    <definedName name="ContWithAcct_10_17_5">#REF!</definedName>
    <definedName name="ContWithAcct_10_5">#REF!</definedName>
    <definedName name="ContWithAcct_11">NA()</definedName>
    <definedName name="ContWithAcct_11_1">NA()</definedName>
    <definedName name="ContWithAcct_11_1_5">#REF!</definedName>
    <definedName name="ContWithAcct_11_5">#REF!</definedName>
    <definedName name="ContWithAcct_12">NA()</definedName>
    <definedName name="ContWithAcct_12_3">NA()</definedName>
    <definedName name="ContWithAcct_12_3_5">#REF!</definedName>
    <definedName name="ContWithAcct_12_5">#REF!</definedName>
    <definedName name="ContWithAcct_13">NA()</definedName>
    <definedName name="ContWithAcct_13_3">NA()</definedName>
    <definedName name="ContWithAcct_13_3_5">#REF!</definedName>
    <definedName name="ContWithAcct_13_5">#REF!</definedName>
    <definedName name="ContWithAcct_14">NA()</definedName>
    <definedName name="ContWithAcct_14_5">#REF!</definedName>
    <definedName name="ContWithAcct_15">NA()</definedName>
    <definedName name="ContWithAcct_15_1">NA()</definedName>
    <definedName name="ContWithAcct_15_1_3">NA()</definedName>
    <definedName name="ContWithAcct_15_1_3_5">#REF!</definedName>
    <definedName name="ContWithAcct_15_1_5">#REF!</definedName>
    <definedName name="ContWithAcct_15_3">NA()</definedName>
    <definedName name="ContWithAcct_15_3_5">#REF!</definedName>
    <definedName name="ContWithAcct_15_5">#REF!</definedName>
    <definedName name="ContWithAcct_16">NA()</definedName>
    <definedName name="ContWithAcct_16_1">NA()</definedName>
    <definedName name="ContWithAcct_16_1_3">NA()</definedName>
    <definedName name="ContWithAcct_16_1_3_5">#REF!</definedName>
    <definedName name="ContWithAcct_16_1_5">#REF!</definedName>
    <definedName name="ContWithAcct_16_3">NA()</definedName>
    <definedName name="ContWithAcct_16_3_5">#REF!</definedName>
    <definedName name="ContWithAcct_16_5">#REF!</definedName>
    <definedName name="ContWithAcct_17">NA()</definedName>
    <definedName name="ContWithAcct_17_1">NA()</definedName>
    <definedName name="ContWithAcct_17_1_5">#REF!</definedName>
    <definedName name="ContWithAcct_17_3">NA()</definedName>
    <definedName name="ContWithAcct_17_3_5">#REF!</definedName>
    <definedName name="ContWithAcct_17_5">#REF!</definedName>
    <definedName name="ContWithAcct_18">NA()</definedName>
    <definedName name="ContWithAcct_18_1">NA()</definedName>
    <definedName name="ContWithAcct_18_1_3">NA()</definedName>
    <definedName name="ContWithAcct_18_1_3_5">#REF!</definedName>
    <definedName name="ContWithAcct_18_1_5">#REF!</definedName>
    <definedName name="ContWithAcct_18_5">#REF!</definedName>
    <definedName name="ContWithAcct_19">NA()</definedName>
    <definedName name="ContWithAcct_19_1">NA()</definedName>
    <definedName name="ContWithAcct_19_1_5">#REF!</definedName>
    <definedName name="ContWithAcct_19_5">#REF!</definedName>
    <definedName name="ContWithAcct_2">NA()</definedName>
    <definedName name="ContWithAcct_2_5">#REF!</definedName>
    <definedName name="ContWithAcct_20">NA()</definedName>
    <definedName name="ContWithAcct_20_1">NA()</definedName>
    <definedName name="ContWithAcct_20_1_3">NA()</definedName>
    <definedName name="ContWithAcct_20_1_3_5">#REF!</definedName>
    <definedName name="ContWithAcct_20_1_5">#REF!</definedName>
    <definedName name="ContWithAcct_20_5">#REF!</definedName>
    <definedName name="ContWithAcct_21">NA()</definedName>
    <definedName name="ContWithAcct_21_1">NA()</definedName>
    <definedName name="ContWithAcct_21_1_1">NA()</definedName>
    <definedName name="ContWithAcct_21_1_1_3">NA()</definedName>
    <definedName name="ContWithAcct_21_1_1_3_5">#REF!</definedName>
    <definedName name="ContWithAcct_21_1_1_5">#REF!</definedName>
    <definedName name="ContWithAcct_21_1_3">NA()</definedName>
    <definedName name="ContWithAcct_21_1_3_5">#REF!</definedName>
    <definedName name="ContWithAcct_21_1_5">#REF!</definedName>
    <definedName name="ContWithAcct_21_5">#REF!</definedName>
    <definedName name="ContWithAcct_22">NA()</definedName>
    <definedName name="ContWithAcct_22_3">NA()</definedName>
    <definedName name="ContWithAcct_22_3_5">#REF!</definedName>
    <definedName name="ContWithAcct_22_5">#REF!</definedName>
    <definedName name="ContWithAcct_23">NA()</definedName>
    <definedName name="ContWithAcct_23_3">NA()</definedName>
    <definedName name="ContWithAcct_23_3_5">#REF!</definedName>
    <definedName name="ContWithAcct_23_5">#REF!</definedName>
    <definedName name="ContWithAcct_24">NA()</definedName>
    <definedName name="ContWithAcct_24_3">NA()</definedName>
    <definedName name="ContWithAcct_24_3_5">#REF!</definedName>
    <definedName name="ContWithAcct_24_5">#REF!</definedName>
    <definedName name="ContWithAcct_25">NA()</definedName>
    <definedName name="ContWithAcct_25_3">NA()</definedName>
    <definedName name="ContWithAcct_25_3_5">#REF!</definedName>
    <definedName name="ContWithAcct_25_5">#REF!</definedName>
    <definedName name="ContWithAcct_26">NA()</definedName>
    <definedName name="ContWithAcct_26_1">NA()</definedName>
    <definedName name="ContWithAcct_26_1_3">NA()</definedName>
    <definedName name="ContWithAcct_26_1_3_5">#REF!</definedName>
    <definedName name="ContWithAcct_26_1_5">#REF!</definedName>
    <definedName name="ContWithAcct_26_3">NA()</definedName>
    <definedName name="ContWithAcct_26_3_5">#REF!</definedName>
    <definedName name="ContWithAcct_26_5">#REF!</definedName>
    <definedName name="ContWithAcct_27">NA()</definedName>
    <definedName name="ContWithAcct_27_1">NA()</definedName>
    <definedName name="ContWithAcct_27_1_3">NA()</definedName>
    <definedName name="ContWithAcct_27_1_3_5">#REF!</definedName>
    <definedName name="ContWithAcct_27_1_5">#REF!</definedName>
    <definedName name="ContWithAcct_27_3">NA()</definedName>
    <definedName name="ContWithAcct_27_3_5">#REF!</definedName>
    <definedName name="ContWithAcct_27_5">#REF!</definedName>
    <definedName name="ContWithAcct_28">NA()</definedName>
    <definedName name="ContWithAcct_28_1">NA()</definedName>
    <definedName name="ContWithAcct_28_1_3">NA()</definedName>
    <definedName name="ContWithAcct_28_1_3_5">#REF!</definedName>
    <definedName name="ContWithAcct_28_1_5">#REF!</definedName>
    <definedName name="ContWithAcct_28_3">NA()</definedName>
    <definedName name="ContWithAcct_28_3_5">#REF!</definedName>
    <definedName name="ContWithAcct_28_5">#REF!</definedName>
    <definedName name="ContWithAcct_29">NA()</definedName>
    <definedName name="ContWithAcct_29_3">NA()</definedName>
    <definedName name="ContWithAcct_29_3_5">#REF!</definedName>
    <definedName name="ContWithAcct_29_5">#REF!</definedName>
    <definedName name="ContWithAcct_3">NA()</definedName>
    <definedName name="ContWithAcct_3_5">#REF!</definedName>
    <definedName name="ContWithAcct_4">NA()</definedName>
    <definedName name="ContWithAcct_4_1">NA()</definedName>
    <definedName name="ContWithAcct_4_1_1">NA()</definedName>
    <definedName name="ContWithAcct_4_1_1_1">NA()</definedName>
    <definedName name="ContWithAcct_4_1_1_1_1">NA()</definedName>
    <definedName name="ContWithAcct_4_1_1_1_1_1">NA()</definedName>
    <definedName name="ContWithAcct_4_1_1_1_1_1_5">#REF!</definedName>
    <definedName name="ContWithAcct_4_1_1_1_1_3">NA()</definedName>
    <definedName name="ContWithAcct_4_1_1_1_1_3_5">#REF!</definedName>
    <definedName name="ContWithAcct_4_1_1_1_1_5">#REF!</definedName>
    <definedName name="ContWithAcct_4_1_1_1_3">NA()</definedName>
    <definedName name="ContWithAcct_4_1_1_1_3_1">NA()</definedName>
    <definedName name="ContWithAcct_4_1_1_1_3_1_5">#REF!</definedName>
    <definedName name="ContWithAcct_4_1_1_1_3_5">#REF!</definedName>
    <definedName name="ContWithAcct_4_1_1_1_5">#REF!</definedName>
    <definedName name="ContWithAcct_4_1_1_3">NA()</definedName>
    <definedName name="ContWithAcct_4_1_1_3_1">NA()</definedName>
    <definedName name="ContWithAcct_4_1_1_3_1_5">#REF!</definedName>
    <definedName name="ContWithAcct_4_1_1_3_5">#REF!</definedName>
    <definedName name="ContWithAcct_4_1_1_5">#REF!</definedName>
    <definedName name="ContWithAcct_4_1_17">NA()</definedName>
    <definedName name="ContWithAcct_4_1_17_3">NA()</definedName>
    <definedName name="ContWithAcct_4_1_17_3_5">#REF!</definedName>
    <definedName name="ContWithAcct_4_1_17_5">#REF!</definedName>
    <definedName name="ContWithAcct_4_1_28">NA()</definedName>
    <definedName name="ContWithAcct_4_1_28_3">NA()</definedName>
    <definedName name="ContWithAcct_4_1_28_3_5">#REF!</definedName>
    <definedName name="ContWithAcct_4_1_28_5">#REF!</definedName>
    <definedName name="ContWithAcct_4_1_3">NA()</definedName>
    <definedName name="ContWithAcct_4_1_3_5">#REF!</definedName>
    <definedName name="ContWithAcct_4_1_5">#REF!</definedName>
    <definedName name="ContWithAcct_4_1_6">NA()</definedName>
    <definedName name="ContWithAcct_4_1_6_3">NA()</definedName>
    <definedName name="ContWithAcct_4_1_6_3_5">#REF!</definedName>
    <definedName name="ContWithAcct_4_1_6_5">#REF!</definedName>
    <definedName name="ContWithAcct_4_10">NA()</definedName>
    <definedName name="ContWithAcct_4_10_3">NA()</definedName>
    <definedName name="ContWithAcct_4_10_3_5">#REF!</definedName>
    <definedName name="ContWithAcct_4_10_5">#REF!</definedName>
    <definedName name="ContWithAcct_4_12">NA()</definedName>
    <definedName name="ContWithAcct_4_12_3">NA()</definedName>
    <definedName name="ContWithAcct_4_12_3_5">#REF!</definedName>
    <definedName name="ContWithAcct_4_12_5">#REF!</definedName>
    <definedName name="ContWithAcct_4_13">NA()</definedName>
    <definedName name="ContWithAcct_4_13_3">NA()</definedName>
    <definedName name="ContWithAcct_4_13_3_5">#REF!</definedName>
    <definedName name="ContWithAcct_4_13_5">#REF!</definedName>
    <definedName name="ContWithAcct_4_14">NA()</definedName>
    <definedName name="ContWithAcct_4_14_3">NA()</definedName>
    <definedName name="ContWithAcct_4_14_3_5">#REF!</definedName>
    <definedName name="ContWithAcct_4_14_5">#REF!</definedName>
    <definedName name="ContWithAcct_4_15">NA()</definedName>
    <definedName name="ContWithAcct_4_15_3">NA()</definedName>
    <definedName name="ContWithAcct_4_15_3_5">#REF!</definedName>
    <definedName name="ContWithAcct_4_15_5">#REF!</definedName>
    <definedName name="ContWithAcct_4_16">NA()</definedName>
    <definedName name="ContWithAcct_4_16_3">NA()</definedName>
    <definedName name="ContWithAcct_4_16_3_5">#REF!</definedName>
    <definedName name="ContWithAcct_4_16_5">#REF!</definedName>
    <definedName name="ContWithAcct_4_17">NA()</definedName>
    <definedName name="ContWithAcct_4_17_3">NA()</definedName>
    <definedName name="ContWithAcct_4_17_3_5">#REF!</definedName>
    <definedName name="ContWithAcct_4_17_5">#REF!</definedName>
    <definedName name="ContWithAcct_4_18">NA()</definedName>
    <definedName name="ContWithAcct_4_18_1">NA()</definedName>
    <definedName name="ContWithAcct_4_18_1_3">NA()</definedName>
    <definedName name="ContWithAcct_4_18_1_3_5">#REF!</definedName>
    <definedName name="ContWithAcct_4_18_1_5">#REF!</definedName>
    <definedName name="ContWithAcct_4_18_5">#REF!</definedName>
    <definedName name="ContWithAcct_4_19">NA()</definedName>
    <definedName name="ContWithAcct_4_19_5">#REF!</definedName>
    <definedName name="ContWithAcct_4_20">NA()</definedName>
    <definedName name="ContWithAcct_4_20_3">NA()</definedName>
    <definedName name="ContWithAcct_4_20_3_5">#REF!</definedName>
    <definedName name="ContWithAcct_4_20_5">#REF!</definedName>
    <definedName name="ContWithAcct_4_21">NA()</definedName>
    <definedName name="ContWithAcct_4_21_1">NA()</definedName>
    <definedName name="ContWithAcct_4_21_1_3">NA()</definedName>
    <definedName name="ContWithAcct_4_21_1_3_5">#REF!</definedName>
    <definedName name="ContWithAcct_4_21_1_5">#REF!</definedName>
    <definedName name="ContWithAcct_4_21_5">#REF!</definedName>
    <definedName name="ContWithAcct_4_22">NA()</definedName>
    <definedName name="ContWithAcct_4_22_3">NA()</definedName>
    <definedName name="ContWithAcct_4_22_3_5">#REF!</definedName>
    <definedName name="ContWithAcct_4_22_5">#REF!</definedName>
    <definedName name="ContWithAcct_4_23">NA()</definedName>
    <definedName name="ContWithAcct_4_23_3">NA()</definedName>
    <definedName name="ContWithAcct_4_23_3_5">#REF!</definedName>
    <definedName name="ContWithAcct_4_23_5">#REF!</definedName>
    <definedName name="ContWithAcct_4_24">NA()</definedName>
    <definedName name="ContWithAcct_4_24_3">NA()</definedName>
    <definedName name="ContWithAcct_4_24_3_5">#REF!</definedName>
    <definedName name="ContWithAcct_4_24_5">#REF!</definedName>
    <definedName name="ContWithAcct_4_25">NA()</definedName>
    <definedName name="ContWithAcct_4_25_3">NA()</definedName>
    <definedName name="ContWithAcct_4_25_3_5">#REF!</definedName>
    <definedName name="ContWithAcct_4_25_5">#REF!</definedName>
    <definedName name="ContWithAcct_4_26">NA()</definedName>
    <definedName name="ContWithAcct_4_26_3">NA()</definedName>
    <definedName name="ContWithAcct_4_26_3_5">#REF!</definedName>
    <definedName name="ContWithAcct_4_26_5">#REF!</definedName>
    <definedName name="ContWithAcct_4_27">NA()</definedName>
    <definedName name="ContWithAcct_4_27_3">NA()</definedName>
    <definedName name="ContWithAcct_4_27_3_5">#REF!</definedName>
    <definedName name="ContWithAcct_4_27_5">#REF!</definedName>
    <definedName name="ContWithAcct_4_28">NA()</definedName>
    <definedName name="ContWithAcct_4_28_3">NA()</definedName>
    <definedName name="ContWithAcct_4_28_3_5">#REF!</definedName>
    <definedName name="ContWithAcct_4_28_5">#REF!</definedName>
    <definedName name="ContWithAcct_4_5">#REF!</definedName>
    <definedName name="ContWithAcct_4_6">NA()</definedName>
    <definedName name="ContWithAcct_4_6_3">NA()</definedName>
    <definedName name="ContWithAcct_4_6_3_5">#REF!</definedName>
    <definedName name="ContWithAcct_4_6_5">#REF!</definedName>
    <definedName name="ContWithAcct_4_7">NA()</definedName>
    <definedName name="ContWithAcct_4_7_3">NA()</definedName>
    <definedName name="ContWithAcct_4_7_3_5">#REF!</definedName>
    <definedName name="ContWithAcct_4_7_5">#REF!</definedName>
    <definedName name="ContWithAcct_4_8">NA()</definedName>
    <definedName name="ContWithAcct_4_8_3">NA()</definedName>
    <definedName name="ContWithAcct_4_8_3_5">#REF!</definedName>
    <definedName name="ContWithAcct_4_8_5">#REF!</definedName>
    <definedName name="ContWithAcct_4_9">NA()</definedName>
    <definedName name="ContWithAcct_4_9_3">NA()</definedName>
    <definedName name="ContWithAcct_4_9_3_5">#REF!</definedName>
    <definedName name="ContWithAcct_4_9_5">#REF!</definedName>
    <definedName name="ContWithAcct_5">#REF!</definedName>
    <definedName name="ContWithAcct_5_1">NA()</definedName>
    <definedName name="ContWithAcct_5_17">NA()</definedName>
    <definedName name="ContWithAcct_5_17_3">NA()</definedName>
    <definedName name="ContWithAcct_5_17_3_5">#REF!</definedName>
    <definedName name="ContWithAcct_5_17_5">#REF!</definedName>
    <definedName name="ContWithAcct_5_28">NA()</definedName>
    <definedName name="ContWithAcct_5_28_3">NA()</definedName>
    <definedName name="ContWithAcct_5_28_3_5">#REF!</definedName>
    <definedName name="ContWithAcct_5_28_5">#REF!</definedName>
    <definedName name="ContWithAcct_5_3">NA()</definedName>
    <definedName name="ContWithAcct_5_3_5">#REF!</definedName>
    <definedName name="ContWithAcct_5_5">#REF!</definedName>
    <definedName name="ContWithAcct_5_6">NA()</definedName>
    <definedName name="ContWithAcct_5_6_3">NA()</definedName>
    <definedName name="ContWithAcct_5_6_3_5">#REF!</definedName>
    <definedName name="ContWithAcct_5_6_5">#REF!</definedName>
    <definedName name="ContWithAcct_6">NA()</definedName>
    <definedName name="ContWithAcct_6_1">NA()</definedName>
    <definedName name="ContWithAcct_6_1_5">#REF!</definedName>
    <definedName name="ContWithAcct_6_10">NA()</definedName>
    <definedName name="ContWithAcct_6_10_3">NA()</definedName>
    <definedName name="ContWithAcct_6_10_3_5">#REF!</definedName>
    <definedName name="ContWithAcct_6_10_5">#REF!</definedName>
    <definedName name="ContWithAcct_6_12">NA()</definedName>
    <definedName name="ContWithAcct_6_12_3">NA()</definedName>
    <definedName name="ContWithAcct_6_12_3_5">#REF!</definedName>
    <definedName name="ContWithAcct_6_12_5">#REF!</definedName>
    <definedName name="ContWithAcct_6_13">NA()</definedName>
    <definedName name="ContWithAcct_6_13_3">NA()</definedName>
    <definedName name="ContWithAcct_6_13_3_5">#REF!</definedName>
    <definedName name="ContWithAcct_6_13_5">#REF!</definedName>
    <definedName name="ContWithAcct_6_14">NA()</definedName>
    <definedName name="ContWithAcct_6_14_3">NA()</definedName>
    <definedName name="ContWithAcct_6_14_3_5">#REF!</definedName>
    <definedName name="ContWithAcct_6_14_5">#REF!</definedName>
    <definedName name="ContWithAcct_6_15">NA()</definedName>
    <definedName name="ContWithAcct_6_15_3">NA()</definedName>
    <definedName name="ContWithAcct_6_15_3_5">#REF!</definedName>
    <definedName name="ContWithAcct_6_15_5">#REF!</definedName>
    <definedName name="ContWithAcct_6_16">NA()</definedName>
    <definedName name="ContWithAcct_6_16_3">NA()</definedName>
    <definedName name="ContWithAcct_6_16_3_5">#REF!</definedName>
    <definedName name="ContWithAcct_6_16_5">#REF!</definedName>
    <definedName name="ContWithAcct_6_17">NA()</definedName>
    <definedName name="ContWithAcct_6_17_3">NA()</definedName>
    <definedName name="ContWithAcct_6_17_3_5">#REF!</definedName>
    <definedName name="ContWithAcct_6_17_5">#REF!</definedName>
    <definedName name="ContWithAcct_6_18">NA()</definedName>
    <definedName name="ContWithAcct_6_18_1">NA()</definedName>
    <definedName name="ContWithAcct_6_18_1_3">NA()</definedName>
    <definedName name="ContWithAcct_6_18_1_3_5">#REF!</definedName>
    <definedName name="ContWithAcct_6_18_1_5">#REF!</definedName>
    <definedName name="ContWithAcct_6_18_5">#REF!</definedName>
    <definedName name="ContWithAcct_6_19">NA()</definedName>
    <definedName name="ContWithAcct_6_19_5">#REF!</definedName>
    <definedName name="ContWithAcct_6_20">NA()</definedName>
    <definedName name="ContWithAcct_6_20_3">NA()</definedName>
    <definedName name="ContWithAcct_6_20_3_5">#REF!</definedName>
    <definedName name="ContWithAcct_6_20_5">#REF!</definedName>
    <definedName name="ContWithAcct_6_21">NA()</definedName>
    <definedName name="ContWithAcct_6_21_1">NA()</definedName>
    <definedName name="ContWithAcct_6_21_1_3">NA()</definedName>
    <definedName name="ContWithAcct_6_21_1_3_5">#REF!</definedName>
    <definedName name="ContWithAcct_6_21_1_5">#REF!</definedName>
    <definedName name="ContWithAcct_6_21_5">#REF!</definedName>
    <definedName name="ContWithAcct_6_22">NA()</definedName>
    <definedName name="ContWithAcct_6_22_3">NA()</definedName>
    <definedName name="ContWithAcct_6_22_3_5">#REF!</definedName>
    <definedName name="ContWithAcct_6_22_5">#REF!</definedName>
    <definedName name="ContWithAcct_6_23">NA()</definedName>
    <definedName name="ContWithAcct_6_23_3">NA()</definedName>
    <definedName name="ContWithAcct_6_23_3_5">#REF!</definedName>
    <definedName name="ContWithAcct_6_23_5">#REF!</definedName>
    <definedName name="ContWithAcct_6_24">NA()</definedName>
    <definedName name="ContWithAcct_6_24_3">NA()</definedName>
    <definedName name="ContWithAcct_6_24_3_5">#REF!</definedName>
    <definedName name="ContWithAcct_6_24_5">#REF!</definedName>
    <definedName name="ContWithAcct_6_25">NA()</definedName>
    <definedName name="ContWithAcct_6_25_3">NA()</definedName>
    <definedName name="ContWithAcct_6_25_3_5">#REF!</definedName>
    <definedName name="ContWithAcct_6_25_5">#REF!</definedName>
    <definedName name="ContWithAcct_6_26">NA()</definedName>
    <definedName name="ContWithAcct_6_26_3">NA()</definedName>
    <definedName name="ContWithAcct_6_26_3_5">#REF!</definedName>
    <definedName name="ContWithAcct_6_26_5">#REF!</definedName>
    <definedName name="ContWithAcct_6_27">NA()</definedName>
    <definedName name="ContWithAcct_6_27_3">NA()</definedName>
    <definedName name="ContWithAcct_6_27_3_5">#REF!</definedName>
    <definedName name="ContWithAcct_6_27_5">#REF!</definedName>
    <definedName name="ContWithAcct_6_28">NA()</definedName>
    <definedName name="ContWithAcct_6_28_3">NA()</definedName>
    <definedName name="ContWithAcct_6_28_3_5">#REF!</definedName>
    <definedName name="ContWithAcct_6_28_5">#REF!</definedName>
    <definedName name="ContWithAcct_6_5">#REF!</definedName>
    <definedName name="ContWithAcct_6_6">NA()</definedName>
    <definedName name="ContWithAcct_6_6_3">NA()</definedName>
    <definedName name="ContWithAcct_6_6_3_5">#REF!</definedName>
    <definedName name="ContWithAcct_6_6_5">#REF!</definedName>
    <definedName name="ContWithAcct_6_7">NA()</definedName>
    <definedName name="ContWithAcct_6_7_3">NA()</definedName>
    <definedName name="ContWithAcct_6_7_3_5">#REF!</definedName>
    <definedName name="ContWithAcct_6_7_5">#REF!</definedName>
    <definedName name="ContWithAcct_6_8">NA()</definedName>
    <definedName name="ContWithAcct_6_8_3">NA()</definedName>
    <definedName name="ContWithAcct_6_8_3_5">#REF!</definedName>
    <definedName name="ContWithAcct_6_8_5">#REF!</definedName>
    <definedName name="ContWithAcct_6_9">NA()</definedName>
    <definedName name="ContWithAcct_6_9_1">NA()</definedName>
    <definedName name="ContWithAcct_6_9_1_1">NA()</definedName>
    <definedName name="ContWithAcct_6_9_1_1_3">NA()</definedName>
    <definedName name="ContWithAcct_6_9_1_1_3_5">#REF!</definedName>
    <definedName name="ContWithAcct_6_9_1_1_5">#REF!</definedName>
    <definedName name="ContWithAcct_6_9_1_3">NA()</definedName>
    <definedName name="ContWithAcct_6_9_1_3_5">#REF!</definedName>
    <definedName name="ContWithAcct_6_9_1_5">#REF!</definedName>
    <definedName name="ContWithAcct_6_9_5">#REF!</definedName>
    <definedName name="ContWithAcct_7">NA()</definedName>
    <definedName name="ContWithAcct_7_5">#REF!</definedName>
    <definedName name="ContWithAcct_8">NA()</definedName>
    <definedName name="ContWithAcct_8_3">NA()</definedName>
    <definedName name="ContWithAcct_8_3_5">#REF!</definedName>
    <definedName name="ContWithAcct_8_5">#REF!</definedName>
    <definedName name="ContWithAcct_9">NA()</definedName>
    <definedName name="ContWithAcct_9_3">NA()</definedName>
    <definedName name="ContWithAcct_9_3_5">#REF!</definedName>
    <definedName name="ContWithAcct_9_5">#REF!</definedName>
    <definedName name="ContWithName">NA()</definedName>
    <definedName name="ContWithName_1">NA()</definedName>
    <definedName name="ContWithName_1_3">NA()</definedName>
    <definedName name="ContWithName_1_3_5">#REF!</definedName>
    <definedName name="ContWithName_1_5">#REF!</definedName>
    <definedName name="ContWithName_10">NA()</definedName>
    <definedName name="ContWithName_10_1">NA()</definedName>
    <definedName name="ContWithName_10_1_3">NA()</definedName>
    <definedName name="ContWithName_10_1_3_5">#REF!</definedName>
    <definedName name="ContWithName_10_1_5">#REF!</definedName>
    <definedName name="ContWithName_10_17">NA()</definedName>
    <definedName name="ContWithName_10_17_3">NA()</definedName>
    <definedName name="ContWithName_10_17_3_5">#REF!</definedName>
    <definedName name="ContWithName_10_17_5">#REF!</definedName>
    <definedName name="ContWithName_10_5">#REF!</definedName>
    <definedName name="ContWithName_11">NA()</definedName>
    <definedName name="ContWithName_11_1">NA()</definedName>
    <definedName name="ContWithName_11_1_5">#REF!</definedName>
    <definedName name="ContWithName_11_5">#REF!</definedName>
    <definedName name="ContWithName_12">NA()</definedName>
    <definedName name="ContWithName_12_3">NA()</definedName>
    <definedName name="ContWithName_12_3_5">#REF!</definedName>
    <definedName name="ContWithName_12_5">#REF!</definedName>
    <definedName name="ContWithName_13">NA()</definedName>
    <definedName name="ContWithName_13_3">NA()</definedName>
    <definedName name="ContWithName_13_3_5">#REF!</definedName>
    <definedName name="ContWithName_13_5">#REF!</definedName>
    <definedName name="ContWithName_14">NA()</definedName>
    <definedName name="ContWithName_14_5">#REF!</definedName>
    <definedName name="ContWithName_15">NA()</definedName>
    <definedName name="ContWithName_15_1">NA()</definedName>
    <definedName name="ContWithName_15_1_3">NA()</definedName>
    <definedName name="ContWithName_15_1_3_5">#REF!</definedName>
    <definedName name="ContWithName_15_1_5">#REF!</definedName>
    <definedName name="ContWithName_15_3">NA()</definedName>
    <definedName name="ContWithName_15_3_5">#REF!</definedName>
    <definedName name="ContWithName_15_5">#REF!</definedName>
    <definedName name="ContWithName_16">NA()</definedName>
    <definedName name="ContWithName_16_1">NA()</definedName>
    <definedName name="ContWithName_16_1_3">NA()</definedName>
    <definedName name="ContWithName_16_1_3_5">#REF!</definedName>
    <definedName name="ContWithName_16_1_5">#REF!</definedName>
    <definedName name="ContWithName_16_3">NA()</definedName>
    <definedName name="ContWithName_16_3_5">#REF!</definedName>
    <definedName name="ContWithName_16_5">#REF!</definedName>
    <definedName name="ContWithName_17">NA()</definedName>
    <definedName name="ContWithName_17_1">NA()</definedName>
    <definedName name="ContWithName_17_1_5">#REF!</definedName>
    <definedName name="ContWithName_17_3">NA()</definedName>
    <definedName name="ContWithName_17_3_5">#REF!</definedName>
    <definedName name="ContWithName_17_5">#REF!</definedName>
    <definedName name="ContWithName_18">NA()</definedName>
    <definedName name="ContWithName_18_1">NA()</definedName>
    <definedName name="ContWithName_18_1_5">#REF!</definedName>
    <definedName name="ContWithName_18_5">#REF!</definedName>
    <definedName name="ContWithName_19">NA()</definedName>
    <definedName name="ContWithName_19_1">NA()</definedName>
    <definedName name="ContWithName_19_1_5">#REF!</definedName>
    <definedName name="ContWithName_19_5">#REF!</definedName>
    <definedName name="ContWithName_2">NA()</definedName>
    <definedName name="ContWithName_2_5">#REF!</definedName>
    <definedName name="ContWithName_20">NA()</definedName>
    <definedName name="ContWithName_20_1">NA()</definedName>
    <definedName name="ContWithName_20_1_3">NA()</definedName>
    <definedName name="ContWithName_20_1_3_5">#REF!</definedName>
    <definedName name="ContWithName_20_1_5">#REF!</definedName>
    <definedName name="ContWithName_20_5">#REF!</definedName>
    <definedName name="ContWithName_21">NA()</definedName>
    <definedName name="ContWithName_21_1">NA()</definedName>
    <definedName name="ContWithName_21_1_1">NA()</definedName>
    <definedName name="ContWithName_21_1_1_3">NA()</definedName>
    <definedName name="ContWithName_21_1_1_3_5">#REF!</definedName>
    <definedName name="ContWithName_21_1_1_5">#REF!</definedName>
    <definedName name="ContWithName_21_1_3">NA()</definedName>
    <definedName name="ContWithName_21_1_3_5">#REF!</definedName>
    <definedName name="ContWithName_21_1_5">#REF!</definedName>
    <definedName name="ContWithName_21_5">#REF!</definedName>
    <definedName name="ContWithName_22">NA()</definedName>
    <definedName name="ContWithName_22_3">NA()</definedName>
    <definedName name="ContWithName_22_3_5">#REF!</definedName>
    <definedName name="ContWithName_22_5">#REF!</definedName>
    <definedName name="ContWithName_23">NA()</definedName>
    <definedName name="ContWithName_23_3">NA()</definedName>
    <definedName name="ContWithName_23_3_5">#REF!</definedName>
    <definedName name="ContWithName_23_5">#REF!</definedName>
    <definedName name="ContWithName_24">NA()</definedName>
    <definedName name="ContWithName_24_3">NA()</definedName>
    <definedName name="ContWithName_24_3_5">#REF!</definedName>
    <definedName name="ContWithName_24_5">#REF!</definedName>
    <definedName name="ContWithName_25">NA()</definedName>
    <definedName name="ContWithName_25_3">NA()</definedName>
    <definedName name="ContWithName_25_3_5">#REF!</definedName>
    <definedName name="ContWithName_25_5">#REF!</definedName>
    <definedName name="ContWithName_26">NA()</definedName>
    <definedName name="ContWithName_26_1">NA()</definedName>
    <definedName name="ContWithName_26_1_3">NA()</definedName>
    <definedName name="ContWithName_26_1_3_5">#REF!</definedName>
    <definedName name="ContWithName_26_1_5">#REF!</definedName>
    <definedName name="ContWithName_26_3">NA()</definedName>
    <definedName name="ContWithName_26_3_5">#REF!</definedName>
    <definedName name="ContWithName_26_5">#REF!</definedName>
    <definedName name="ContWithName_27">NA()</definedName>
    <definedName name="ContWithName_27_1">NA()</definedName>
    <definedName name="ContWithName_27_1_3">NA()</definedName>
    <definedName name="ContWithName_27_1_3_5">#REF!</definedName>
    <definedName name="ContWithName_27_1_5">#REF!</definedName>
    <definedName name="ContWithName_27_3">NA()</definedName>
    <definedName name="ContWithName_27_3_5">#REF!</definedName>
    <definedName name="ContWithName_27_5">#REF!</definedName>
    <definedName name="ContWithName_28">NA()</definedName>
    <definedName name="ContWithName_28_1">NA()</definedName>
    <definedName name="ContWithName_28_1_3">NA()</definedName>
    <definedName name="ContWithName_28_1_3_5">#REF!</definedName>
    <definedName name="ContWithName_28_1_5">#REF!</definedName>
    <definedName name="ContWithName_28_3">NA()</definedName>
    <definedName name="ContWithName_28_3_5">#REF!</definedName>
    <definedName name="ContWithName_28_5">#REF!</definedName>
    <definedName name="ContWithName_29">NA()</definedName>
    <definedName name="ContWithName_29_3">NA()</definedName>
    <definedName name="ContWithName_29_3_5">#REF!</definedName>
    <definedName name="ContWithName_29_5">#REF!</definedName>
    <definedName name="ContWithName_3">NA()</definedName>
    <definedName name="ContWithName_3_5">#REF!</definedName>
    <definedName name="ContWithName_4">NA()</definedName>
    <definedName name="ContWithName_4_1">NA()</definedName>
    <definedName name="ContWithName_4_1_1">NA()</definedName>
    <definedName name="ContWithName_4_1_1_1">NA()</definedName>
    <definedName name="ContWithName_4_1_1_1_1">NA()</definedName>
    <definedName name="ContWithName_4_1_1_1_1_1">NA()</definedName>
    <definedName name="ContWithName_4_1_1_1_1_1_5">#REF!</definedName>
    <definedName name="ContWithName_4_1_1_1_1_3">NA()</definedName>
    <definedName name="ContWithName_4_1_1_1_1_3_5">#REF!</definedName>
    <definedName name="ContWithName_4_1_1_1_1_5">#REF!</definedName>
    <definedName name="ContWithName_4_1_1_1_3">NA()</definedName>
    <definedName name="ContWithName_4_1_1_1_3_1">NA()</definedName>
    <definedName name="ContWithName_4_1_1_1_3_1_5">#REF!</definedName>
    <definedName name="ContWithName_4_1_1_1_3_5">#REF!</definedName>
    <definedName name="ContWithName_4_1_1_1_5">#REF!</definedName>
    <definedName name="ContWithName_4_1_1_3">NA()</definedName>
    <definedName name="ContWithName_4_1_1_3_5">#REF!</definedName>
    <definedName name="ContWithName_4_1_1_5">#REF!</definedName>
    <definedName name="ContWithName_4_1_17">NA()</definedName>
    <definedName name="ContWithName_4_1_17_3">NA()</definedName>
    <definedName name="ContWithName_4_1_17_3_5">#REF!</definedName>
    <definedName name="ContWithName_4_1_17_5">#REF!</definedName>
    <definedName name="ContWithName_4_1_28">NA()</definedName>
    <definedName name="ContWithName_4_1_28_3">NA()</definedName>
    <definedName name="ContWithName_4_1_28_3_5">#REF!</definedName>
    <definedName name="ContWithName_4_1_28_5">#REF!</definedName>
    <definedName name="ContWithName_4_1_5">#REF!</definedName>
    <definedName name="ContWithName_4_1_6">NA()</definedName>
    <definedName name="ContWithName_4_1_6_3">NA()</definedName>
    <definedName name="ContWithName_4_1_6_3_5">#REF!</definedName>
    <definedName name="ContWithName_4_1_6_5">#REF!</definedName>
    <definedName name="ContWithName_4_10">NA()</definedName>
    <definedName name="ContWithName_4_10_3">NA()</definedName>
    <definedName name="ContWithName_4_10_3_5">#REF!</definedName>
    <definedName name="ContWithName_4_10_5">#REF!</definedName>
    <definedName name="ContWithName_4_12">NA()</definedName>
    <definedName name="ContWithName_4_12_3">NA()</definedName>
    <definedName name="ContWithName_4_12_3_5">#REF!</definedName>
    <definedName name="ContWithName_4_12_5">#REF!</definedName>
    <definedName name="ContWithName_4_13">NA()</definedName>
    <definedName name="ContWithName_4_13_3">NA()</definedName>
    <definedName name="ContWithName_4_13_3_5">#REF!</definedName>
    <definedName name="ContWithName_4_13_5">#REF!</definedName>
    <definedName name="ContWithName_4_14">NA()</definedName>
    <definedName name="ContWithName_4_14_3">NA()</definedName>
    <definedName name="ContWithName_4_14_3_5">#REF!</definedName>
    <definedName name="ContWithName_4_14_5">#REF!</definedName>
    <definedName name="ContWithName_4_15">NA()</definedName>
    <definedName name="ContWithName_4_15_3">NA()</definedName>
    <definedName name="ContWithName_4_15_3_5">#REF!</definedName>
    <definedName name="ContWithName_4_15_5">#REF!</definedName>
    <definedName name="ContWithName_4_16">NA()</definedName>
    <definedName name="ContWithName_4_16_3">NA()</definedName>
    <definedName name="ContWithName_4_16_3_5">#REF!</definedName>
    <definedName name="ContWithName_4_16_5">#REF!</definedName>
    <definedName name="ContWithName_4_17">NA()</definedName>
    <definedName name="ContWithName_4_17_3">NA()</definedName>
    <definedName name="ContWithName_4_17_3_5">#REF!</definedName>
    <definedName name="ContWithName_4_17_5">#REF!</definedName>
    <definedName name="ContWithName_4_18">NA()</definedName>
    <definedName name="ContWithName_4_18_1">NA()</definedName>
    <definedName name="ContWithName_4_18_1_5">#REF!</definedName>
    <definedName name="ContWithName_4_18_5">#REF!</definedName>
    <definedName name="ContWithName_4_19">NA()</definedName>
    <definedName name="ContWithName_4_19_5">#REF!</definedName>
    <definedName name="ContWithName_4_20">NA()</definedName>
    <definedName name="ContWithName_4_20_3">NA()</definedName>
    <definedName name="ContWithName_4_20_3_5">#REF!</definedName>
    <definedName name="ContWithName_4_20_5">#REF!</definedName>
    <definedName name="ContWithName_4_21">NA()</definedName>
    <definedName name="ContWithName_4_21_1">NA()</definedName>
    <definedName name="ContWithName_4_21_1_3">NA()</definedName>
    <definedName name="ContWithName_4_21_1_3_5">#REF!</definedName>
    <definedName name="ContWithName_4_21_1_5">#REF!</definedName>
    <definedName name="ContWithName_4_21_5">#REF!</definedName>
    <definedName name="ContWithName_4_22">NA()</definedName>
    <definedName name="ContWithName_4_22_3">NA()</definedName>
    <definedName name="ContWithName_4_22_3_5">#REF!</definedName>
    <definedName name="ContWithName_4_22_5">#REF!</definedName>
    <definedName name="ContWithName_4_23">NA()</definedName>
    <definedName name="ContWithName_4_23_3">NA()</definedName>
    <definedName name="ContWithName_4_23_3_5">#REF!</definedName>
    <definedName name="ContWithName_4_23_5">#REF!</definedName>
    <definedName name="ContWithName_4_24">NA()</definedName>
    <definedName name="ContWithName_4_24_3">NA()</definedName>
    <definedName name="ContWithName_4_24_3_5">#REF!</definedName>
    <definedName name="ContWithName_4_24_5">#REF!</definedName>
    <definedName name="ContWithName_4_25">NA()</definedName>
    <definedName name="ContWithName_4_25_3">NA()</definedName>
    <definedName name="ContWithName_4_25_3_5">#REF!</definedName>
    <definedName name="ContWithName_4_25_5">#REF!</definedName>
    <definedName name="ContWithName_4_26">NA()</definedName>
    <definedName name="ContWithName_4_26_3">NA()</definedName>
    <definedName name="ContWithName_4_26_3_5">#REF!</definedName>
    <definedName name="ContWithName_4_26_5">#REF!</definedName>
    <definedName name="ContWithName_4_27">NA()</definedName>
    <definedName name="ContWithName_4_27_3">NA()</definedName>
    <definedName name="ContWithName_4_27_3_5">#REF!</definedName>
    <definedName name="ContWithName_4_27_5">#REF!</definedName>
    <definedName name="ContWithName_4_28">NA()</definedName>
    <definedName name="ContWithName_4_28_3">NA()</definedName>
    <definedName name="ContWithName_4_28_3_5">#REF!</definedName>
    <definedName name="ContWithName_4_28_5">#REF!</definedName>
    <definedName name="ContWithName_4_5">#REF!</definedName>
    <definedName name="ContWithName_4_6">NA()</definedName>
    <definedName name="ContWithName_4_6_3">NA()</definedName>
    <definedName name="ContWithName_4_6_3_5">#REF!</definedName>
    <definedName name="ContWithName_4_6_5">#REF!</definedName>
    <definedName name="ContWithName_4_7">NA()</definedName>
    <definedName name="ContWithName_4_7_3">NA()</definedName>
    <definedName name="ContWithName_4_7_3_5">#REF!</definedName>
    <definedName name="ContWithName_4_7_5">#REF!</definedName>
    <definedName name="ContWithName_4_8">NA()</definedName>
    <definedName name="ContWithName_4_8_3">NA()</definedName>
    <definedName name="ContWithName_4_8_3_5">#REF!</definedName>
    <definedName name="ContWithName_4_8_5">#REF!</definedName>
    <definedName name="ContWithName_4_9">NA()</definedName>
    <definedName name="ContWithName_4_9_3">NA()</definedName>
    <definedName name="ContWithName_4_9_3_5">#REF!</definedName>
    <definedName name="ContWithName_4_9_5">#REF!</definedName>
    <definedName name="ContWithName_5">#REF!</definedName>
    <definedName name="ContWithName_5_1">NA()</definedName>
    <definedName name="ContWithName_5_17">NA()</definedName>
    <definedName name="ContWithName_5_17_3">NA()</definedName>
    <definedName name="ContWithName_5_17_3_5">#REF!</definedName>
    <definedName name="ContWithName_5_17_5">#REF!</definedName>
    <definedName name="ContWithName_5_28">NA()</definedName>
    <definedName name="ContWithName_5_28_3">NA()</definedName>
    <definedName name="ContWithName_5_28_3_5">#REF!</definedName>
    <definedName name="ContWithName_5_28_5">#REF!</definedName>
    <definedName name="ContWithName_5_3">NA()</definedName>
    <definedName name="ContWithName_5_3_5">#REF!</definedName>
    <definedName name="ContWithName_5_5">#REF!</definedName>
    <definedName name="ContWithName_5_6">NA()</definedName>
    <definedName name="ContWithName_5_6_3">NA()</definedName>
    <definedName name="ContWithName_5_6_3_5">#REF!</definedName>
    <definedName name="ContWithName_5_6_5">#REF!</definedName>
    <definedName name="ContWithName_6">NA()</definedName>
    <definedName name="ContWithName_6_1">NA()</definedName>
    <definedName name="ContWithName_6_1_5">#REF!</definedName>
    <definedName name="ContWithName_6_10">NA()</definedName>
    <definedName name="ContWithName_6_10_3">NA()</definedName>
    <definedName name="ContWithName_6_10_3_5">#REF!</definedName>
    <definedName name="ContWithName_6_10_5">#REF!</definedName>
    <definedName name="ContWithName_6_12">NA()</definedName>
    <definedName name="ContWithName_6_12_3">NA()</definedName>
    <definedName name="ContWithName_6_12_3_5">#REF!</definedName>
    <definedName name="ContWithName_6_12_5">#REF!</definedName>
    <definedName name="ContWithName_6_13">NA()</definedName>
    <definedName name="ContWithName_6_13_3">NA()</definedName>
    <definedName name="ContWithName_6_13_3_5">#REF!</definedName>
    <definedName name="ContWithName_6_13_5">#REF!</definedName>
    <definedName name="ContWithName_6_14">NA()</definedName>
    <definedName name="ContWithName_6_14_3">NA()</definedName>
    <definedName name="ContWithName_6_14_3_5">#REF!</definedName>
    <definedName name="ContWithName_6_14_5">#REF!</definedName>
    <definedName name="ContWithName_6_15">NA()</definedName>
    <definedName name="ContWithName_6_15_3">NA()</definedName>
    <definedName name="ContWithName_6_15_3_5">#REF!</definedName>
    <definedName name="ContWithName_6_15_5">#REF!</definedName>
    <definedName name="ContWithName_6_16">NA()</definedName>
    <definedName name="ContWithName_6_16_3">NA()</definedName>
    <definedName name="ContWithName_6_16_3_5">#REF!</definedName>
    <definedName name="ContWithName_6_16_5">#REF!</definedName>
    <definedName name="ContWithName_6_17">NA()</definedName>
    <definedName name="ContWithName_6_17_3">NA()</definedName>
    <definedName name="ContWithName_6_17_3_5">#REF!</definedName>
    <definedName name="ContWithName_6_17_5">#REF!</definedName>
    <definedName name="ContWithName_6_18">NA()</definedName>
    <definedName name="ContWithName_6_18_1">NA()</definedName>
    <definedName name="ContWithName_6_18_1_5">#REF!</definedName>
    <definedName name="ContWithName_6_18_5">#REF!</definedName>
    <definedName name="ContWithName_6_19">NA()</definedName>
    <definedName name="ContWithName_6_19_5">#REF!</definedName>
    <definedName name="ContWithName_6_20">NA()</definedName>
    <definedName name="ContWithName_6_20_3">NA()</definedName>
    <definedName name="ContWithName_6_20_3_5">#REF!</definedName>
    <definedName name="ContWithName_6_20_5">#REF!</definedName>
    <definedName name="ContWithName_6_21">NA()</definedName>
    <definedName name="ContWithName_6_21_1">NA()</definedName>
    <definedName name="ContWithName_6_21_1_3">NA()</definedName>
    <definedName name="ContWithName_6_21_1_3_5">#REF!</definedName>
    <definedName name="ContWithName_6_21_1_5">#REF!</definedName>
    <definedName name="ContWithName_6_21_5">#REF!</definedName>
    <definedName name="ContWithName_6_22">NA()</definedName>
    <definedName name="ContWithName_6_22_3">NA()</definedName>
    <definedName name="ContWithName_6_22_3_5">#REF!</definedName>
    <definedName name="ContWithName_6_22_5">#REF!</definedName>
    <definedName name="ContWithName_6_23">NA()</definedName>
    <definedName name="ContWithName_6_23_3">NA()</definedName>
    <definedName name="ContWithName_6_23_3_5">#REF!</definedName>
    <definedName name="ContWithName_6_23_5">#REF!</definedName>
    <definedName name="ContWithName_6_24">NA()</definedName>
    <definedName name="ContWithName_6_24_3">NA()</definedName>
    <definedName name="ContWithName_6_24_3_5">#REF!</definedName>
    <definedName name="ContWithName_6_24_5">#REF!</definedName>
    <definedName name="ContWithName_6_25">NA()</definedName>
    <definedName name="ContWithName_6_25_3">NA()</definedName>
    <definedName name="ContWithName_6_25_3_5">#REF!</definedName>
    <definedName name="ContWithName_6_25_5">#REF!</definedName>
    <definedName name="ContWithName_6_26">NA()</definedName>
    <definedName name="ContWithName_6_26_3">NA()</definedName>
    <definedName name="ContWithName_6_26_3_5">#REF!</definedName>
    <definedName name="ContWithName_6_26_5">#REF!</definedName>
    <definedName name="ContWithName_6_27">NA()</definedName>
    <definedName name="ContWithName_6_27_3">NA()</definedName>
    <definedName name="ContWithName_6_27_3_5">#REF!</definedName>
    <definedName name="ContWithName_6_27_5">#REF!</definedName>
    <definedName name="ContWithName_6_28">NA()</definedName>
    <definedName name="ContWithName_6_28_3">NA()</definedName>
    <definedName name="ContWithName_6_28_3_5">#REF!</definedName>
    <definedName name="ContWithName_6_28_5">#REF!</definedName>
    <definedName name="ContWithName_6_5">#REF!</definedName>
    <definedName name="ContWithName_6_6">NA()</definedName>
    <definedName name="ContWithName_6_6_3">NA()</definedName>
    <definedName name="ContWithName_6_6_3_5">#REF!</definedName>
    <definedName name="ContWithName_6_6_5">#REF!</definedName>
    <definedName name="ContWithName_6_7">NA()</definedName>
    <definedName name="ContWithName_6_7_3">NA()</definedName>
    <definedName name="ContWithName_6_7_3_5">#REF!</definedName>
    <definedName name="ContWithName_6_7_5">#REF!</definedName>
    <definedName name="ContWithName_6_8">NA()</definedName>
    <definedName name="ContWithName_6_8_3">NA()</definedName>
    <definedName name="ContWithName_6_8_3_5">#REF!</definedName>
    <definedName name="ContWithName_6_8_5">#REF!</definedName>
    <definedName name="ContWithName_6_9">NA()</definedName>
    <definedName name="ContWithName_6_9_1">NA()</definedName>
    <definedName name="ContWithName_6_9_1_1">NA()</definedName>
    <definedName name="ContWithName_6_9_1_1_3">NA()</definedName>
    <definedName name="ContWithName_6_9_1_1_3_5">#REF!</definedName>
    <definedName name="ContWithName_6_9_1_1_5">#REF!</definedName>
    <definedName name="ContWithName_6_9_1_3">NA()</definedName>
    <definedName name="ContWithName_6_9_1_3_5">#REF!</definedName>
    <definedName name="ContWithName_6_9_1_5">#REF!</definedName>
    <definedName name="ContWithName_6_9_5">#REF!</definedName>
    <definedName name="ContWithName_7">NA()</definedName>
    <definedName name="ContWithName_7_5">#REF!</definedName>
    <definedName name="ContWithName_8">NA()</definedName>
    <definedName name="ContWithName_8_3">NA()</definedName>
    <definedName name="ContWithName_8_3_5">#REF!</definedName>
    <definedName name="ContWithName_8_5">#REF!</definedName>
    <definedName name="ContWithName_9">NA()</definedName>
    <definedName name="ContWithName_9_3">NA()</definedName>
    <definedName name="ContWithName_9_3_5">#REF!</definedName>
    <definedName name="ContWithName_9_5">#REF!</definedName>
    <definedName name="ContWithPrio">NA()</definedName>
    <definedName name="ContWithPrio_1">NA()</definedName>
    <definedName name="ContWithPrio_1_3">NA()</definedName>
    <definedName name="ContWithPrio_1_3_5">#REF!</definedName>
    <definedName name="ContWithPrio_1_5">#REF!</definedName>
    <definedName name="ContWithPrio_10">NA()</definedName>
    <definedName name="ContWithPrio_10_1">NA()</definedName>
    <definedName name="ContWithPrio_10_1_3">NA()</definedName>
    <definedName name="ContWithPrio_10_1_3_5">#REF!</definedName>
    <definedName name="ContWithPrio_10_1_5">#REF!</definedName>
    <definedName name="ContWithPrio_10_17">NA()</definedName>
    <definedName name="ContWithPrio_10_17_3">NA()</definedName>
    <definedName name="ContWithPrio_10_17_3_5">#REF!</definedName>
    <definedName name="ContWithPrio_10_17_5">#REF!</definedName>
    <definedName name="ContWithPrio_10_5">#REF!</definedName>
    <definedName name="ContWithPrio_11">NA()</definedName>
    <definedName name="ContWithPrio_11_1">NA()</definedName>
    <definedName name="ContWithPrio_11_1_5">#REF!</definedName>
    <definedName name="ContWithPrio_11_5">#REF!</definedName>
    <definedName name="ContWithPrio_12">NA()</definedName>
    <definedName name="ContWithPrio_12_3">NA()</definedName>
    <definedName name="ContWithPrio_12_3_5">#REF!</definedName>
    <definedName name="ContWithPrio_12_5">#REF!</definedName>
    <definedName name="ContWithPrio_13">NA()</definedName>
    <definedName name="ContWithPrio_13_3">NA()</definedName>
    <definedName name="ContWithPrio_13_3_5">#REF!</definedName>
    <definedName name="ContWithPrio_13_5">#REF!</definedName>
    <definedName name="ContWithPrio_14">NA()</definedName>
    <definedName name="ContWithPrio_14_5">#REF!</definedName>
    <definedName name="ContWithPrio_15">NA()</definedName>
    <definedName name="ContWithPrio_15_1">NA()</definedName>
    <definedName name="ContWithPrio_15_1_3">NA()</definedName>
    <definedName name="ContWithPrio_15_1_3_5">#REF!</definedName>
    <definedName name="ContWithPrio_15_1_5">#REF!</definedName>
    <definedName name="ContWithPrio_15_3">NA()</definedName>
    <definedName name="ContWithPrio_15_3_5">#REF!</definedName>
    <definedName name="ContWithPrio_15_5">#REF!</definedName>
    <definedName name="ContWithPrio_16">NA()</definedName>
    <definedName name="ContWithPrio_16_1">NA()</definedName>
    <definedName name="ContWithPrio_16_1_3">NA()</definedName>
    <definedName name="ContWithPrio_16_1_3_5">#REF!</definedName>
    <definedName name="ContWithPrio_16_1_5">#REF!</definedName>
    <definedName name="ContWithPrio_16_3">NA()</definedName>
    <definedName name="ContWithPrio_16_3_5">#REF!</definedName>
    <definedName name="ContWithPrio_16_5">#REF!</definedName>
    <definedName name="ContWithPrio_17">NA()</definedName>
    <definedName name="ContWithPrio_17_1">NA()</definedName>
    <definedName name="ContWithPrio_17_1_5">#REF!</definedName>
    <definedName name="ContWithPrio_17_3">NA()</definedName>
    <definedName name="ContWithPrio_17_3_5">#REF!</definedName>
    <definedName name="ContWithPrio_17_5">#REF!</definedName>
    <definedName name="ContWithPrio_18">NA()</definedName>
    <definedName name="ContWithPrio_18_1">NA()</definedName>
    <definedName name="ContWithPrio_18_1_5">#REF!</definedName>
    <definedName name="ContWithPrio_18_5">#REF!</definedName>
    <definedName name="ContWithPrio_19">NA()</definedName>
    <definedName name="ContWithPrio_19_1">NA()</definedName>
    <definedName name="ContWithPrio_19_1_5">#REF!</definedName>
    <definedName name="ContWithPrio_19_5">#REF!</definedName>
    <definedName name="ContWithPrio_2">NA()</definedName>
    <definedName name="ContWithPrio_2_5">#REF!</definedName>
    <definedName name="ContWithPrio_20">NA()</definedName>
    <definedName name="ContWithPrio_20_1">NA()</definedName>
    <definedName name="ContWithPrio_20_1_3">NA()</definedName>
    <definedName name="ContWithPrio_20_1_3_5">#REF!</definedName>
    <definedName name="ContWithPrio_20_1_5">#REF!</definedName>
    <definedName name="ContWithPrio_20_5">#REF!</definedName>
    <definedName name="ContWithPrio_21">NA()</definedName>
    <definedName name="ContWithPrio_21_1">NA()</definedName>
    <definedName name="ContWithPrio_21_1_1">NA()</definedName>
    <definedName name="ContWithPrio_21_1_1_3">NA()</definedName>
    <definedName name="ContWithPrio_21_1_1_3_5">#REF!</definedName>
    <definedName name="ContWithPrio_21_1_1_5">#REF!</definedName>
    <definedName name="ContWithPrio_21_1_3">NA()</definedName>
    <definedName name="ContWithPrio_21_1_3_5">#REF!</definedName>
    <definedName name="ContWithPrio_21_1_5">#REF!</definedName>
    <definedName name="ContWithPrio_21_5">#REF!</definedName>
    <definedName name="ContWithPrio_22">NA()</definedName>
    <definedName name="ContWithPrio_22_3">NA()</definedName>
    <definedName name="ContWithPrio_22_3_5">#REF!</definedName>
    <definedName name="ContWithPrio_22_5">#REF!</definedName>
    <definedName name="ContWithPrio_23">NA()</definedName>
    <definedName name="ContWithPrio_23_3">NA()</definedName>
    <definedName name="ContWithPrio_23_3_5">#REF!</definedName>
    <definedName name="ContWithPrio_23_5">#REF!</definedName>
    <definedName name="ContWithPrio_24">NA()</definedName>
    <definedName name="ContWithPrio_24_3">NA()</definedName>
    <definedName name="ContWithPrio_24_3_5">#REF!</definedName>
    <definedName name="ContWithPrio_24_5">#REF!</definedName>
    <definedName name="ContWithPrio_25">NA()</definedName>
    <definedName name="ContWithPrio_25_3">NA()</definedName>
    <definedName name="ContWithPrio_25_3_5">#REF!</definedName>
    <definedName name="ContWithPrio_25_5">#REF!</definedName>
    <definedName name="ContWithPrio_26">NA()</definedName>
    <definedName name="ContWithPrio_26_1">NA()</definedName>
    <definedName name="ContWithPrio_26_1_3">NA()</definedName>
    <definedName name="ContWithPrio_26_1_3_5">#REF!</definedName>
    <definedName name="ContWithPrio_26_1_5">#REF!</definedName>
    <definedName name="ContWithPrio_26_3">NA()</definedName>
    <definedName name="ContWithPrio_26_3_5">#REF!</definedName>
    <definedName name="ContWithPrio_26_5">#REF!</definedName>
    <definedName name="ContWithPrio_27">NA()</definedName>
    <definedName name="ContWithPrio_27_1">NA()</definedName>
    <definedName name="ContWithPrio_27_1_3">NA()</definedName>
    <definedName name="ContWithPrio_27_1_3_5">#REF!</definedName>
    <definedName name="ContWithPrio_27_1_5">#REF!</definedName>
    <definedName name="ContWithPrio_27_3">NA()</definedName>
    <definedName name="ContWithPrio_27_3_5">#REF!</definedName>
    <definedName name="ContWithPrio_27_5">#REF!</definedName>
    <definedName name="ContWithPrio_28">NA()</definedName>
    <definedName name="ContWithPrio_28_1">NA()</definedName>
    <definedName name="ContWithPrio_28_1_3">NA()</definedName>
    <definedName name="ContWithPrio_28_1_3_5">#REF!</definedName>
    <definedName name="ContWithPrio_28_1_5">#REF!</definedName>
    <definedName name="ContWithPrio_28_3">NA()</definedName>
    <definedName name="ContWithPrio_28_3_5">#REF!</definedName>
    <definedName name="ContWithPrio_28_5">#REF!</definedName>
    <definedName name="ContWithPrio_29">NA()</definedName>
    <definedName name="ContWithPrio_29_3">NA()</definedName>
    <definedName name="ContWithPrio_29_3_5">#REF!</definedName>
    <definedName name="ContWithPrio_29_5">#REF!</definedName>
    <definedName name="ContWithPrio_3">NA()</definedName>
    <definedName name="ContWithPrio_3_5">#REF!</definedName>
    <definedName name="ContWithPrio_4">NA()</definedName>
    <definedName name="ContWithPrio_4_1">NA()</definedName>
    <definedName name="ContWithPrio_4_1_1">NA()</definedName>
    <definedName name="ContWithPrio_4_1_1_1">NA()</definedName>
    <definedName name="ContWithPrio_4_1_1_1_1">NA()</definedName>
    <definedName name="ContWithPrio_4_1_1_1_1_1">NA()</definedName>
    <definedName name="ContWithPrio_4_1_1_1_1_1_5">#REF!</definedName>
    <definedName name="ContWithPrio_4_1_1_1_1_3">NA()</definedName>
    <definedName name="ContWithPrio_4_1_1_1_1_3_5">#REF!</definedName>
    <definedName name="ContWithPrio_4_1_1_1_1_5">#REF!</definedName>
    <definedName name="ContWithPrio_4_1_1_1_3">NA()</definedName>
    <definedName name="ContWithPrio_4_1_1_1_3_1">NA()</definedName>
    <definedName name="ContWithPrio_4_1_1_1_3_1_5">#REF!</definedName>
    <definedName name="ContWithPrio_4_1_1_1_3_5">#REF!</definedName>
    <definedName name="ContWithPrio_4_1_1_1_5">#REF!</definedName>
    <definedName name="ContWithPrio_4_1_1_3">NA()</definedName>
    <definedName name="ContWithPrio_4_1_1_3_5">#REF!</definedName>
    <definedName name="ContWithPrio_4_1_1_5">#REF!</definedName>
    <definedName name="ContWithPrio_4_1_17">NA()</definedName>
    <definedName name="ContWithPrio_4_1_17_3">NA()</definedName>
    <definedName name="ContWithPrio_4_1_17_3_5">#REF!</definedName>
    <definedName name="ContWithPrio_4_1_17_5">#REF!</definedName>
    <definedName name="ContWithPrio_4_1_28">NA()</definedName>
    <definedName name="ContWithPrio_4_1_28_3">NA()</definedName>
    <definedName name="ContWithPrio_4_1_28_3_5">#REF!</definedName>
    <definedName name="ContWithPrio_4_1_28_5">#REF!</definedName>
    <definedName name="ContWithPrio_4_1_5">#REF!</definedName>
    <definedName name="ContWithPrio_4_1_6">NA()</definedName>
    <definedName name="ContWithPrio_4_1_6_3">NA()</definedName>
    <definedName name="ContWithPrio_4_1_6_3_5">#REF!</definedName>
    <definedName name="ContWithPrio_4_1_6_5">#REF!</definedName>
    <definedName name="ContWithPrio_4_10">NA()</definedName>
    <definedName name="ContWithPrio_4_10_3">NA()</definedName>
    <definedName name="ContWithPrio_4_10_3_5">#REF!</definedName>
    <definedName name="ContWithPrio_4_10_5">#REF!</definedName>
    <definedName name="ContWithPrio_4_12">NA()</definedName>
    <definedName name="ContWithPrio_4_12_3">NA()</definedName>
    <definedName name="ContWithPrio_4_12_3_5">#REF!</definedName>
    <definedName name="ContWithPrio_4_12_5">#REF!</definedName>
    <definedName name="ContWithPrio_4_13">NA()</definedName>
    <definedName name="ContWithPrio_4_13_3">NA()</definedName>
    <definedName name="ContWithPrio_4_13_3_5">#REF!</definedName>
    <definedName name="ContWithPrio_4_13_5">#REF!</definedName>
    <definedName name="ContWithPrio_4_14">NA()</definedName>
    <definedName name="ContWithPrio_4_14_3">NA()</definedName>
    <definedName name="ContWithPrio_4_14_3_5">#REF!</definedName>
    <definedName name="ContWithPrio_4_14_5">#REF!</definedName>
    <definedName name="ContWithPrio_4_15">NA()</definedName>
    <definedName name="ContWithPrio_4_15_3">NA()</definedName>
    <definedName name="ContWithPrio_4_15_3_5">#REF!</definedName>
    <definedName name="ContWithPrio_4_15_5">#REF!</definedName>
    <definedName name="ContWithPrio_4_16">NA()</definedName>
    <definedName name="ContWithPrio_4_16_3">NA()</definedName>
    <definedName name="ContWithPrio_4_16_3_5">#REF!</definedName>
    <definedName name="ContWithPrio_4_16_5">#REF!</definedName>
    <definedName name="ContWithPrio_4_17">NA()</definedName>
    <definedName name="ContWithPrio_4_17_3">NA()</definedName>
    <definedName name="ContWithPrio_4_17_3_5">#REF!</definedName>
    <definedName name="ContWithPrio_4_17_5">#REF!</definedName>
    <definedName name="ContWithPrio_4_18">NA()</definedName>
    <definedName name="ContWithPrio_4_18_1">NA()</definedName>
    <definedName name="ContWithPrio_4_18_1_5">#REF!</definedName>
    <definedName name="ContWithPrio_4_18_5">#REF!</definedName>
    <definedName name="ContWithPrio_4_19">NA()</definedName>
    <definedName name="ContWithPrio_4_19_5">#REF!</definedName>
    <definedName name="ContWithPrio_4_20">NA()</definedName>
    <definedName name="ContWithPrio_4_20_3">NA()</definedName>
    <definedName name="ContWithPrio_4_20_3_5">#REF!</definedName>
    <definedName name="ContWithPrio_4_20_5">#REF!</definedName>
    <definedName name="ContWithPrio_4_21">NA()</definedName>
    <definedName name="ContWithPrio_4_21_1">NA()</definedName>
    <definedName name="ContWithPrio_4_21_1_3">NA()</definedName>
    <definedName name="ContWithPrio_4_21_1_3_5">#REF!</definedName>
    <definedName name="ContWithPrio_4_21_1_5">#REF!</definedName>
    <definedName name="ContWithPrio_4_21_5">#REF!</definedName>
    <definedName name="ContWithPrio_4_22">NA()</definedName>
    <definedName name="ContWithPrio_4_22_3">NA()</definedName>
    <definedName name="ContWithPrio_4_22_3_5">#REF!</definedName>
    <definedName name="ContWithPrio_4_22_5">#REF!</definedName>
    <definedName name="ContWithPrio_4_23">NA()</definedName>
    <definedName name="ContWithPrio_4_23_3">NA()</definedName>
    <definedName name="ContWithPrio_4_23_3_5">#REF!</definedName>
    <definedName name="ContWithPrio_4_23_5">#REF!</definedName>
    <definedName name="ContWithPrio_4_24">NA()</definedName>
    <definedName name="ContWithPrio_4_24_3">NA()</definedName>
    <definedName name="ContWithPrio_4_24_3_5">#REF!</definedName>
    <definedName name="ContWithPrio_4_24_5">#REF!</definedName>
    <definedName name="ContWithPrio_4_25">NA()</definedName>
    <definedName name="ContWithPrio_4_25_3">NA()</definedName>
    <definedName name="ContWithPrio_4_25_3_5">#REF!</definedName>
    <definedName name="ContWithPrio_4_25_5">#REF!</definedName>
    <definedName name="ContWithPrio_4_26">NA()</definedName>
    <definedName name="ContWithPrio_4_26_3">NA()</definedName>
    <definedName name="ContWithPrio_4_26_3_5">#REF!</definedName>
    <definedName name="ContWithPrio_4_26_5">#REF!</definedName>
    <definedName name="ContWithPrio_4_27">NA()</definedName>
    <definedName name="ContWithPrio_4_27_3">NA()</definedName>
    <definedName name="ContWithPrio_4_27_3_5">#REF!</definedName>
    <definedName name="ContWithPrio_4_27_5">#REF!</definedName>
    <definedName name="ContWithPrio_4_28">NA()</definedName>
    <definedName name="ContWithPrio_4_28_3">NA()</definedName>
    <definedName name="ContWithPrio_4_28_3_5">#REF!</definedName>
    <definedName name="ContWithPrio_4_28_5">#REF!</definedName>
    <definedName name="ContWithPrio_4_5">#REF!</definedName>
    <definedName name="ContWithPrio_4_6">NA()</definedName>
    <definedName name="ContWithPrio_4_6_3">NA()</definedName>
    <definedName name="ContWithPrio_4_6_3_5">#REF!</definedName>
    <definedName name="ContWithPrio_4_6_5">#REF!</definedName>
    <definedName name="ContWithPrio_4_7">NA()</definedName>
    <definedName name="ContWithPrio_4_7_3">NA()</definedName>
    <definedName name="ContWithPrio_4_7_3_5">#REF!</definedName>
    <definedName name="ContWithPrio_4_7_5">#REF!</definedName>
    <definedName name="ContWithPrio_4_8">NA()</definedName>
    <definedName name="ContWithPrio_4_8_3">NA()</definedName>
    <definedName name="ContWithPrio_4_8_3_5">#REF!</definedName>
    <definedName name="ContWithPrio_4_8_5">#REF!</definedName>
    <definedName name="ContWithPrio_4_9">NA()</definedName>
    <definedName name="ContWithPrio_4_9_3">NA()</definedName>
    <definedName name="ContWithPrio_4_9_3_5">#REF!</definedName>
    <definedName name="ContWithPrio_4_9_5">#REF!</definedName>
    <definedName name="ContWithPrio_5">#REF!</definedName>
    <definedName name="ContWithPrio_5_1">NA()</definedName>
    <definedName name="ContWithPrio_5_17">NA()</definedName>
    <definedName name="ContWithPrio_5_17_3">NA()</definedName>
    <definedName name="ContWithPrio_5_17_3_5">#REF!</definedName>
    <definedName name="ContWithPrio_5_17_5">#REF!</definedName>
    <definedName name="ContWithPrio_5_28">NA()</definedName>
    <definedName name="ContWithPrio_5_28_3">NA()</definedName>
    <definedName name="ContWithPrio_5_28_3_5">#REF!</definedName>
    <definedName name="ContWithPrio_5_28_5">#REF!</definedName>
    <definedName name="ContWithPrio_5_3">NA()</definedName>
    <definedName name="ContWithPrio_5_3_5">#REF!</definedName>
    <definedName name="ContWithPrio_5_5">#REF!</definedName>
    <definedName name="ContWithPrio_5_6">NA()</definedName>
    <definedName name="ContWithPrio_5_6_3">NA()</definedName>
    <definedName name="ContWithPrio_5_6_3_5">#REF!</definedName>
    <definedName name="ContWithPrio_5_6_5">#REF!</definedName>
    <definedName name="ContWithPrio_6">NA()</definedName>
    <definedName name="ContWithPrio_6_1">NA()</definedName>
    <definedName name="ContWithPrio_6_1_5">#REF!</definedName>
    <definedName name="ContWithPrio_6_10">NA()</definedName>
    <definedName name="ContWithPrio_6_10_3">NA()</definedName>
    <definedName name="ContWithPrio_6_10_3_5">#REF!</definedName>
    <definedName name="ContWithPrio_6_10_5">#REF!</definedName>
    <definedName name="ContWithPrio_6_12">NA()</definedName>
    <definedName name="ContWithPrio_6_12_3">NA()</definedName>
    <definedName name="ContWithPrio_6_12_3_5">#REF!</definedName>
    <definedName name="ContWithPrio_6_12_5">#REF!</definedName>
    <definedName name="ContWithPrio_6_13">NA()</definedName>
    <definedName name="ContWithPrio_6_13_3">NA()</definedName>
    <definedName name="ContWithPrio_6_13_3_5">#REF!</definedName>
    <definedName name="ContWithPrio_6_13_5">#REF!</definedName>
    <definedName name="ContWithPrio_6_14">NA()</definedName>
    <definedName name="ContWithPrio_6_14_3">NA()</definedName>
    <definedName name="ContWithPrio_6_14_3_5">#REF!</definedName>
    <definedName name="ContWithPrio_6_14_5">#REF!</definedName>
    <definedName name="ContWithPrio_6_15">NA()</definedName>
    <definedName name="ContWithPrio_6_15_3">NA()</definedName>
    <definedName name="ContWithPrio_6_15_3_5">#REF!</definedName>
    <definedName name="ContWithPrio_6_15_5">#REF!</definedName>
    <definedName name="ContWithPrio_6_16">NA()</definedName>
    <definedName name="ContWithPrio_6_16_3">NA()</definedName>
    <definedName name="ContWithPrio_6_16_3_5">#REF!</definedName>
    <definedName name="ContWithPrio_6_16_5">#REF!</definedName>
    <definedName name="ContWithPrio_6_17">NA()</definedName>
    <definedName name="ContWithPrio_6_17_3">NA()</definedName>
    <definedName name="ContWithPrio_6_17_3_5">#REF!</definedName>
    <definedName name="ContWithPrio_6_17_5">#REF!</definedName>
    <definedName name="ContWithPrio_6_18">NA()</definedName>
    <definedName name="ContWithPrio_6_18_1">NA()</definedName>
    <definedName name="ContWithPrio_6_18_1_5">#REF!</definedName>
    <definedName name="ContWithPrio_6_18_5">#REF!</definedName>
    <definedName name="ContWithPrio_6_19">NA()</definedName>
    <definedName name="ContWithPrio_6_19_5">#REF!</definedName>
    <definedName name="ContWithPrio_6_20">NA()</definedName>
    <definedName name="ContWithPrio_6_20_3">NA()</definedName>
    <definedName name="ContWithPrio_6_20_3_5">#REF!</definedName>
    <definedName name="ContWithPrio_6_20_5">#REF!</definedName>
    <definedName name="ContWithPrio_6_21">NA()</definedName>
    <definedName name="ContWithPrio_6_21_1">NA()</definedName>
    <definedName name="ContWithPrio_6_21_1_3">NA()</definedName>
    <definedName name="ContWithPrio_6_21_1_3_5">#REF!</definedName>
    <definedName name="ContWithPrio_6_21_1_5">#REF!</definedName>
    <definedName name="ContWithPrio_6_21_5">#REF!</definedName>
    <definedName name="ContWithPrio_6_22">NA()</definedName>
    <definedName name="ContWithPrio_6_22_3">NA()</definedName>
    <definedName name="ContWithPrio_6_22_3_5">#REF!</definedName>
    <definedName name="ContWithPrio_6_22_5">#REF!</definedName>
    <definedName name="ContWithPrio_6_23">NA()</definedName>
    <definedName name="ContWithPrio_6_23_3">NA()</definedName>
    <definedName name="ContWithPrio_6_23_3_5">#REF!</definedName>
    <definedName name="ContWithPrio_6_23_5">#REF!</definedName>
    <definedName name="ContWithPrio_6_24">NA()</definedName>
    <definedName name="ContWithPrio_6_24_3">NA()</definedName>
    <definedName name="ContWithPrio_6_24_3_5">#REF!</definedName>
    <definedName name="ContWithPrio_6_24_5">#REF!</definedName>
    <definedName name="ContWithPrio_6_25">NA()</definedName>
    <definedName name="ContWithPrio_6_25_3">NA()</definedName>
    <definedName name="ContWithPrio_6_25_3_5">#REF!</definedName>
    <definedName name="ContWithPrio_6_25_5">#REF!</definedName>
    <definedName name="ContWithPrio_6_26">NA()</definedName>
    <definedName name="ContWithPrio_6_26_3">NA()</definedName>
    <definedName name="ContWithPrio_6_26_3_5">#REF!</definedName>
    <definedName name="ContWithPrio_6_26_5">#REF!</definedName>
    <definedName name="ContWithPrio_6_27">NA()</definedName>
    <definedName name="ContWithPrio_6_27_3">NA()</definedName>
    <definedName name="ContWithPrio_6_27_3_5">#REF!</definedName>
    <definedName name="ContWithPrio_6_27_5">#REF!</definedName>
    <definedName name="ContWithPrio_6_28">NA()</definedName>
    <definedName name="ContWithPrio_6_28_3">NA()</definedName>
    <definedName name="ContWithPrio_6_28_3_5">#REF!</definedName>
    <definedName name="ContWithPrio_6_28_5">#REF!</definedName>
    <definedName name="ContWithPrio_6_5">#REF!</definedName>
    <definedName name="ContWithPrio_6_6">NA()</definedName>
    <definedName name="ContWithPrio_6_6_3">NA()</definedName>
    <definedName name="ContWithPrio_6_6_3_5">#REF!</definedName>
    <definedName name="ContWithPrio_6_6_5">#REF!</definedName>
    <definedName name="ContWithPrio_6_7">NA()</definedName>
    <definedName name="ContWithPrio_6_7_3">NA()</definedName>
    <definedName name="ContWithPrio_6_7_3_5">#REF!</definedName>
    <definedName name="ContWithPrio_6_7_5">#REF!</definedName>
    <definedName name="ContWithPrio_6_8">NA()</definedName>
    <definedName name="ContWithPrio_6_8_3">NA()</definedName>
    <definedName name="ContWithPrio_6_8_3_5">#REF!</definedName>
    <definedName name="ContWithPrio_6_8_5">#REF!</definedName>
    <definedName name="ContWithPrio_6_9">NA()</definedName>
    <definedName name="ContWithPrio_6_9_1">NA()</definedName>
    <definedName name="ContWithPrio_6_9_1_1">NA()</definedName>
    <definedName name="ContWithPrio_6_9_1_1_3">NA()</definedName>
    <definedName name="ContWithPrio_6_9_1_1_3_5">#REF!</definedName>
    <definedName name="ContWithPrio_6_9_1_1_5">#REF!</definedName>
    <definedName name="ContWithPrio_6_9_1_3">NA()</definedName>
    <definedName name="ContWithPrio_6_9_1_3_5">#REF!</definedName>
    <definedName name="ContWithPrio_6_9_1_5">#REF!</definedName>
    <definedName name="ContWithPrio_6_9_5">#REF!</definedName>
    <definedName name="ContWithPrio_7">NA()</definedName>
    <definedName name="ContWithPrio_7_5">#REF!</definedName>
    <definedName name="ContWithPrio_8">NA()</definedName>
    <definedName name="ContWithPrio_8_3">NA()</definedName>
    <definedName name="ContWithPrio_8_3_5">#REF!</definedName>
    <definedName name="ContWithPrio_8_5">#REF!</definedName>
    <definedName name="ContWithPrio_9">NA()</definedName>
    <definedName name="ContWithPrio_9_3">NA()</definedName>
    <definedName name="ContWithPrio_9_3_5">#REF!</definedName>
    <definedName name="ContWithPrio_9_5">#REF!</definedName>
    <definedName name="ContWithPrio_Text">NA()</definedName>
    <definedName name="ContWithPrio_Text_1">NA()</definedName>
    <definedName name="ContWithPrio_Text_1_3">NA()</definedName>
    <definedName name="ContWithPrio_Text_1_3_5">#REF!</definedName>
    <definedName name="ContWithPrio_Text_1_5">#REF!</definedName>
    <definedName name="ContWithPrio_Text_10">NA()</definedName>
    <definedName name="ContWithPrio_Text_10_1">NA()</definedName>
    <definedName name="ContWithPrio_Text_10_1_3">NA()</definedName>
    <definedName name="ContWithPrio_Text_10_1_3_5">#REF!</definedName>
    <definedName name="ContWithPrio_Text_10_1_5">#REF!</definedName>
    <definedName name="ContWithPrio_Text_10_17">NA()</definedName>
    <definedName name="ContWithPrio_Text_10_17_3">NA()</definedName>
    <definedName name="ContWithPrio_Text_10_17_3_5">#REF!</definedName>
    <definedName name="ContWithPrio_Text_10_17_5">#REF!</definedName>
    <definedName name="ContWithPrio_Text_10_5">#REF!</definedName>
    <definedName name="ContWithPrio_Text_11">NA()</definedName>
    <definedName name="ContWithPrio_Text_11_1">NA()</definedName>
    <definedName name="ContWithPrio_Text_11_1_5">#REF!</definedName>
    <definedName name="ContWithPrio_Text_11_5">#REF!</definedName>
    <definedName name="ContWithPrio_Text_12">NA()</definedName>
    <definedName name="ContWithPrio_Text_12_3">NA()</definedName>
    <definedName name="ContWithPrio_Text_12_3_5">#REF!</definedName>
    <definedName name="ContWithPrio_Text_12_5">#REF!</definedName>
    <definedName name="ContWithPrio_Text_13">NA()</definedName>
    <definedName name="ContWithPrio_Text_13_3">NA()</definedName>
    <definedName name="ContWithPrio_Text_13_3_5">#REF!</definedName>
    <definedName name="ContWithPrio_Text_13_5">#REF!</definedName>
    <definedName name="ContWithPrio_Text_14">NA()</definedName>
    <definedName name="ContWithPrio_Text_14_5">#REF!</definedName>
    <definedName name="ContWithPrio_Text_15">NA()</definedName>
    <definedName name="ContWithPrio_Text_15_1">NA()</definedName>
    <definedName name="ContWithPrio_Text_15_1_3">NA()</definedName>
    <definedName name="ContWithPrio_Text_15_1_3_5">#REF!</definedName>
    <definedName name="ContWithPrio_Text_15_1_5">#REF!</definedName>
    <definedName name="ContWithPrio_Text_15_3">NA()</definedName>
    <definedName name="ContWithPrio_Text_15_3_5">#REF!</definedName>
    <definedName name="ContWithPrio_Text_15_5">#REF!</definedName>
    <definedName name="ContWithPrio_Text_16">NA()</definedName>
    <definedName name="ContWithPrio_Text_16_1">NA()</definedName>
    <definedName name="ContWithPrio_Text_16_1_3">NA()</definedName>
    <definedName name="ContWithPrio_Text_16_1_3_5">#REF!</definedName>
    <definedName name="ContWithPrio_Text_16_1_5">#REF!</definedName>
    <definedName name="ContWithPrio_Text_16_3">NA()</definedName>
    <definedName name="ContWithPrio_Text_16_3_5">#REF!</definedName>
    <definedName name="ContWithPrio_Text_16_5">#REF!</definedName>
    <definedName name="ContWithPrio_Text_17">NA()</definedName>
    <definedName name="ContWithPrio_Text_17_1">NA()</definedName>
    <definedName name="ContWithPrio_Text_17_1_5">#REF!</definedName>
    <definedName name="ContWithPrio_Text_17_3">NA()</definedName>
    <definedName name="ContWithPrio_Text_17_3_5">#REF!</definedName>
    <definedName name="ContWithPrio_Text_17_5">#REF!</definedName>
    <definedName name="ContWithPrio_Text_18">NA()</definedName>
    <definedName name="ContWithPrio_Text_18_1">NA()</definedName>
    <definedName name="ContWithPrio_Text_18_1_5">#REF!</definedName>
    <definedName name="ContWithPrio_Text_18_5">#REF!</definedName>
    <definedName name="ContWithPrio_Text_19">NA()</definedName>
    <definedName name="ContWithPrio_Text_19_1">NA()</definedName>
    <definedName name="ContWithPrio_Text_19_1_5">#REF!</definedName>
    <definedName name="ContWithPrio_Text_19_5">#REF!</definedName>
    <definedName name="ContWithPrio_Text_2">NA()</definedName>
    <definedName name="ContWithPrio_Text_2_5">#REF!</definedName>
    <definedName name="ContWithPrio_Text_20">NA()</definedName>
    <definedName name="ContWithPrio_Text_20_1">NA()</definedName>
    <definedName name="ContWithPrio_Text_20_1_3">NA()</definedName>
    <definedName name="ContWithPrio_Text_20_1_3_5">#REF!</definedName>
    <definedName name="ContWithPrio_Text_20_1_5">#REF!</definedName>
    <definedName name="ContWithPrio_Text_20_5">#REF!</definedName>
    <definedName name="ContWithPrio_Text_21">NA()</definedName>
    <definedName name="ContWithPrio_Text_21_1">NA()</definedName>
    <definedName name="ContWithPrio_Text_21_1_1">NA()</definedName>
    <definedName name="ContWithPrio_Text_21_1_1_3">NA()</definedName>
    <definedName name="ContWithPrio_Text_21_1_1_3_5">#REF!</definedName>
    <definedName name="ContWithPrio_Text_21_1_1_5">#REF!</definedName>
    <definedName name="ContWithPrio_Text_21_1_3">NA()</definedName>
    <definedName name="ContWithPrio_Text_21_1_3_5">#REF!</definedName>
    <definedName name="ContWithPrio_Text_21_1_5">#REF!</definedName>
    <definedName name="ContWithPrio_Text_21_5">#REF!</definedName>
    <definedName name="ContWithPrio_Text_22">NA()</definedName>
    <definedName name="ContWithPrio_Text_22_3">NA()</definedName>
    <definedName name="ContWithPrio_Text_22_3_5">#REF!</definedName>
    <definedName name="ContWithPrio_Text_22_5">#REF!</definedName>
    <definedName name="ContWithPrio_Text_23">NA()</definedName>
    <definedName name="ContWithPrio_Text_23_3">NA()</definedName>
    <definedName name="ContWithPrio_Text_23_3_5">#REF!</definedName>
    <definedName name="ContWithPrio_Text_23_5">#REF!</definedName>
    <definedName name="ContWithPrio_Text_24">NA()</definedName>
    <definedName name="ContWithPrio_Text_24_3">NA()</definedName>
    <definedName name="ContWithPrio_Text_24_3_5">#REF!</definedName>
    <definedName name="ContWithPrio_Text_24_5">#REF!</definedName>
    <definedName name="ContWithPrio_Text_25">NA()</definedName>
    <definedName name="ContWithPrio_Text_25_3">NA()</definedName>
    <definedName name="ContWithPrio_Text_25_3_5">#REF!</definedName>
    <definedName name="ContWithPrio_Text_25_5">#REF!</definedName>
    <definedName name="ContWithPrio_Text_26">NA()</definedName>
    <definedName name="ContWithPrio_Text_26_1">NA()</definedName>
    <definedName name="ContWithPrio_Text_26_1_3">NA()</definedName>
    <definedName name="ContWithPrio_Text_26_1_3_5">#REF!</definedName>
    <definedName name="ContWithPrio_Text_26_1_5">#REF!</definedName>
    <definedName name="ContWithPrio_Text_26_3">NA()</definedName>
    <definedName name="ContWithPrio_Text_26_3_5">#REF!</definedName>
    <definedName name="ContWithPrio_Text_26_5">#REF!</definedName>
    <definedName name="ContWithPrio_Text_27">NA()</definedName>
    <definedName name="ContWithPrio_Text_27_1">NA()</definedName>
    <definedName name="ContWithPrio_Text_27_1_3">NA()</definedName>
    <definedName name="ContWithPrio_Text_27_1_3_5">#REF!</definedName>
    <definedName name="ContWithPrio_Text_27_1_5">#REF!</definedName>
    <definedName name="ContWithPrio_Text_27_3">NA()</definedName>
    <definedName name="ContWithPrio_Text_27_3_5">#REF!</definedName>
    <definedName name="ContWithPrio_Text_27_5">#REF!</definedName>
    <definedName name="ContWithPrio_Text_28">NA()</definedName>
    <definedName name="ContWithPrio_Text_28_1">NA()</definedName>
    <definedName name="ContWithPrio_Text_28_1_3">NA()</definedName>
    <definedName name="ContWithPrio_Text_28_1_3_5">#REF!</definedName>
    <definedName name="ContWithPrio_Text_28_1_5">#REF!</definedName>
    <definedName name="ContWithPrio_Text_28_3">NA()</definedName>
    <definedName name="ContWithPrio_Text_28_3_5">#REF!</definedName>
    <definedName name="ContWithPrio_Text_28_5">#REF!</definedName>
    <definedName name="ContWithPrio_Text_29">NA()</definedName>
    <definedName name="ContWithPrio_Text_29_3">NA()</definedName>
    <definedName name="ContWithPrio_Text_29_3_5">#REF!</definedName>
    <definedName name="ContWithPrio_Text_29_5">#REF!</definedName>
    <definedName name="ContWithPrio_Text_3">NA()</definedName>
    <definedName name="ContWithPrio_Text_3_5">#REF!</definedName>
    <definedName name="ContWithPrio_Text_4">NA()</definedName>
    <definedName name="ContWithPrio_Text_4_1">NA()</definedName>
    <definedName name="ContWithPrio_Text_4_1_1">NA()</definedName>
    <definedName name="ContWithPrio_Text_4_1_1_1">NA()</definedName>
    <definedName name="ContWithPrio_Text_4_1_1_1_1">NA()</definedName>
    <definedName name="ContWithPrio_Text_4_1_1_1_1_1">NA()</definedName>
    <definedName name="ContWithPrio_Text_4_1_1_1_1_1_5">#REF!</definedName>
    <definedName name="ContWithPrio_Text_4_1_1_1_1_3">NA()</definedName>
    <definedName name="ContWithPrio_Text_4_1_1_1_1_3_5">#REF!</definedName>
    <definedName name="ContWithPrio_Text_4_1_1_1_1_5">#REF!</definedName>
    <definedName name="ContWithPrio_Text_4_1_1_1_3">NA()</definedName>
    <definedName name="ContWithPrio_Text_4_1_1_1_3_1">NA()</definedName>
    <definedName name="ContWithPrio_Text_4_1_1_1_3_1_5">#REF!</definedName>
    <definedName name="ContWithPrio_Text_4_1_1_1_3_5">#REF!</definedName>
    <definedName name="ContWithPrio_Text_4_1_1_1_5">#REF!</definedName>
    <definedName name="ContWithPrio_Text_4_1_1_3">NA()</definedName>
    <definedName name="ContWithPrio_Text_4_1_1_3_5">#REF!</definedName>
    <definedName name="ContWithPrio_Text_4_1_1_5">#REF!</definedName>
    <definedName name="ContWithPrio_Text_4_1_17">NA()</definedName>
    <definedName name="ContWithPrio_Text_4_1_17_3">NA()</definedName>
    <definedName name="ContWithPrio_Text_4_1_17_3_5">#REF!</definedName>
    <definedName name="ContWithPrio_Text_4_1_17_5">#REF!</definedName>
    <definedName name="ContWithPrio_Text_4_1_28">NA()</definedName>
    <definedName name="ContWithPrio_Text_4_1_28_3">NA()</definedName>
    <definedName name="ContWithPrio_Text_4_1_28_3_5">#REF!</definedName>
    <definedName name="ContWithPrio_Text_4_1_28_5">#REF!</definedName>
    <definedName name="ContWithPrio_Text_4_1_5">#REF!</definedName>
    <definedName name="ContWithPrio_Text_4_1_6">NA()</definedName>
    <definedName name="ContWithPrio_Text_4_1_6_3">NA()</definedName>
    <definedName name="ContWithPrio_Text_4_1_6_3_5">#REF!</definedName>
    <definedName name="ContWithPrio_Text_4_1_6_5">#REF!</definedName>
    <definedName name="ContWithPrio_Text_4_10">NA()</definedName>
    <definedName name="ContWithPrio_Text_4_10_3">NA()</definedName>
    <definedName name="ContWithPrio_Text_4_10_3_5">#REF!</definedName>
    <definedName name="ContWithPrio_Text_4_10_5">#REF!</definedName>
    <definedName name="ContWithPrio_Text_4_12">NA()</definedName>
    <definedName name="ContWithPrio_Text_4_12_3">NA()</definedName>
    <definedName name="ContWithPrio_Text_4_12_3_5">#REF!</definedName>
    <definedName name="ContWithPrio_Text_4_12_5">#REF!</definedName>
    <definedName name="ContWithPrio_Text_4_13">NA()</definedName>
    <definedName name="ContWithPrio_Text_4_13_3">NA()</definedName>
    <definedName name="ContWithPrio_Text_4_13_3_5">#REF!</definedName>
    <definedName name="ContWithPrio_Text_4_13_5">#REF!</definedName>
    <definedName name="ContWithPrio_Text_4_14">NA()</definedName>
    <definedName name="ContWithPrio_Text_4_14_3">NA()</definedName>
    <definedName name="ContWithPrio_Text_4_14_3_5">#REF!</definedName>
    <definedName name="ContWithPrio_Text_4_14_5">#REF!</definedName>
    <definedName name="ContWithPrio_Text_4_15">NA()</definedName>
    <definedName name="ContWithPrio_Text_4_15_3">NA()</definedName>
    <definedName name="ContWithPrio_Text_4_15_3_5">#REF!</definedName>
    <definedName name="ContWithPrio_Text_4_15_5">#REF!</definedName>
    <definedName name="ContWithPrio_Text_4_16">NA()</definedName>
    <definedName name="ContWithPrio_Text_4_16_3">NA()</definedName>
    <definedName name="ContWithPrio_Text_4_16_3_5">#REF!</definedName>
    <definedName name="ContWithPrio_Text_4_16_5">#REF!</definedName>
    <definedName name="ContWithPrio_Text_4_17">NA()</definedName>
    <definedName name="ContWithPrio_Text_4_17_3">NA()</definedName>
    <definedName name="ContWithPrio_Text_4_17_3_5">#REF!</definedName>
    <definedName name="ContWithPrio_Text_4_17_5">#REF!</definedName>
    <definedName name="ContWithPrio_Text_4_18">NA()</definedName>
    <definedName name="ContWithPrio_Text_4_18_1">NA()</definedName>
    <definedName name="ContWithPrio_Text_4_18_1_5">#REF!</definedName>
    <definedName name="ContWithPrio_Text_4_18_5">#REF!</definedName>
    <definedName name="ContWithPrio_Text_4_19">NA()</definedName>
    <definedName name="ContWithPrio_Text_4_19_5">#REF!</definedName>
    <definedName name="ContWithPrio_Text_4_20">NA()</definedName>
    <definedName name="ContWithPrio_Text_4_20_3">NA()</definedName>
    <definedName name="ContWithPrio_Text_4_20_3_5">#REF!</definedName>
    <definedName name="ContWithPrio_Text_4_20_5">#REF!</definedName>
    <definedName name="ContWithPrio_Text_4_21">NA()</definedName>
    <definedName name="ContWithPrio_Text_4_21_1">NA()</definedName>
    <definedName name="ContWithPrio_Text_4_21_1_3">NA()</definedName>
    <definedName name="ContWithPrio_Text_4_21_1_3_5">#REF!</definedName>
    <definedName name="ContWithPrio_Text_4_21_1_5">#REF!</definedName>
    <definedName name="ContWithPrio_Text_4_21_5">#REF!</definedName>
    <definedName name="ContWithPrio_Text_4_22">NA()</definedName>
    <definedName name="ContWithPrio_Text_4_22_3">NA()</definedName>
    <definedName name="ContWithPrio_Text_4_22_3_5">#REF!</definedName>
    <definedName name="ContWithPrio_Text_4_22_5">#REF!</definedName>
    <definedName name="ContWithPrio_Text_4_23">NA()</definedName>
    <definedName name="ContWithPrio_Text_4_23_3">NA()</definedName>
    <definedName name="ContWithPrio_Text_4_23_3_5">#REF!</definedName>
    <definedName name="ContWithPrio_Text_4_23_5">#REF!</definedName>
    <definedName name="ContWithPrio_Text_4_24">NA()</definedName>
    <definedName name="ContWithPrio_Text_4_24_3">NA()</definedName>
    <definedName name="ContWithPrio_Text_4_24_3_5">#REF!</definedName>
    <definedName name="ContWithPrio_Text_4_24_5">#REF!</definedName>
    <definedName name="ContWithPrio_Text_4_25">NA()</definedName>
    <definedName name="ContWithPrio_Text_4_25_3">NA()</definedName>
    <definedName name="ContWithPrio_Text_4_25_3_5">#REF!</definedName>
    <definedName name="ContWithPrio_Text_4_25_5">#REF!</definedName>
    <definedName name="ContWithPrio_Text_4_26">NA()</definedName>
    <definedName name="ContWithPrio_Text_4_26_3">NA()</definedName>
    <definedName name="ContWithPrio_Text_4_26_3_5">#REF!</definedName>
    <definedName name="ContWithPrio_Text_4_26_5">#REF!</definedName>
    <definedName name="ContWithPrio_Text_4_27">NA()</definedName>
    <definedName name="ContWithPrio_Text_4_27_3">NA()</definedName>
    <definedName name="ContWithPrio_Text_4_27_3_5">#REF!</definedName>
    <definedName name="ContWithPrio_Text_4_27_5">#REF!</definedName>
    <definedName name="ContWithPrio_Text_4_28">NA()</definedName>
    <definedName name="ContWithPrio_Text_4_28_3">NA()</definedName>
    <definedName name="ContWithPrio_Text_4_28_3_5">#REF!</definedName>
    <definedName name="ContWithPrio_Text_4_28_5">#REF!</definedName>
    <definedName name="ContWithPrio_Text_4_5">#REF!</definedName>
    <definedName name="ContWithPrio_Text_4_6">NA()</definedName>
    <definedName name="ContWithPrio_Text_4_6_3">NA()</definedName>
    <definedName name="ContWithPrio_Text_4_6_3_5">#REF!</definedName>
    <definedName name="ContWithPrio_Text_4_6_5">#REF!</definedName>
    <definedName name="ContWithPrio_Text_4_7">NA()</definedName>
    <definedName name="ContWithPrio_Text_4_7_3">NA()</definedName>
    <definedName name="ContWithPrio_Text_4_7_3_5">#REF!</definedName>
    <definedName name="ContWithPrio_Text_4_7_5">#REF!</definedName>
    <definedName name="ContWithPrio_Text_4_8">NA()</definedName>
    <definedName name="ContWithPrio_Text_4_8_3">NA()</definedName>
    <definedName name="ContWithPrio_Text_4_8_3_5">#REF!</definedName>
    <definedName name="ContWithPrio_Text_4_8_5">#REF!</definedName>
    <definedName name="ContWithPrio_Text_4_9">NA()</definedName>
    <definedName name="ContWithPrio_Text_4_9_3">NA()</definedName>
    <definedName name="ContWithPrio_Text_4_9_3_5">#REF!</definedName>
    <definedName name="ContWithPrio_Text_4_9_5">#REF!</definedName>
    <definedName name="ContWithPrio_Text_5">#REF!</definedName>
    <definedName name="ContWithPrio_Text_5_1">NA()</definedName>
    <definedName name="ContWithPrio_Text_5_17">NA()</definedName>
    <definedName name="ContWithPrio_Text_5_17_3">NA()</definedName>
    <definedName name="ContWithPrio_Text_5_17_3_5">#REF!</definedName>
    <definedName name="ContWithPrio_Text_5_17_5">#REF!</definedName>
    <definedName name="ContWithPrio_Text_5_28">NA()</definedName>
    <definedName name="ContWithPrio_Text_5_28_3">NA()</definedName>
    <definedName name="ContWithPrio_Text_5_28_3_5">#REF!</definedName>
    <definedName name="ContWithPrio_Text_5_28_5">#REF!</definedName>
    <definedName name="ContWithPrio_Text_5_3">NA()</definedName>
    <definedName name="ContWithPrio_Text_5_3_5">#REF!</definedName>
    <definedName name="ContWithPrio_Text_5_5">#REF!</definedName>
    <definedName name="ContWithPrio_Text_5_6">NA()</definedName>
    <definedName name="ContWithPrio_Text_5_6_3">NA()</definedName>
    <definedName name="ContWithPrio_Text_5_6_3_5">#REF!</definedName>
    <definedName name="ContWithPrio_Text_5_6_5">#REF!</definedName>
    <definedName name="ContWithPrio_Text_6">NA()</definedName>
    <definedName name="ContWithPrio_Text_6_1">NA()</definedName>
    <definedName name="ContWithPrio_Text_6_1_5">#REF!</definedName>
    <definedName name="ContWithPrio_Text_6_10">NA()</definedName>
    <definedName name="ContWithPrio_Text_6_10_3">NA()</definedName>
    <definedName name="ContWithPrio_Text_6_10_3_5">#REF!</definedName>
    <definedName name="ContWithPrio_Text_6_10_5">#REF!</definedName>
    <definedName name="ContWithPrio_Text_6_12">NA()</definedName>
    <definedName name="ContWithPrio_Text_6_12_3">NA()</definedName>
    <definedName name="ContWithPrio_Text_6_12_3_5">#REF!</definedName>
    <definedName name="ContWithPrio_Text_6_12_5">#REF!</definedName>
    <definedName name="ContWithPrio_Text_6_13">NA()</definedName>
    <definedName name="ContWithPrio_Text_6_13_3">NA()</definedName>
    <definedName name="ContWithPrio_Text_6_13_3_5">#REF!</definedName>
    <definedName name="ContWithPrio_Text_6_13_5">#REF!</definedName>
    <definedName name="ContWithPrio_Text_6_14">NA()</definedName>
    <definedName name="ContWithPrio_Text_6_14_3">NA()</definedName>
    <definedName name="ContWithPrio_Text_6_14_3_5">#REF!</definedName>
    <definedName name="ContWithPrio_Text_6_14_5">#REF!</definedName>
    <definedName name="ContWithPrio_Text_6_15">NA()</definedName>
    <definedName name="ContWithPrio_Text_6_15_3">NA()</definedName>
    <definedName name="ContWithPrio_Text_6_15_3_5">#REF!</definedName>
    <definedName name="ContWithPrio_Text_6_15_5">#REF!</definedName>
    <definedName name="ContWithPrio_Text_6_16">NA()</definedName>
    <definedName name="ContWithPrio_Text_6_16_3">NA()</definedName>
    <definedName name="ContWithPrio_Text_6_16_3_5">#REF!</definedName>
    <definedName name="ContWithPrio_Text_6_16_5">#REF!</definedName>
    <definedName name="ContWithPrio_Text_6_17">NA()</definedName>
    <definedName name="ContWithPrio_Text_6_17_3">NA()</definedName>
    <definedName name="ContWithPrio_Text_6_17_3_5">#REF!</definedName>
    <definedName name="ContWithPrio_Text_6_17_5">#REF!</definedName>
    <definedName name="ContWithPrio_Text_6_18">NA()</definedName>
    <definedName name="ContWithPrio_Text_6_18_1">NA()</definedName>
    <definedName name="ContWithPrio_Text_6_18_1_5">#REF!</definedName>
    <definedName name="ContWithPrio_Text_6_18_5">#REF!</definedName>
    <definedName name="ContWithPrio_Text_6_19">NA()</definedName>
    <definedName name="ContWithPrio_Text_6_19_5">#REF!</definedName>
    <definedName name="ContWithPrio_Text_6_20">NA()</definedName>
    <definedName name="ContWithPrio_Text_6_20_3">NA()</definedName>
    <definedName name="ContWithPrio_Text_6_20_3_5">#REF!</definedName>
    <definedName name="ContWithPrio_Text_6_20_5">#REF!</definedName>
    <definedName name="ContWithPrio_Text_6_21">NA()</definedName>
    <definedName name="ContWithPrio_Text_6_21_1">NA()</definedName>
    <definedName name="ContWithPrio_Text_6_21_1_3">NA()</definedName>
    <definedName name="ContWithPrio_Text_6_21_1_3_5">#REF!</definedName>
    <definedName name="ContWithPrio_Text_6_21_1_5">#REF!</definedName>
    <definedName name="ContWithPrio_Text_6_21_5">#REF!</definedName>
    <definedName name="ContWithPrio_Text_6_22">NA()</definedName>
    <definedName name="ContWithPrio_Text_6_22_3">NA()</definedName>
    <definedName name="ContWithPrio_Text_6_22_3_5">#REF!</definedName>
    <definedName name="ContWithPrio_Text_6_22_5">#REF!</definedName>
    <definedName name="ContWithPrio_Text_6_23">NA()</definedName>
    <definedName name="ContWithPrio_Text_6_23_3">NA()</definedName>
    <definedName name="ContWithPrio_Text_6_23_3_5">#REF!</definedName>
    <definedName name="ContWithPrio_Text_6_23_5">#REF!</definedName>
    <definedName name="ContWithPrio_Text_6_24">NA()</definedName>
    <definedName name="ContWithPrio_Text_6_24_3">NA()</definedName>
    <definedName name="ContWithPrio_Text_6_24_3_5">#REF!</definedName>
    <definedName name="ContWithPrio_Text_6_24_5">#REF!</definedName>
    <definedName name="ContWithPrio_Text_6_25">NA()</definedName>
    <definedName name="ContWithPrio_Text_6_25_3">NA()</definedName>
    <definedName name="ContWithPrio_Text_6_25_3_5">#REF!</definedName>
    <definedName name="ContWithPrio_Text_6_25_5">#REF!</definedName>
    <definedName name="ContWithPrio_Text_6_26">NA()</definedName>
    <definedName name="ContWithPrio_Text_6_26_3">NA()</definedName>
    <definedName name="ContWithPrio_Text_6_26_3_5">#REF!</definedName>
    <definedName name="ContWithPrio_Text_6_26_5">#REF!</definedName>
    <definedName name="ContWithPrio_Text_6_27">NA()</definedName>
    <definedName name="ContWithPrio_Text_6_27_3">NA()</definedName>
    <definedName name="ContWithPrio_Text_6_27_3_5">#REF!</definedName>
    <definedName name="ContWithPrio_Text_6_27_5">#REF!</definedName>
    <definedName name="ContWithPrio_Text_6_28">NA()</definedName>
    <definedName name="ContWithPrio_Text_6_28_3">NA()</definedName>
    <definedName name="ContWithPrio_Text_6_28_3_5">#REF!</definedName>
    <definedName name="ContWithPrio_Text_6_28_5">#REF!</definedName>
    <definedName name="ContWithPrio_Text_6_5">#REF!</definedName>
    <definedName name="ContWithPrio_Text_6_6">NA()</definedName>
    <definedName name="ContWithPrio_Text_6_6_3">NA()</definedName>
    <definedName name="ContWithPrio_Text_6_6_3_5">#REF!</definedName>
    <definedName name="ContWithPrio_Text_6_6_5">#REF!</definedName>
    <definedName name="ContWithPrio_Text_6_7">NA()</definedName>
    <definedName name="ContWithPrio_Text_6_7_3">NA()</definedName>
    <definedName name="ContWithPrio_Text_6_7_3_5">#REF!</definedName>
    <definedName name="ContWithPrio_Text_6_7_5">#REF!</definedName>
    <definedName name="ContWithPrio_Text_6_8">NA()</definedName>
    <definedName name="ContWithPrio_Text_6_8_3">NA()</definedName>
    <definedName name="ContWithPrio_Text_6_8_3_5">#REF!</definedName>
    <definedName name="ContWithPrio_Text_6_8_5">#REF!</definedName>
    <definedName name="ContWithPrio_Text_6_9">NA()</definedName>
    <definedName name="ContWithPrio_Text_6_9_1">NA()</definedName>
    <definedName name="ContWithPrio_Text_6_9_1_1">NA()</definedName>
    <definedName name="ContWithPrio_Text_6_9_1_1_3">NA()</definedName>
    <definedName name="ContWithPrio_Text_6_9_1_1_3_5">#REF!</definedName>
    <definedName name="ContWithPrio_Text_6_9_1_1_5">#REF!</definedName>
    <definedName name="ContWithPrio_Text_6_9_1_3">NA()</definedName>
    <definedName name="ContWithPrio_Text_6_9_1_3_5">#REF!</definedName>
    <definedName name="ContWithPrio_Text_6_9_1_5">#REF!</definedName>
    <definedName name="ContWithPrio_Text_6_9_5">#REF!</definedName>
    <definedName name="ContWithPrio_Text_7">NA()</definedName>
    <definedName name="ContWithPrio_Text_7_5">#REF!</definedName>
    <definedName name="ContWithPrio_Text_8">NA()</definedName>
    <definedName name="ContWithPrio_Text_8_3">NA()</definedName>
    <definedName name="ContWithPrio_Text_8_3_5">#REF!</definedName>
    <definedName name="ContWithPrio_Text_8_5">#REF!</definedName>
    <definedName name="ContWithPrio_Text_9">NA()</definedName>
    <definedName name="ContWithPrio_Text_9_3">NA()</definedName>
    <definedName name="ContWithPrio_Text_9_3_5">#REF!</definedName>
    <definedName name="ContWithPrio_Text_9_5">#REF!</definedName>
    <definedName name="CONum">NA()</definedName>
    <definedName name="CONum_1">NA()</definedName>
    <definedName name="CONum_1_3">NA()</definedName>
    <definedName name="CONum_1_3_5">#REF!</definedName>
    <definedName name="CONum_1_5">#REF!</definedName>
    <definedName name="CONum_10">NA()</definedName>
    <definedName name="CONum_10_5">#REF!</definedName>
    <definedName name="CONum_11">NA()</definedName>
    <definedName name="CONum_11_1">NA()</definedName>
    <definedName name="CONum_11_1_5">#REF!</definedName>
    <definedName name="CONum_11_5">#REF!</definedName>
    <definedName name="CONum_14">NA()</definedName>
    <definedName name="CONum_14_5">#REF!</definedName>
    <definedName name="CONum_15">NA()</definedName>
    <definedName name="CONum_15_5">#REF!</definedName>
    <definedName name="CONum_16">NA()</definedName>
    <definedName name="CONum_16_5">#REF!</definedName>
    <definedName name="CONum_17">NA()</definedName>
    <definedName name="CONum_17_1">NA()</definedName>
    <definedName name="CONum_17_1_5">#REF!</definedName>
    <definedName name="CONum_17_5">#REF!</definedName>
    <definedName name="CONum_18">NA()</definedName>
    <definedName name="CONum_18_1">NA()</definedName>
    <definedName name="CONum_18_1_5">#REF!</definedName>
    <definedName name="CONum_18_5">#REF!</definedName>
    <definedName name="CONum_19">NA()</definedName>
    <definedName name="CONum_19_5">#REF!</definedName>
    <definedName name="CONum_2">NA()</definedName>
    <definedName name="CONum_2_5">#REF!</definedName>
    <definedName name="CONum_20">NA()</definedName>
    <definedName name="CONum_20_5">#REF!</definedName>
    <definedName name="CONum_21">NA()</definedName>
    <definedName name="CONum_21_1">NA()</definedName>
    <definedName name="CONum_21_1_5">#REF!</definedName>
    <definedName name="CONum_21_5">#REF!</definedName>
    <definedName name="CONum_26">NA()</definedName>
    <definedName name="CONum_26_5">#REF!</definedName>
    <definedName name="CONum_27">NA()</definedName>
    <definedName name="CONum_27_5">#REF!</definedName>
    <definedName name="CONum_28">NA()</definedName>
    <definedName name="CONum_28_5">#REF!</definedName>
    <definedName name="CONum_29">NA()</definedName>
    <definedName name="CONum_29_5">#REF!</definedName>
    <definedName name="CONum_3">NA()</definedName>
    <definedName name="CONum_3_5">#REF!</definedName>
    <definedName name="CONum_4">NA()</definedName>
    <definedName name="CONum_4_1">NA()</definedName>
    <definedName name="CONum_4_1_1">NA()</definedName>
    <definedName name="CONum_4_1_1_1">NA()</definedName>
    <definedName name="CONum_4_1_1_1_1">NA()</definedName>
    <definedName name="CONum_4_1_1_1_1_1">NA()</definedName>
    <definedName name="CONum_4_1_1_1_1_1_5">#REF!</definedName>
    <definedName name="CONum_4_1_1_1_1_5">#REF!</definedName>
    <definedName name="CONum_4_1_1_1_5">#REF!</definedName>
    <definedName name="CONum_4_1_1_5">#REF!</definedName>
    <definedName name="CONum_4_1_5">#REF!</definedName>
    <definedName name="CONum_4_18">NA()</definedName>
    <definedName name="CONum_4_18_1">NA()</definedName>
    <definedName name="CONum_4_18_1_5">#REF!</definedName>
    <definedName name="CONum_4_18_5">#REF!</definedName>
    <definedName name="CONum_4_21">NA()</definedName>
    <definedName name="CONum_4_21_5">#REF!</definedName>
    <definedName name="CONum_4_5">#REF!</definedName>
    <definedName name="CONum_5">#REF!</definedName>
    <definedName name="CONum_5_1">NA()</definedName>
    <definedName name="CONum_5_5">#REF!</definedName>
    <definedName name="CONum_6">NA()</definedName>
    <definedName name="CONum_6_1">NA()</definedName>
    <definedName name="CONum_6_1_5">#REF!</definedName>
    <definedName name="CONum_6_18">NA()</definedName>
    <definedName name="CONum_6_18_1">NA()</definedName>
    <definedName name="CONum_6_18_1_5">#REF!</definedName>
    <definedName name="CONum_6_18_5">#REF!</definedName>
    <definedName name="CONum_6_21">NA()</definedName>
    <definedName name="CONum_6_21_5">#REF!</definedName>
    <definedName name="CONum_6_5">#REF!</definedName>
    <definedName name="CONum_7">NA()</definedName>
    <definedName name="CONum_7_5">#REF!</definedName>
    <definedName name="conv">#REF!</definedName>
    <definedName name="conv_1">NA()</definedName>
    <definedName name="conv_8">#REF!</definedName>
    <definedName name="conv_8_1">NA()</definedName>
    <definedName name="cook">#REF!</definedName>
    <definedName name="COOL">#REF!</definedName>
    <definedName name="coolie">#REF!</definedName>
    <definedName name="copperplate">#REF!</definedName>
    <definedName name="Corner_Ange_2.5m">#REF!</definedName>
    <definedName name="Corner_Ange_2_5m">#N/A</definedName>
    <definedName name="Corner_Angel">#REF!</definedName>
    <definedName name="Corner_Angel_1.5m">#REF!</definedName>
    <definedName name="Corner_Angel_1_5m">#N/A</definedName>
    <definedName name="CorpClient">NA()</definedName>
    <definedName name="CorpClient_1">NA()</definedName>
    <definedName name="CorpClient_1_3">NA()</definedName>
    <definedName name="CorpClient_1_3_5">#REF!</definedName>
    <definedName name="CorpClient_1_5">#REF!</definedName>
    <definedName name="CorpClient_10">NA()</definedName>
    <definedName name="CorpClient_10_1">NA()</definedName>
    <definedName name="CorpClient_10_1_3">NA()</definedName>
    <definedName name="CorpClient_10_1_3_5">#REF!</definedName>
    <definedName name="CorpClient_10_1_5">#REF!</definedName>
    <definedName name="CorpClient_10_17">NA()</definedName>
    <definedName name="CorpClient_10_17_3">NA()</definedName>
    <definedName name="CorpClient_10_17_3_5">#REF!</definedName>
    <definedName name="CorpClient_10_17_5">#REF!</definedName>
    <definedName name="CorpClient_10_5">#REF!</definedName>
    <definedName name="CorpClient_11">NA()</definedName>
    <definedName name="CorpClient_11_1">NA()</definedName>
    <definedName name="CorpClient_11_1_5">#REF!</definedName>
    <definedName name="CorpClient_11_5">#REF!</definedName>
    <definedName name="CorpClient_12">NA()</definedName>
    <definedName name="CorpClient_12_3">NA()</definedName>
    <definedName name="CorpClient_12_3_5">#REF!</definedName>
    <definedName name="CorpClient_12_5">#REF!</definedName>
    <definedName name="CorpClient_13">NA()</definedName>
    <definedName name="CorpClient_13_3">NA()</definedName>
    <definedName name="CorpClient_13_3_5">#REF!</definedName>
    <definedName name="CorpClient_13_5">#REF!</definedName>
    <definedName name="CorpClient_14">NA()</definedName>
    <definedName name="CorpClient_14_5">#REF!</definedName>
    <definedName name="CorpClient_15">NA()</definedName>
    <definedName name="CorpClient_15_1">NA()</definedName>
    <definedName name="CorpClient_15_1_3">NA()</definedName>
    <definedName name="CorpClient_15_1_3_5">#REF!</definedName>
    <definedName name="CorpClient_15_1_5">#REF!</definedName>
    <definedName name="CorpClient_15_3">NA()</definedName>
    <definedName name="CorpClient_15_3_5">#REF!</definedName>
    <definedName name="CorpClient_15_5">#REF!</definedName>
    <definedName name="CorpClient_16">NA()</definedName>
    <definedName name="CorpClient_16_1">NA()</definedName>
    <definedName name="CorpClient_16_1_3">NA()</definedName>
    <definedName name="CorpClient_16_1_3_5">#REF!</definedName>
    <definedName name="CorpClient_16_1_5">#REF!</definedName>
    <definedName name="CorpClient_16_3">NA()</definedName>
    <definedName name="CorpClient_16_3_5">#REF!</definedName>
    <definedName name="CorpClient_16_5">#REF!</definedName>
    <definedName name="CorpClient_17">NA()</definedName>
    <definedName name="CorpClient_17_1">NA()</definedName>
    <definedName name="CorpClient_17_1_5">#REF!</definedName>
    <definedName name="CorpClient_17_3">NA()</definedName>
    <definedName name="CorpClient_17_3_5">#REF!</definedName>
    <definedName name="CorpClient_17_5">#REF!</definedName>
    <definedName name="CorpClient_18">NA()</definedName>
    <definedName name="CorpClient_18_1">NA()</definedName>
    <definedName name="CorpClient_18_1_5">#REF!</definedName>
    <definedName name="CorpClient_18_5">#REF!</definedName>
    <definedName name="CorpClient_19">NA()</definedName>
    <definedName name="CorpClient_19_1">NA()</definedName>
    <definedName name="CorpClient_19_1_5">#REF!</definedName>
    <definedName name="CorpClient_19_5">#REF!</definedName>
    <definedName name="CorpClient_2">NA()</definedName>
    <definedName name="CorpClient_2_5">#REF!</definedName>
    <definedName name="CorpClient_20">NA()</definedName>
    <definedName name="CorpClient_20_1">NA()</definedName>
    <definedName name="CorpClient_20_1_3">NA()</definedName>
    <definedName name="CorpClient_20_1_3_5">#REF!</definedName>
    <definedName name="CorpClient_20_1_5">#REF!</definedName>
    <definedName name="CorpClient_20_5">#REF!</definedName>
    <definedName name="CorpClient_21">NA()</definedName>
    <definedName name="CorpClient_21_1">NA()</definedName>
    <definedName name="CorpClient_21_1_1">NA()</definedName>
    <definedName name="CorpClient_21_1_1_3">NA()</definedName>
    <definedName name="CorpClient_21_1_1_3_5">#REF!</definedName>
    <definedName name="CorpClient_21_1_1_5">#REF!</definedName>
    <definedName name="CorpClient_21_1_3">NA()</definedName>
    <definedName name="CorpClient_21_1_3_5">#REF!</definedName>
    <definedName name="CorpClient_21_1_5">#REF!</definedName>
    <definedName name="CorpClient_21_5">#REF!</definedName>
    <definedName name="CorpClient_22">NA()</definedName>
    <definedName name="CorpClient_22_3">NA()</definedName>
    <definedName name="CorpClient_22_3_5">#REF!</definedName>
    <definedName name="CorpClient_22_5">#REF!</definedName>
    <definedName name="CorpClient_23">NA()</definedName>
    <definedName name="CorpClient_23_3">NA()</definedName>
    <definedName name="CorpClient_23_3_5">#REF!</definedName>
    <definedName name="CorpClient_23_5">#REF!</definedName>
    <definedName name="CorpClient_24">NA()</definedName>
    <definedName name="CorpClient_24_3">NA()</definedName>
    <definedName name="CorpClient_24_3_5">#REF!</definedName>
    <definedName name="CorpClient_24_5">#REF!</definedName>
    <definedName name="CorpClient_25">NA()</definedName>
    <definedName name="CorpClient_25_3">NA()</definedName>
    <definedName name="CorpClient_25_3_5">#REF!</definedName>
    <definedName name="CorpClient_25_5">#REF!</definedName>
    <definedName name="CorpClient_26">NA()</definedName>
    <definedName name="CorpClient_26_1">NA()</definedName>
    <definedName name="CorpClient_26_1_3">NA()</definedName>
    <definedName name="CorpClient_26_1_3_5">#REF!</definedName>
    <definedName name="CorpClient_26_1_5">#REF!</definedName>
    <definedName name="CorpClient_26_3">NA()</definedName>
    <definedName name="CorpClient_26_3_5">#REF!</definedName>
    <definedName name="CorpClient_26_5">#REF!</definedName>
    <definedName name="CorpClient_27">NA()</definedName>
    <definedName name="CorpClient_27_1">NA()</definedName>
    <definedName name="CorpClient_27_1_3">NA()</definedName>
    <definedName name="CorpClient_27_1_3_5">#REF!</definedName>
    <definedName name="CorpClient_27_1_5">#REF!</definedName>
    <definedName name="CorpClient_27_3">NA()</definedName>
    <definedName name="CorpClient_27_3_5">#REF!</definedName>
    <definedName name="CorpClient_27_5">#REF!</definedName>
    <definedName name="CorpClient_28">NA()</definedName>
    <definedName name="CorpClient_28_1">NA()</definedName>
    <definedName name="CorpClient_28_1_3">NA()</definedName>
    <definedName name="CorpClient_28_1_3_5">#REF!</definedName>
    <definedName name="CorpClient_28_1_5">#REF!</definedName>
    <definedName name="CorpClient_28_3">NA()</definedName>
    <definedName name="CorpClient_28_3_5">#REF!</definedName>
    <definedName name="CorpClient_28_5">#REF!</definedName>
    <definedName name="CorpClient_29">NA()</definedName>
    <definedName name="CorpClient_29_3">NA()</definedName>
    <definedName name="CorpClient_29_3_5">#REF!</definedName>
    <definedName name="CorpClient_29_5">#REF!</definedName>
    <definedName name="CorpClient_3">NA()</definedName>
    <definedName name="CorpClient_3_5">#REF!</definedName>
    <definedName name="CorpClient_4">NA()</definedName>
    <definedName name="CorpClient_4_1">NA()</definedName>
    <definedName name="CorpClient_4_1_1">NA()</definedName>
    <definedName name="CorpClient_4_1_1_1">NA()</definedName>
    <definedName name="CorpClient_4_1_1_1_1">NA()</definedName>
    <definedName name="CorpClient_4_1_1_1_1_1">NA()</definedName>
    <definedName name="CorpClient_4_1_1_1_1_1_5">#REF!</definedName>
    <definedName name="CorpClient_4_1_1_1_1_3">NA()</definedName>
    <definedName name="CorpClient_4_1_1_1_1_3_5">#REF!</definedName>
    <definedName name="CorpClient_4_1_1_1_1_5">#REF!</definedName>
    <definedName name="CorpClient_4_1_1_1_3">NA()</definedName>
    <definedName name="CorpClient_4_1_1_1_3_1">NA()</definedName>
    <definedName name="CorpClient_4_1_1_1_3_1_5">#REF!</definedName>
    <definedName name="CorpClient_4_1_1_1_3_5">#REF!</definedName>
    <definedName name="CorpClient_4_1_1_1_5">#REF!</definedName>
    <definedName name="CorpClient_4_1_1_3">NA()</definedName>
    <definedName name="CorpClient_4_1_1_3_5">#REF!</definedName>
    <definedName name="CorpClient_4_1_1_5">#REF!</definedName>
    <definedName name="CorpClient_4_1_17">NA()</definedName>
    <definedName name="CorpClient_4_1_17_3">NA()</definedName>
    <definedName name="CorpClient_4_1_17_3_5">#REF!</definedName>
    <definedName name="CorpClient_4_1_17_5">#REF!</definedName>
    <definedName name="CorpClient_4_1_28">NA()</definedName>
    <definedName name="CorpClient_4_1_28_3">NA()</definedName>
    <definedName name="CorpClient_4_1_28_3_5">#REF!</definedName>
    <definedName name="CorpClient_4_1_28_5">#REF!</definedName>
    <definedName name="CorpClient_4_1_5">#REF!</definedName>
    <definedName name="CorpClient_4_1_6">NA()</definedName>
    <definedName name="CorpClient_4_1_6_3">NA()</definedName>
    <definedName name="CorpClient_4_1_6_3_5">#REF!</definedName>
    <definedName name="CorpClient_4_1_6_5">#REF!</definedName>
    <definedName name="CorpClient_4_10">NA()</definedName>
    <definedName name="CorpClient_4_10_3">NA()</definedName>
    <definedName name="CorpClient_4_10_3_5">#REF!</definedName>
    <definedName name="CorpClient_4_10_5">#REF!</definedName>
    <definedName name="CorpClient_4_12">NA()</definedName>
    <definedName name="CorpClient_4_12_3">NA()</definedName>
    <definedName name="CorpClient_4_12_3_5">#REF!</definedName>
    <definedName name="CorpClient_4_12_5">#REF!</definedName>
    <definedName name="CorpClient_4_13">NA()</definedName>
    <definedName name="CorpClient_4_13_3">NA()</definedName>
    <definedName name="CorpClient_4_13_3_5">#REF!</definedName>
    <definedName name="CorpClient_4_13_5">#REF!</definedName>
    <definedName name="CorpClient_4_14">NA()</definedName>
    <definedName name="CorpClient_4_14_3">NA()</definedName>
    <definedName name="CorpClient_4_14_3_5">#REF!</definedName>
    <definedName name="CorpClient_4_14_5">#REF!</definedName>
    <definedName name="CorpClient_4_15">NA()</definedName>
    <definedName name="CorpClient_4_15_3">NA()</definedName>
    <definedName name="CorpClient_4_15_3_5">#REF!</definedName>
    <definedName name="CorpClient_4_15_5">#REF!</definedName>
    <definedName name="CorpClient_4_16">NA()</definedName>
    <definedName name="CorpClient_4_16_3">NA()</definedName>
    <definedName name="CorpClient_4_16_3_5">#REF!</definedName>
    <definedName name="CorpClient_4_16_5">#REF!</definedName>
    <definedName name="CorpClient_4_17">NA()</definedName>
    <definedName name="CorpClient_4_17_3">NA()</definedName>
    <definedName name="CorpClient_4_17_3_5">#REF!</definedName>
    <definedName name="CorpClient_4_17_5">#REF!</definedName>
    <definedName name="CorpClient_4_18">NA()</definedName>
    <definedName name="CorpClient_4_18_1">NA()</definedName>
    <definedName name="CorpClient_4_18_1_5">#REF!</definedName>
    <definedName name="CorpClient_4_18_5">#REF!</definedName>
    <definedName name="CorpClient_4_19">NA()</definedName>
    <definedName name="CorpClient_4_19_5">#REF!</definedName>
    <definedName name="CorpClient_4_20">NA()</definedName>
    <definedName name="CorpClient_4_20_3">NA()</definedName>
    <definedName name="CorpClient_4_20_3_5">#REF!</definedName>
    <definedName name="CorpClient_4_20_5">#REF!</definedName>
    <definedName name="CorpClient_4_21">NA()</definedName>
    <definedName name="CorpClient_4_21_1">NA()</definedName>
    <definedName name="CorpClient_4_21_1_3">NA()</definedName>
    <definedName name="CorpClient_4_21_1_3_5">#REF!</definedName>
    <definedName name="CorpClient_4_21_1_5">#REF!</definedName>
    <definedName name="CorpClient_4_21_5">#REF!</definedName>
    <definedName name="CorpClient_4_22">NA()</definedName>
    <definedName name="CorpClient_4_22_3">NA()</definedName>
    <definedName name="CorpClient_4_22_3_5">#REF!</definedName>
    <definedName name="CorpClient_4_22_5">#REF!</definedName>
    <definedName name="CorpClient_4_23">NA()</definedName>
    <definedName name="CorpClient_4_23_3">NA()</definedName>
    <definedName name="CorpClient_4_23_3_5">#REF!</definedName>
    <definedName name="CorpClient_4_23_5">#REF!</definedName>
    <definedName name="CorpClient_4_24">NA()</definedName>
    <definedName name="CorpClient_4_24_3">NA()</definedName>
    <definedName name="CorpClient_4_24_3_5">#REF!</definedName>
    <definedName name="CorpClient_4_24_5">#REF!</definedName>
    <definedName name="CorpClient_4_25">NA()</definedName>
    <definedName name="CorpClient_4_25_3">NA()</definedName>
    <definedName name="CorpClient_4_25_3_5">#REF!</definedName>
    <definedName name="CorpClient_4_25_5">#REF!</definedName>
    <definedName name="CorpClient_4_26">NA()</definedName>
    <definedName name="CorpClient_4_26_3">NA()</definedName>
    <definedName name="CorpClient_4_26_3_5">#REF!</definedName>
    <definedName name="CorpClient_4_26_5">#REF!</definedName>
    <definedName name="CorpClient_4_27">NA()</definedName>
    <definedName name="CorpClient_4_27_3">NA()</definedName>
    <definedName name="CorpClient_4_27_3_5">#REF!</definedName>
    <definedName name="CorpClient_4_27_5">#REF!</definedName>
    <definedName name="CorpClient_4_28">NA()</definedName>
    <definedName name="CorpClient_4_28_3">NA()</definedName>
    <definedName name="CorpClient_4_28_3_5">#REF!</definedName>
    <definedName name="CorpClient_4_28_5">#REF!</definedName>
    <definedName name="CorpClient_4_5">#REF!</definedName>
    <definedName name="CorpClient_4_6">NA()</definedName>
    <definedName name="CorpClient_4_6_3">NA()</definedName>
    <definedName name="CorpClient_4_6_3_5">#REF!</definedName>
    <definedName name="CorpClient_4_6_5">#REF!</definedName>
    <definedName name="CorpClient_4_7">NA()</definedName>
    <definedName name="CorpClient_4_7_3">NA()</definedName>
    <definedName name="CorpClient_4_7_3_5">#REF!</definedName>
    <definedName name="CorpClient_4_7_5">#REF!</definedName>
    <definedName name="CorpClient_4_8">NA()</definedName>
    <definedName name="CorpClient_4_8_3">NA()</definedName>
    <definedName name="CorpClient_4_8_3_5">#REF!</definedName>
    <definedName name="CorpClient_4_8_5">#REF!</definedName>
    <definedName name="CorpClient_4_9">NA()</definedName>
    <definedName name="CorpClient_4_9_3">NA()</definedName>
    <definedName name="CorpClient_4_9_3_5">#REF!</definedName>
    <definedName name="CorpClient_4_9_5">#REF!</definedName>
    <definedName name="CorpClient_5">#REF!</definedName>
    <definedName name="CorpClient_5_1">NA()</definedName>
    <definedName name="CorpClient_5_17">NA()</definedName>
    <definedName name="CorpClient_5_17_3">NA()</definedName>
    <definedName name="CorpClient_5_17_3_5">#REF!</definedName>
    <definedName name="CorpClient_5_17_5">#REF!</definedName>
    <definedName name="CorpClient_5_28">NA()</definedName>
    <definedName name="CorpClient_5_28_3">NA()</definedName>
    <definedName name="CorpClient_5_28_3_5">#REF!</definedName>
    <definedName name="CorpClient_5_28_5">#REF!</definedName>
    <definedName name="CorpClient_5_3">NA()</definedName>
    <definedName name="CorpClient_5_3_5">#REF!</definedName>
    <definedName name="CorpClient_5_5">#REF!</definedName>
    <definedName name="CorpClient_5_6">NA()</definedName>
    <definedName name="CorpClient_5_6_3">NA()</definedName>
    <definedName name="CorpClient_5_6_3_5">#REF!</definedName>
    <definedName name="CorpClient_5_6_5">#REF!</definedName>
    <definedName name="CorpClient_6">NA()</definedName>
    <definedName name="CorpClient_6_1">NA()</definedName>
    <definedName name="CorpClient_6_1_5">#REF!</definedName>
    <definedName name="CorpClient_6_10">NA()</definedName>
    <definedName name="CorpClient_6_10_3">NA()</definedName>
    <definedName name="CorpClient_6_10_3_5">#REF!</definedName>
    <definedName name="CorpClient_6_10_5">#REF!</definedName>
    <definedName name="CorpClient_6_12">NA()</definedName>
    <definedName name="CorpClient_6_12_3">NA()</definedName>
    <definedName name="CorpClient_6_12_3_5">#REF!</definedName>
    <definedName name="CorpClient_6_12_5">#REF!</definedName>
    <definedName name="CorpClient_6_13">NA()</definedName>
    <definedName name="CorpClient_6_13_3">NA()</definedName>
    <definedName name="CorpClient_6_13_3_5">#REF!</definedName>
    <definedName name="CorpClient_6_13_5">#REF!</definedName>
    <definedName name="CorpClient_6_14">NA()</definedName>
    <definedName name="CorpClient_6_14_3">NA()</definedName>
    <definedName name="CorpClient_6_14_3_5">#REF!</definedName>
    <definedName name="CorpClient_6_14_5">#REF!</definedName>
    <definedName name="CorpClient_6_15">NA()</definedName>
    <definedName name="CorpClient_6_15_3">NA()</definedName>
    <definedName name="CorpClient_6_15_3_5">#REF!</definedName>
    <definedName name="CorpClient_6_15_5">#REF!</definedName>
    <definedName name="CorpClient_6_16">NA()</definedName>
    <definedName name="CorpClient_6_16_3">NA()</definedName>
    <definedName name="CorpClient_6_16_3_5">#REF!</definedName>
    <definedName name="CorpClient_6_16_5">#REF!</definedName>
    <definedName name="CorpClient_6_17">NA()</definedName>
    <definedName name="CorpClient_6_17_3">NA()</definedName>
    <definedName name="CorpClient_6_17_3_5">#REF!</definedName>
    <definedName name="CorpClient_6_17_5">#REF!</definedName>
    <definedName name="CorpClient_6_18">NA()</definedName>
    <definedName name="CorpClient_6_18_1">NA()</definedName>
    <definedName name="CorpClient_6_18_1_5">#REF!</definedName>
    <definedName name="CorpClient_6_18_5">#REF!</definedName>
    <definedName name="CorpClient_6_19">NA()</definedName>
    <definedName name="CorpClient_6_19_5">#REF!</definedName>
    <definedName name="CorpClient_6_20">NA()</definedName>
    <definedName name="CorpClient_6_20_3">NA()</definedName>
    <definedName name="CorpClient_6_20_3_5">#REF!</definedName>
    <definedName name="CorpClient_6_20_5">#REF!</definedName>
    <definedName name="CorpClient_6_21">NA()</definedName>
    <definedName name="CorpClient_6_21_1">NA()</definedName>
    <definedName name="CorpClient_6_21_1_3">NA()</definedName>
    <definedName name="CorpClient_6_21_1_3_5">#REF!</definedName>
    <definedName name="CorpClient_6_21_1_5">#REF!</definedName>
    <definedName name="CorpClient_6_21_5">#REF!</definedName>
    <definedName name="CorpClient_6_22">NA()</definedName>
    <definedName name="CorpClient_6_22_3">NA()</definedName>
    <definedName name="CorpClient_6_22_3_5">#REF!</definedName>
    <definedName name="CorpClient_6_22_5">#REF!</definedName>
    <definedName name="CorpClient_6_23">NA()</definedName>
    <definedName name="CorpClient_6_23_3">NA()</definedName>
    <definedName name="CorpClient_6_23_3_5">#REF!</definedName>
    <definedName name="CorpClient_6_23_5">#REF!</definedName>
    <definedName name="CorpClient_6_24">NA()</definedName>
    <definedName name="CorpClient_6_24_3">NA()</definedName>
    <definedName name="CorpClient_6_24_3_5">#REF!</definedName>
    <definedName name="CorpClient_6_24_5">#REF!</definedName>
    <definedName name="CorpClient_6_25">NA()</definedName>
    <definedName name="CorpClient_6_25_3">NA()</definedName>
    <definedName name="CorpClient_6_25_3_5">#REF!</definedName>
    <definedName name="CorpClient_6_25_5">#REF!</definedName>
    <definedName name="CorpClient_6_26">NA()</definedName>
    <definedName name="CorpClient_6_26_3">NA()</definedName>
    <definedName name="CorpClient_6_26_3_5">#REF!</definedName>
    <definedName name="CorpClient_6_26_5">#REF!</definedName>
    <definedName name="CorpClient_6_27">NA()</definedName>
    <definedName name="CorpClient_6_27_3">NA()</definedName>
    <definedName name="CorpClient_6_27_3_5">#REF!</definedName>
    <definedName name="CorpClient_6_27_5">#REF!</definedName>
    <definedName name="CorpClient_6_28">NA()</definedName>
    <definedName name="CorpClient_6_28_3">NA()</definedName>
    <definedName name="CorpClient_6_28_3_5">#REF!</definedName>
    <definedName name="CorpClient_6_28_5">#REF!</definedName>
    <definedName name="CorpClient_6_5">#REF!</definedName>
    <definedName name="CorpClient_6_6">NA()</definedName>
    <definedName name="CorpClient_6_6_3">NA()</definedName>
    <definedName name="CorpClient_6_6_3_5">#REF!</definedName>
    <definedName name="CorpClient_6_6_5">#REF!</definedName>
    <definedName name="CorpClient_6_7">NA()</definedName>
    <definedName name="CorpClient_6_7_3">NA()</definedName>
    <definedName name="CorpClient_6_7_3_5">#REF!</definedName>
    <definedName name="CorpClient_6_7_5">#REF!</definedName>
    <definedName name="CorpClient_6_8">NA()</definedName>
    <definedName name="CorpClient_6_8_3">NA()</definedName>
    <definedName name="CorpClient_6_8_3_5">#REF!</definedName>
    <definedName name="CorpClient_6_8_5">#REF!</definedName>
    <definedName name="CorpClient_6_9">NA()</definedName>
    <definedName name="CorpClient_6_9_1">NA()</definedName>
    <definedName name="CorpClient_6_9_1_1">NA()</definedName>
    <definedName name="CorpClient_6_9_1_1_3">NA()</definedName>
    <definedName name="CorpClient_6_9_1_1_3_5">#REF!</definedName>
    <definedName name="CorpClient_6_9_1_1_5">#REF!</definedName>
    <definedName name="CorpClient_6_9_1_3">NA()</definedName>
    <definedName name="CorpClient_6_9_1_3_5">#REF!</definedName>
    <definedName name="CorpClient_6_9_1_5">#REF!</definedName>
    <definedName name="CorpClient_6_9_5">#REF!</definedName>
    <definedName name="CorpClient_7">NA()</definedName>
    <definedName name="CorpClient_7_5">#REF!</definedName>
    <definedName name="CorpClient_8">NA()</definedName>
    <definedName name="CorpClient_8_3">NA()</definedName>
    <definedName name="CorpClient_8_3_5">#REF!</definedName>
    <definedName name="CorpClient_8_5">#REF!</definedName>
    <definedName name="CorpClient_9">NA()</definedName>
    <definedName name="CorpClient_9_3">NA()</definedName>
    <definedName name="CorpClient_9_3_5">#REF!</definedName>
    <definedName name="CorpClient_9_5">#REF!</definedName>
    <definedName name="CorpClient_Text">NA()</definedName>
    <definedName name="CorpClient_Text_1">NA()</definedName>
    <definedName name="CorpClient_Text_1_3">NA()</definedName>
    <definedName name="CorpClient_Text_1_3_5">#REF!</definedName>
    <definedName name="CorpClient_Text_1_5">#REF!</definedName>
    <definedName name="CorpClient_Text_10">NA()</definedName>
    <definedName name="CorpClient_Text_10_1">NA()</definedName>
    <definedName name="CorpClient_Text_10_1_3">NA()</definedName>
    <definedName name="CorpClient_Text_10_1_3_5">#REF!</definedName>
    <definedName name="CorpClient_Text_10_1_5">#REF!</definedName>
    <definedName name="CorpClient_Text_10_17">NA()</definedName>
    <definedName name="CorpClient_Text_10_17_3">NA()</definedName>
    <definedName name="CorpClient_Text_10_17_3_5">#REF!</definedName>
    <definedName name="CorpClient_Text_10_17_5">#REF!</definedName>
    <definedName name="CorpClient_Text_10_5">#REF!</definedName>
    <definedName name="CorpClient_Text_11">NA()</definedName>
    <definedName name="CorpClient_Text_11_1">NA()</definedName>
    <definedName name="CorpClient_Text_11_1_5">#REF!</definedName>
    <definedName name="CorpClient_Text_11_5">#REF!</definedName>
    <definedName name="CorpClient_Text_12">NA()</definedName>
    <definedName name="CorpClient_Text_12_3">NA()</definedName>
    <definedName name="CorpClient_Text_12_3_5">#REF!</definedName>
    <definedName name="CorpClient_Text_12_5">#REF!</definedName>
    <definedName name="CorpClient_Text_13">NA()</definedName>
    <definedName name="CorpClient_Text_13_3">NA()</definedName>
    <definedName name="CorpClient_Text_13_3_5">#REF!</definedName>
    <definedName name="CorpClient_Text_13_5">#REF!</definedName>
    <definedName name="CorpClient_Text_14">NA()</definedName>
    <definedName name="CorpClient_Text_14_5">#REF!</definedName>
    <definedName name="CorpClient_Text_15">NA()</definedName>
    <definedName name="CorpClient_Text_15_1">NA()</definedName>
    <definedName name="CorpClient_Text_15_1_3">NA()</definedName>
    <definedName name="CorpClient_Text_15_1_3_5">#REF!</definedName>
    <definedName name="CorpClient_Text_15_1_5">#REF!</definedName>
    <definedName name="CorpClient_Text_15_3">NA()</definedName>
    <definedName name="CorpClient_Text_15_3_5">#REF!</definedName>
    <definedName name="CorpClient_Text_15_5">#REF!</definedName>
    <definedName name="CorpClient_Text_16">NA()</definedName>
    <definedName name="CorpClient_Text_16_1">NA()</definedName>
    <definedName name="CorpClient_Text_16_1_3">NA()</definedName>
    <definedName name="CorpClient_Text_16_1_3_5">#REF!</definedName>
    <definedName name="CorpClient_Text_16_1_5">#REF!</definedName>
    <definedName name="CorpClient_Text_16_3">NA()</definedName>
    <definedName name="CorpClient_Text_16_3_5">#REF!</definedName>
    <definedName name="CorpClient_Text_16_5">#REF!</definedName>
    <definedName name="CorpClient_Text_17">NA()</definedName>
    <definedName name="CorpClient_Text_17_1">NA()</definedName>
    <definedName name="CorpClient_Text_17_1_5">#REF!</definedName>
    <definedName name="CorpClient_Text_17_3">NA()</definedName>
    <definedName name="CorpClient_Text_17_3_5">#REF!</definedName>
    <definedName name="CorpClient_Text_17_5">#REF!</definedName>
    <definedName name="CorpClient_Text_18">NA()</definedName>
    <definedName name="CorpClient_Text_18_1">NA()</definedName>
    <definedName name="CorpClient_Text_18_1_5">#REF!</definedName>
    <definedName name="CorpClient_Text_18_5">#REF!</definedName>
    <definedName name="CorpClient_Text_19">NA()</definedName>
    <definedName name="CorpClient_Text_19_1">NA()</definedName>
    <definedName name="CorpClient_Text_19_1_5">#REF!</definedName>
    <definedName name="CorpClient_Text_19_5">#REF!</definedName>
    <definedName name="CorpClient_Text_2">NA()</definedName>
    <definedName name="CorpClient_Text_2_5">#REF!</definedName>
    <definedName name="CorpClient_Text_20">NA()</definedName>
    <definedName name="CorpClient_Text_20_1">NA()</definedName>
    <definedName name="CorpClient_Text_20_1_3">NA()</definedName>
    <definedName name="CorpClient_Text_20_1_3_5">#REF!</definedName>
    <definedName name="CorpClient_Text_20_1_5">#REF!</definedName>
    <definedName name="CorpClient_Text_20_5">#REF!</definedName>
    <definedName name="CorpClient_Text_21">NA()</definedName>
    <definedName name="CorpClient_Text_21_1">NA()</definedName>
    <definedName name="CorpClient_Text_21_1_1">NA()</definedName>
    <definedName name="CorpClient_Text_21_1_1_3">NA()</definedName>
    <definedName name="CorpClient_Text_21_1_1_3_5">#REF!</definedName>
    <definedName name="CorpClient_Text_21_1_1_5">#REF!</definedName>
    <definedName name="CorpClient_Text_21_1_3">NA()</definedName>
    <definedName name="CorpClient_Text_21_1_3_5">#REF!</definedName>
    <definedName name="CorpClient_Text_21_1_5">#REF!</definedName>
    <definedName name="CorpClient_Text_21_5">#REF!</definedName>
    <definedName name="CorpClient_Text_22">NA()</definedName>
    <definedName name="CorpClient_Text_22_3">NA()</definedName>
    <definedName name="CorpClient_Text_22_3_5">#REF!</definedName>
    <definedName name="CorpClient_Text_22_5">#REF!</definedName>
    <definedName name="CorpClient_Text_23">NA()</definedName>
    <definedName name="CorpClient_Text_23_3">NA()</definedName>
    <definedName name="CorpClient_Text_23_3_5">#REF!</definedName>
    <definedName name="CorpClient_Text_23_5">#REF!</definedName>
    <definedName name="CorpClient_Text_24">NA()</definedName>
    <definedName name="CorpClient_Text_24_3">NA()</definedName>
    <definedName name="CorpClient_Text_24_3_5">#REF!</definedName>
    <definedName name="CorpClient_Text_24_5">#REF!</definedName>
    <definedName name="CorpClient_Text_25">NA()</definedName>
    <definedName name="CorpClient_Text_25_3">NA()</definedName>
    <definedName name="CorpClient_Text_25_3_5">#REF!</definedName>
    <definedName name="CorpClient_Text_25_5">#REF!</definedName>
    <definedName name="CorpClient_Text_26">NA()</definedName>
    <definedName name="CorpClient_Text_26_1">NA()</definedName>
    <definedName name="CorpClient_Text_26_1_3">NA()</definedName>
    <definedName name="CorpClient_Text_26_1_3_5">#REF!</definedName>
    <definedName name="CorpClient_Text_26_1_5">#REF!</definedName>
    <definedName name="CorpClient_Text_26_3">NA()</definedName>
    <definedName name="CorpClient_Text_26_3_5">#REF!</definedName>
    <definedName name="CorpClient_Text_26_5">#REF!</definedName>
    <definedName name="CorpClient_Text_27">NA()</definedName>
    <definedName name="CorpClient_Text_27_1">NA()</definedName>
    <definedName name="CorpClient_Text_27_1_3">NA()</definedName>
    <definedName name="CorpClient_Text_27_1_3_5">#REF!</definedName>
    <definedName name="CorpClient_Text_27_1_5">#REF!</definedName>
    <definedName name="CorpClient_Text_27_3">NA()</definedName>
    <definedName name="CorpClient_Text_27_3_5">#REF!</definedName>
    <definedName name="CorpClient_Text_27_5">#REF!</definedName>
    <definedName name="CorpClient_Text_28">NA()</definedName>
    <definedName name="CorpClient_Text_28_1">NA()</definedName>
    <definedName name="CorpClient_Text_28_1_3">NA()</definedName>
    <definedName name="CorpClient_Text_28_1_3_5">#REF!</definedName>
    <definedName name="CorpClient_Text_28_1_5">#REF!</definedName>
    <definedName name="CorpClient_Text_28_3">NA()</definedName>
    <definedName name="CorpClient_Text_28_3_5">#REF!</definedName>
    <definedName name="CorpClient_Text_28_5">#REF!</definedName>
    <definedName name="CorpClient_Text_29">NA()</definedName>
    <definedName name="CorpClient_Text_29_3">NA()</definedName>
    <definedName name="CorpClient_Text_29_3_5">#REF!</definedName>
    <definedName name="CorpClient_Text_29_5">#REF!</definedName>
    <definedName name="CorpClient_Text_3">NA()</definedName>
    <definedName name="CorpClient_Text_3_5">#REF!</definedName>
    <definedName name="CorpClient_Text_4">NA()</definedName>
    <definedName name="CorpClient_Text_4_1">NA()</definedName>
    <definedName name="CorpClient_Text_4_1_1">NA()</definedName>
    <definedName name="CorpClient_Text_4_1_1_1">NA()</definedName>
    <definedName name="CorpClient_Text_4_1_1_1_1">NA()</definedName>
    <definedName name="CorpClient_Text_4_1_1_1_1_1">NA()</definedName>
    <definedName name="CorpClient_Text_4_1_1_1_1_1_5">#REF!</definedName>
    <definedName name="CorpClient_Text_4_1_1_1_1_3">NA()</definedName>
    <definedName name="CorpClient_Text_4_1_1_1_1_3_5">#REF!</definedName>
    <definedName name="CorpClient_Text_4_1_1_1_1_5">#REF!</definedName>
    <definedName name="CorpClient_Text_4_1_1_1_3">NA()</definedName>
    <definedName name="CorpClient_Text_4_1_1_1_3_1">NA()</definedName>
    <definedName name="CorpClient_Text_4_1_1_1_3_1_5">#REF!</definedName>
    <definedName name="CorpClient_Text_4_1_1_1_3_5">#REF!</definedName>
    <definedName name="CorpClient_Text_4_1_1_1_5">#REF!</definedName>
    <definedName name="CorpClient_Text_4_1_1_3">NA()</definedName>
    <definedName name="CorpClient_Text_4_1_1_3_5">#REF!</definedName>
    <definedName name="CorpClient_Text_4_1_1_5">#REF!</definedName>
    <definedName name="CorpClient_Text_4_1_17">NA()</definedName>
    <definedName name="CorpClient_Text_4_1_17_3">NA()</definedName>
    <definedName name="CorpClient_Text_4_1_17_3_5">#REF!</definedName>
    <definedName name="CorpClient_Text_4_1_17_5">#REF!</definedName>
    <definedName name="CorpClient_Text_4_1_28">NA()</definedName>
    <definedName name="CorpClient_Text_4_1_28_3">NA()</definedName>
    <definedName name="CorpClient_Text_4_1_28_3_5">#REF!</definedName>
    <definedName name="CorpClient_Text_4_1_28_5">#REF!</definedName>
    <definedName name="CorpClient_Text_4_1_5">#REF!</definedName>
    <definedName name="CorpClient_Text_4_1_6">NA()</definedName>
    <definedName name="CorpClient_Text_4_1_6_3">NA()</definedName>
    <definedName name="CorpClient_Text_4_1_6_3_5">#REF!</definedName>
    <definedName name="CorpClient_Text_4_1_6_5">#REF!</definedName>
    <definedName name="CorpClient_Text_4_10">NA()</definedName>
    <definedName name="CorpClient_Text_4_10_3">NA()</definedName>
    <definedName name="CorpClient_Text_4_10_3_5">#REF!</definedName>
    <definedName name="CorpClient_Text_4_10_5">#REF!</definedName>
    <definedName name="CorpClient_Text_4_12">NA()</definedName>
    <definedName name="CorpClient_Text_4_12_3">NA()</definedName>
    <definedName name="CorpClient_Text_4_12_3_5">#REF!</definedName>
    <definedName name="CorpClient_Text_4_12_5">#REF!</definedName>
    <definedName name="CorpClient_Text_4_13">NA()</definedName>
    <definedName name="CorpClient_Text_4_13_3">NA()</definedName>
    <definedName name="CorpClient_Text_4_13_3_5">#REF!</definedName>
    <definedName name="CorpClient_Text_4_13_5">#REF!</definedName>
    <definedName name="CorpClient_Text_4_14">NA()</definedName>
    <definedName name="CorpClient_Text_4_14_3">NA()</definedName>
    <definedName name="CorpClient_Text_4_14_3_5">#REF!</definedName>
    <definedName name="CorpClient_Text_4_14_5">#REF!</definedName>
    <definedName name="CorpClient_Text_4_15">NA()</definedName>
    <definedName name="CorpClient_Text_4_15_3">NA()</definedName>
    <definedName name="CorpClient_Text_4_15_3_5">#REF!</definedName>
    <definedName name="CorpClient_Text_4_15_5">#REF!</definedName>
    <definedName name="CorpClient_Text_4_16">NA()</definedName>
    <definedName name="CorpClient_Text_4_16_3">NA()</definedName>
    <definedName name="CorpClient_Text_4_16_3_5">#REF!</definedName>
    <definedName name="CorpClient_Text_4_16_5">#REF!</definedName>
    <definedName name="CorpClient_Text_4_17">NA()</definedName>
    <definedName name="CorpClient_Text_4_17_3">NA()</definedName>
    <definedName name="CorpClient_Text_4_17_3_5">#REF!</definedName>
    <definedName name="CorpClient_Text_4_17_5">#REF!</definedName>
    <definedName name="CorpClient_Text_4_18">NA()</definedName>
    <definedName name="CorpClient_Text_4_18_1">NA()</definedName>
    <definedName name="CorpClient_Text_4_18_1_5">#REF!</definedName>
    <definedName name="CorpClient_Text_4_18_5">#REF!</definedName>
    <definedName name="CorpClient_Text_4_19">NA()</definedName>
    <definedName name="CorpClient_Text_4_19_5">#REF!</definedName>
    <definedName name="CorpClient_Text_4_20">NA()</definedName>
    <definedName name="CorpClient_Text_4_20_3">NA()</definedName>
    <definedName name="CorpClient_Text_4_20_3_5">#REF!</definedName>
    <definedName name="CorpClient_Text_4_20_5">#REF!</definedName>
    <definedName name="CorpClient_Text_4_21">NA()</definedName>
    <definedName name="CorpClient_Text_4_21_1">NA()</definedName>
    <definedName name="CorpClient_Text_4_21_1_3">NA()</definedName>
    <definedName name="CorpClient_Text_4_21_1_3_5">#REF!</definedName>
    <definedName name="CorpClient_Text_4_21_1_5">#REF!</definedName>
    <definedName name="CorpClient_Text_4_21_5">#REF!</definedName>
    <definedName name="CorpClient_Text_4_22">NA()</definedName>
    <definedName name="CorpClient_Text_4_22_3">NA()</definedName>
    <definedName name="CorpClient_Text_4_22_3_5">#REF!</definedName>
    <definedName name="CorpClient_Text_4_22_5">#REF!</definedName>
    <definedName name="CorpClient_Text_4_23">NA()</definedName>
    <definedName name="CorpClient_Text_4_23_3">NA()</definedName>
    <definedName name="CorpClient_Text_4_23_3_5">#REF!</definedName>
    <definedName name="CorpClient_Text_4_23_5">#REF!</definedName>
    <definedName name="CorpClient_Text_4_24">NA()</definedName>
    <definedName name="CorpClient_Text_4_24_3">NA()</definedName>
    <definedName name="CorpClient_Text_4_24_3_5">#REF!</definedName>
    <definedName name="CorpClient_Text_4_24_5">#REF!</definedName>
    <definedName name="CorpClient_Text_4_25">NA()</definedName>
    <definedName name="CorpClient_Text_4_25_3">NA()</definedName>
    <definedName name="CorpClient_Text_4_25_3_5">#REF!</definedName>
    <definedName name="CorpClient_Text_4_25_5">#REF!</definedName>
    <definedName name="CorpClient_Text_4_26">NA()</definedName>
    <definedName name="CorpClient_Text_4_26_3">NA()</definedName>
    <definedName name="CorpClient_Text_4_26_3_5">#REF!</definedName>
    <definedName name="CorpClient_Text_4_26_5">#REF!</definedName>
    <definedName name="CorpClient_Text_4_27">NA()</definedName>
    <definedName name="CorpClient_Text_4_27_3">NA()</definedName>
    <definedName name="CorpClient_Text_4_27_3_5">#REF!</definedName>
    <definedName name="CorpClient_Text_4_27_5">#REF!</definedName>
    <definedName name="CorpClient_Text_4_28">NA()</definedName>
    <definedName name="CorpClient_Text_4_28_3">NA()</definedName>
    <definedName name="CorpClient_Text_4_28_3_5">#REF!</definedName>
    <definedName name="CorpClient_Text_4_28_5">#REF!</definedName>
    <definedName name="CorpClient_Text_4_5">#REF!</definedName>
    <definedName name="CorpClient_Text_4_6">NA()</definedName>
    <definedName name="CorpClient_Text_4_6_3">NA()</definedName>
    <definedName name="CorpClient_Text_4_6_3_5">#REF!</definedName>
    <definedName name="CorpClient_Text_4_6_5">#REF!</definedName>
    <definedName name="CorpClient_Text_4_7">NA()</definedName>
    <definedName name="CorpClient_Text_4_7_3">NA()</definedName>
    <definedName name="CorpClient_Text_4_7_3_5">#REF!</definedName>
    <definedName name="CorpClient_Text_4_7_5">#REF!</definedName>
    <definedName name="CorpClient_Text_4_8">NA()</definedName>
    <definedName name="CorpClient_Text_4_8_3">NA()</definedName>
    <definedName name="CorpClient_Text_4_8_3_5">#REF!</definedName>
    <definedName name="CorpClient_Text_4_8_5">#REF!</definedName>
    <definedName name="CorpClient_Text_4_9">NA()</definedName>
    <definedName name="CorpClient_Text_4_9_3">NA()</definedName>
    <definedName name="CorpClient_Text_4_9_3_5">#REF!</definedName>
    <definedName name="CorpClient_Text_4_9_5">#REF!</definedName>
    <definedName name="CorpClient_Text_5">#REF!</definedName>
    <definedName name="CorpClient_Text_5_1">NA()</definedName>
    <definedName name="CorpClient_Text_5_17">NA()</definedName>
    <definedName name="CorpClient_Text_5_17_3">NA()</definedName>
    <definedName name="CorpClient_Text_5_17_3_5">#REF!</definedName>
    <definedName name="CorpClient_Text_5_17_5">#REF!</definedName>
    <definedName name="CorpClient_Text_5_28">NA()</definedName>
    <definedName name="CorpClient_Text_5_28_3">NA()</definedName>
    <definedName name="CorpClient_Text_5_28_3_5">#REF!</definedName>
    <definedName name="CorpClient_Text_5_28_5">#REF!</definedName>
    <definedName name="CorpClient_Text_5_3">NA()</definedName>
    <definedName name="CorpClient_Text_5_3_5">#REF!</definedName>
    <definedName name="CorpClient_Text_5_5">#REF!</definedName>
    <definedName name="CorpClient_Text_5_6">NA()</definedName>
    <definedName name="CorpClient_Text_5_6_3">NA()</definedName>
    <definedName name="CorpClient_Text_5_6_3_5">#REF!</definedName>
    <definedName name="CorpClient_Text_5_6_5">#REF!</definedName>
    <definedName name="CorpClient_Text_6">NA()</definedName>
    <definedName name="CorpClient_Text_6_1">NA()</definedName>
    <definedName name="CorpClient_Text_6_1_5">#REF!</definedName>
    <definedName name="CorpClient_Text_6_10">NA()</definedName>
    <definedName name="CorpClient_Text_6_10_3">NA()</definedName>
    <definedName name="CorpClient_Text_6_10_3_5">#REF!</definedName>
    <definedName name="CorpClient_Text_6_10_5">#REF!</definedName>
    <definedName name="CorpClient_Text_6_12">NA()</definedName>
    <definedName name="CorpClient_Text_6_12_3">NA()</definedName>
    <definedName name="CorpClient_Text_6_12_3_5">#REF!</definedName>
    <definedName name="CorpClient_Text_6_12_5">#REF!</definedName>
    <definedName name="CorpClient_Text_6_13">NA()</definedName>
    <definedName name="CorpClient_Text_6_13_3">NA()</definedName>
    <definedName name="CorpClient_Text_6_13_3_5">#REF!</definedName>
    <definedName name="CorpClient_Text_6_13_5">#REF!</definedName>
    <definedName name="CorpClient_Text_6_14">NA()</definedName>
    <definedName name="CorpClient_Text_6_14_3">NA()</definedName>
    <definedName name="CorpClient_Text_6_14_3_5">#REF!</definedName>
    <definedName name="CorpClient_Text_6_14_5">#REF!</definedName>
    <definedName name="CorpClient_Text_6_15">NA()</definedName>
    <definedName name="CorpClient_Text_6_15_3">NA()</definedName>
    <definedName name="CorpClient_Text_6_15_3_5">#REF!</definedName>
    <definedName name="CorpClient_Text_6_15_5">#REF!</definedName>
    <definedName name="CorpClient_Text_6_16">NA()</definedName>
    <definedName name="CorpClient_Text_6_16_3">NA()</definedName>
    <definedName name="CorpClient_Text_6_16_3_5">#REF!</definedName>
    <definedName name="CorpClient_Text_6_16_5">#REF!</definedName>
    <definedName name="CorpClient_Text_6_17">NA()</definedName>
    <definedName name="CorpClient_Text_6_17_3">NA()</definedName>
    <definedName name="CorpClient_Text_6_17_3_5">#REF!</definedName>
    <definedName name="CorpClient_Text_6_17_5">#REF!</definedName>
    <definedName name="CorpClient_Text_6_18">NA()</definedName>
    <definedName name="CorpClient_Text_6_18_1">NA()</definedName>
    <definedName name="CorpClient_Text_6_18_1_5">#REF!</definedName>
    <definedName name="CorpClient_Text_6_18_5">#REF!</definedName>
    <definedName name="CorpClient_Text_6_19">NA()</definedName>
    <definedName name="CorpClient_Text_6_19_5">#REF!</definedName>
    <definedName name="CorpClient_Text_6_20">NA()</definedName>
    <definedName name="CorpClient_Text_6_20_3">NA()</definedName>
    <definedName name="CorpClient_Text_6_20_3_5">#REF!</definedName>
    <definedName name="CorpClient_Text_6_20_5">#REF!</definedName>
    <definedName name="CorpClient_Text_6_21">NA()</definedName>
    <definedName name="CorpClient_Text_6_21_1">NA()</definedName>
    <definedName name="CorpClient_Text_6_21_1_3">NA()</definedName>
    <definedName name="CorpClient_Text_6_21_1_3_5">#REF!</definedName>
    <definedName name="CorpClient_Text_6_21_1_5">#REF!</definedName>
    <definedName name="CorpClient_Text_6_21_5">#REF!</definedName>
    <definedName name="CorpClient_Text_6_22">NA()</definedName>
    <definedName name="CorpClient_Text_6_22_3">NA()</definedName>
    <definedName name="CorpClient_Text_6_22_3_5">#REF!</definedName>
    <definedName name="CorpClient_Text_6_22_5">#REF!</definedName>
    <definedName name="CorpClient_Text_6_23">NA()</definedName>
    <definedName name="CorpClient_Text_6_23_3">NA()</definedName>
    <definedName name="CorpClient_Text_6_23_3_5">#REF!</definedName>
    <definedName name="CorpClient_Text_6_23_5">#REF!</definedName>
    <definedName name="CorpClient_Text_6_24">NA()</definedName>
    <definedName name="CorpClient_Text_6_24_3">NA()</definedName>
    <definedName name="CorpClient_Text_6_24_3_5">#REF!</definedName>
    <definedName name="CorpClient_Text_6_24_5">#REF!</definedName>
    <definedName name="CorpClient_Text_6_25">NA()</definedName>
    <definedName name="CorpClient_Text_6_25_3">NA()</definedName>
    <definedName name="CorpClient_Text_6_25_3_5">#REF!</definedName>
    <definedName name="CorpClient_Text_6_25_5">#REF!</definedName>
    <definedName name="CorpClient_Text_6_26">NA()</definedName>
    <definedName name="CorpClient_Text_6_26_3">NA()</definedName>
    <definedName name="CorpClient_Text_6_26_3_5">#REF!</definedName>
    <definedName name="CorpClient_Text_6_26_5">#REF!</definedName>
    <definedName name="CorpClient_Text_6_27">NA()</definedName>
    <definedName name="CorpClient_Text_6_27_3">NA()</definedName>
    <definedName name="CorpClient_Text_6_27_3_5">#REF!</definedName>
    <definedName name="CorpClient_Text_6_27_5">#REF!</definedName>
    <definedName name="CorpClient_Text_6_28">NA()</definedName>
    <definedName name="CorpClient_Text_6_28_3">NA()</definedName>
    <definedName name="CorpClient_Text_6_28_3_5">#REF!</definedName>
    <definedName name="CorpClient_Text_6_28_5">#REF!</definedName>
    <definedName name="CorpClient_Text_6_5">#REF!</definedName>
    <definedName name="CorpClient_Text_6_6">NA()</definedName>
    <definedName name="CorpClient_Text_6_6_3">NA()</definedName>
    <definedName name="CorpClient_Text_6_6_3_5">#REF!</definedName>
    <definedName name="CorpClient_Text_6_6_5">#REF!</definedName>
    <definedName name="CorpClient_Text_6_7">NA()</definedName>
    <definedName name="CorpClient_Text_6_7_3">NA()</definedName>
    <definedName name="CorpClient_Text_6_7_3_5">#REF!</definedName>
    <definedName name="CorpClient_Text_6_7_5">#REF!</definedName>
    <definedName name="CorpClient_Text_6_8">NA()</definedName>
    <definedName name="CorpClient_Text_6_8_3">NA()</definedName>
    <definedName name="CorpClient_Text_6_8_3_5">#REF!</definedName>
    <definedName name="CorpClient_Text_6_8_5">#REF!</definedName>
    <definedName name="CorpClient_Text_6_9">NA()</definedName>
    <definedName name="CorpClient_Text_6_9_1">NA()</definedName>
    <definedName name="CorpClient_Text_6_9_1_1">NA()</definedName>
    <definedName name="CorpClient_Text_6_9_1_1_3">NA()</definedName>
    <definedName name="CorpClient_Text_6_9_1_1_3_5">#REF!</definedName>
    <definedName name="CorpClient_Text_6_9_1_1_5">#REF!</definedName>
    <definedName name="CorpClient_Text_6_9_1_3">NA()</definedName>
    <definedName name="CorpClient_Text_6_9_1_3_5">#REF!</definedName>
    <definedName name="CorpClient_Text_6_9_1_5">#REF!</definedName>
    <definedName name="CorpClient_Text_6_9_5">#REF!</definedName>
    <definedName name="CorpClient_Text_7">NA()</definedName>
    <definedName name="CorpClient_Text_7_5">#REF!</definedName>
    <definedName name="CorpClient_Text_8">NA()</definedName>
    <definedName name="CorpClient_Text_8_3">NA()</definedName>
    <definedName name="CorpClient_Text_8_3_5">#REF!</definedName>
    <definedName name="CorpClient_Text_8_5">#REF!</definedName>
    <definedName name="CorpClient_Text_9">NA()</definedName>
    <definedName name="CorpClient_Text_9_3">NA()</definedName>
    <definedName name="CorpClient_Text_9_3_5">#REF!</definedName>
    <definedName name="CorpClient_Text_9_5">#REF!</definedName>
    <definedName name="COST_FACTOR">#N/A</definedName>
    <definedName name="cost2hpCul">#REF!</definedName>
    <definedName name="cost3HpCul">#REF!</definedName>
    <definedName name="costing">NA()</definedName>
    <definedName name="costing_5">#REF!</definedName>
    <definedName name="costing1">#REF!</definedName>
    <definedName name="costofwater">#REF!</definedName>
    <definedName name="COU">#REF!</definedName>
    <definedName name="COU___0">#REF!</definedName>
    <definedName name="COU___13">#REF!</definedName>
    <definedName name="Country">#REF!</definedName>
    <definedName name="cp">#REF!</definedName>
    <definedName name="cpa">#REF!</definedName>
    <definedName name="cpb">#REF!</definedName>
    <definedName name="cpl">#REF!</definedName>
    <definedName name="Cr">#REF!</definedName>
    <definedName name="cran20">#REF!</definedName>
    <definedName name="crane">#REF!</definedName>
    <definedName name="crane3t">#REF!</definedName>
    <definedName name="crashbarrier">#REF!</definedName>
    <definedName name="crm1.3pcc">#REF!</definedName>
    <definedName name="crmb">#REF!</definedName>
    <definedName name="crs">#REF!</definedName>
    <definedName name="crsr" hidden="1">[10]analysis!#REF!</definedName>
    <definedName name="crsr1" hidden="1">[10]analysis!#REF!</definedName>
    <definedName name="crsr2" hidden="1">[10]analysis!#REF!</definedName>
    <definedName name="crsr3" hidden="1">[10]analysis!#REF!</definedName>
    <definedName name="Cs">#REF!</definedName>
    <definedName name="Cs___0">#REF!</definedName>
    <definedName name="Cs___13">#REF!</definedName>
    <definedName name="CSDCSDSAS" hidden="1">#REF!</definedName>
    <definedName name="CSHamir">#REF!</definedName>
    <definedName name="CSLal">#REF!</definedName>
    <definedName name="CSS">#REF!</definedName>
    <definedName name="csshade">#REF!</definedName>
    <definedName name="cst">#REF!</definedName>
    <definedName name="cstf">NA()</definedName>
    <definedName name="cstf_18">NA()</definedName>
    <definedName name="cstf_18_1">NA()</definedName>
    <definedName name="cstf_18_1_5">#REF!</definedName>
    <definedName name="cstf_18_5">#REF!</definedName>
    <definedName name="cstf_21">NA()</definedName>
    <definedName name="cstf_21_5">#REF!</definedName>
    <definedName name="cstf_5">#REF!</definedName>
    <definedName name="ctl">NA()</definedName>
    <definedName name="ctl_5">#REF!</definedName>
    <definedName name="CU">#REF!</definedName>
    <definedName name="culver">#REF!</definedName>
    <definedName name="cum">#REF!</definedName>
    <definedName name="Cum_Int">#REF!</definedName>
    <definedName name="CURR">NA()</definedName>
    <definedName name="CURR_1">NA()</definedName>
    <definedName name="CURR_1_5">#REF!</definedName>
    <definedName name="CURR_10">NA()</definedName>
    <definedName name="CURR_10_1">NA()</definedName>
    <definedName name="CURR_10_1_5">#REF!</definedName>
    <definedName name="CURR_10_5">#REF!</definedName>
    <definedName name="CURR_11">NA()</definedName>
    <definedName name="CURR_11_1">NA()</definedName>
    <definedName name="CURR_11_1_5">#REF!</definedName>
    <definedName name="CURR_11_5">#REF!</definedName>
    <definedName name="CURR_14">NA()</definedName>
    <definedName name="CURR_14_5">#REF!</definedName>
    <definedName name="CURR_15">NA()</definedName>
    <definedName name="CURR_15_5">#REF!</definedName>
    <definedName name="CURR_16">NA()</definedName>
    <definedName name="CURR_16_5">#REF!</definedName>
    <definedName name="CURR_17">NA()</definedName>
    <definedName name="CURR_17_1">NA()</definedName>
    <definedName name="CURR_17_1_5">#REF!</definedName>
    <definedName name="CURR_17_5">#REF!</definedName>
    <definedName name="CURR_18">NA()</definedName>
    <definedName name="CURR_18_1">NA()</definedName>
    <definedName name="CURR_18_1_5">#REF!</definedName>
    <definedName name="CURR_18_5">#REF!</definedName>
    <definedName name="CURR_19">NA()</definedName>
    <definedName name="CURR_19_5">#REF!</definedName>
    <definedName name="CURR_2">NA()</definedName>
    <definedName name="CURR_2_5">#REF!</definedName>
    <definedName name="CURR_20">NA()</definedName>
    <definedName name="CURR_20_5">#REF!</definedName>
    <definedName name="CURR_21">NA()</definedName>
    <definedName name="CURR_21_1">NA()</definedName>
    <definedName name="CURR_21_1_5">#REF!</definedName>
    <definedName name="CURR_21_5">#REF!</definedName>
    <definedName name="CURR_26">NA()</definedName>
    <definedName name="CURR_26_5">#REF!</definedName>
    <definedName name="CURR_27">NA()</definedName>
    <definedName name="CURR_27_5">#REF!</definedName>
    <definedName name="CURR_28">NA()</definedName>
    <definedName name="CURR_28_5">#REF!</definedName>
    <definedName name="CURR_29">NA()</definedName>
    <definedName name="CURR_29_5">#REF!</definedName>
    <definedName name="CURR_4">NA()</definedName>
    <definedName name="CURR_4_1">NA()</definedName>
    <definedName name="CURR_4_1_1">NA()</definedName>
    <definedName name="CURR_4_1_1_1">NA()</definedName>
    <definedName name="CURR_4_1_1_1_1">NA()</definedName>
    <definedName name="CURR_4_1_1_1_1_1">NA()</definedName>
    <definedName name="CURR_4_1_1_1_1_1_5">#REF!</definedName>
    <definedName name="CURR_4_1_1_1_1_5">#REF!</definedName>
    <definedName name="CURR_4_1_1_1_5">#REF!</definedName>
    <definedName name="CURR_4_1_1_5">#REF!</definedName>
    <definedName name="CURR_4_1_5">#REF!</definedName>
    <definedName name="CURR_4_18">NA()</definedName>
    <definedName name="CURR_4_18_1">NA()</definedName>
    <definedName name="CURR_4_18_1_5">#REF!</definedName>
    <definedName name="CURR_4_18_5">#REF!</definedName>
    <definedName name="CURR_4_21">NA()</definedName>
    <definedName name="CURR_4_21_5">#REF!</definedName>
    <definedName name="CURR_4_5">#REF!</definedName>
    <definedName name="CURR_5">#REF!</definedName>
    <definedName name="CURR_5_1">NA()</definedName>
    <definedName name="CURR_5_5">#REF!</definedName>
    <definedName name="CURR_6">NA()</definedName>
    <definedName name="CURR_6_1">NA()</definedName>
    <definedName name="CURR_6_1_5">#REF!</definedName>
    <definedName name="CURR_6_18">NA()</definedName>
    <definedName name="CURR_6_18_1">NA()</definedName>
    <definedName name="CURR_6_18_1_5">#REF!</definedName>
    <definedName name="CURR_6_18_5">#REF!</definedName>
    <definedName name="CURR_6_21">NA()</definedName>
    <definedName name="CURR_6_21_5">#REF!</definedName>
    <definedName name="CURR_6_5">#REF!</definedName>
    <definedName name="CURR_7">NA()</definedName>
    <definedName name="CURR_7_5">#REF!</definedName>
    <definedName name="CURR_9">NA()</definedName>
    <definedName name="CURR_9_5">#REF!</definedName>
    <definedName name="curr_liab_prov">#REF!</definedName>
    <definedName name="CurrencyRate">NA()</definedName>
    <definedName name="CurrencyRate_1">NA()</definedName>
    <definedName name="CurrencyRate_1_3">NA()</definedName>
    <definedName name="CurrencyRate_1_3_5">#REF!</definedName>
    <definedName name="CurrencyRate_1_5">#REF!</definedName>
    <definedName name="CurrencyRate_10">NA()</definedName>
    <definedName name="CurrencyRate_10_1">NA()</definedName>
    <definedName name="CurrencyRate_10_1_5">#REF!</definedName>
    <definedName name="CurrencyRate_10_17">NA()</definedName>
    <definedName name="CurrencyRate_10_17_5">#REF!</definedName>
    <definedName name="CurrencyRate_10_5">#REF!</definedName>
    <definedName name="CurrencyRate_11">NA()</definedName>
    <definedName name="CurrencyRate_11_1">NA()</definedName>
    <definedName name="CurrencyRate_11_1_5">#REF!</definedName>
    <definedName name="CurrencyRate_11_5">#REF!</definedName>
    <definedName name="CurrencyRate_12">NA()</definedName>
    <definedName name="CurrencyRate_12_5">#REF!</definedName>
    <definedName name="CurrencyRate_13">NA()</definedName>
    <definedName name="CurrencyRate_13_5">#REF!</definedName>
    <definedName name="CurrencyRate_14">NA()</definedName>
    <definedName name="CurrencyRate_14_5">#REF!</definedName>
    <definedName name="CurrencyRate_15">NA()</definedName>
    <definedName name="CurrencyRate_15_1">NA()</definedName>
    <definedName name="CurrencyRate_15_1_5">#REF!</definedName>
    <definedName name="CurrencyRate_15_5">#REF!</definedName>
    <definedName name="CurrencyRate_16">NA()</definedName>
    <definedName name="CurrencyRate_16_1">NA()</definedName>
    <definedName name="CurrencyRate_16_1_5">#REF!</definedName>
    <definedName name="CurrencyRate_16_5">#REF!</definedName>
    <definedName name="CurrencyRate_17">NA()</definedName>
    <definedName name="CurrencyRate_17_1">NA()</definedName>
    <definedName name="CurrencyRate_17_1_5">#REF!</definedName>
    <definedName name="CurrencyRate_17_5">#REF!</definedName>
    <definedName name="CurrencyRate_18">NA()</definedName>
    <definedName name="CurrencyRate_18_1">NA()</definedName>
    <definedName name="CurrencyRate_18_1_3">NA()</definedName>
    <definedName name="CurrencyRate_18_1_3_5">#REF!</definedName>
    <definedName name="CurrencyRate_18_1_5">#REF!</definedName>
    <definedName name="CurrencyRate_18_5">#REF!</definedName>
    <definedName name="CurrencyRate_19">NA()</definedName>
    <definedName name="CurrencyRate_19_1">NA()</definedName>
    <definedName name="CurrencyRate_19_1_5">#REF!</definedName>
    <definedName name="CurrencyRate_19_5">#REF!</definedName>
    <definedName name="CurrencyRate_2">NA()</definedName>
    <definedName name="CurrencyRate_2_5">#REF!</definedName>
    <definedName name="CurrencyRate_20">NA()</definedName>
    <definedName name="CurrencyRate_20_1">NA()</definedName>
    <definedName name="CurrencyRate_20_1_5">#REF!</definedName>
    <definedName name="CurrencyRate_20_5">#REF!</definedName>
    <definedName name="CurrencyRate_21">NA()</definedName>
    <definedName name="CurrencyRate_21_1">NA()</definedName>
    <definedName name="CurrencyRate_21_1_1">NA()</definedName>
    <definedName name="CurrencyRate_21_1_1_5">#REF!</definedName>
    <definedName name="CurrencyRate_21_1_5">#REF!</definedName>
    <definedName name="CurrencyRate_21_5">#REF!</definedName>
    <definedName name="CurrencyRate_22">NA()</definedName>
    <definedName name="CurrencyRate_22_5">#REF!</definedName>
    <definedName name="CurrencyRate_23">NA()</definedName>
    <definedName name="CurrencyRate_23_5">#REF!</definedName>
    <definedName name="CurrencyRate_24">NA()</definedName>
    <definedName name="CurrencyRate_24_5">#REF!</definedName>
    <definedName name="CurrencyRate_25">NA()</definedName>
    <definedName name="CurrencyRate_25_5">#REF!</definedName>
    <definedName name="CurrencyRate_26">NA()</definedName>
    <definedName name="CurrencyRate_26_1">NA()</definedName>
    <definedName name="CurrencyRate_26_1_5">#REF!</definedName>
    <definedName name="CurrencyRate_26_5">#REF!</definedName>
    <definedName name="CurrencyRate_27">NA()</definedName>
    <definedName name="CurrencyRate_27_1">NA()</definedName>
    <definedName name="CurrencyRate_27_1_5">#REF!</definedName>
    <definedName name="CurrencyRate_27_5">#REF!</definedName>
    <definedName name="CurrencyRate_28">NA()</definedName>
    <definedName name="CurrencyRate_28_1">NA()</definedName>
    <definedName name="CurrencyRate_28_1_5">#REF!</definedName>
    <definedName name="CurrencyRate_28_5">#REF!</definedName>
    <definedName name="CurrencyRate_29">NA()</definedName>
    <definedName name="CurrencyRate_29_5">#REF!</definedName>
    <definedName name="CurrencyRate_3">NA()</definedName>
    <definedName name="CurrencyRate_3_5">#REF!</definedName>
    <definedName name="CurrencyRate_4">NA()</definedName>
    <definedName name="CurrencyRate_4_1">NA()</definedName>
    <definedName name="CurrencyRate_4_1_1">NA()</definedName>
    <definedName name="CurrencyRate_4_1_1_1">NA()</definedName>
    <definedName name="CurrencyRate_4_1_1_1_1">NA()</definedName>
    <definedName name="CurrencyRate_4_1_1_1_1_1">NA()</definedName>
    <definedName name="CurrencyRate_4_1_1_1_1_1_5">#REF!</definedName>
    <definedName name="CurrencyRate_4_1_1_1_1_3">NA()</definedName>
    <definedName name="CurrencyRate_4_1_1_1_1_3_5">#REF!</definedName>
    <definedName name="CurrencyRate_4_1_1_1_1_5">#REF!</definedName>
    <definedName name="CurrencyRate_4_1_1_1_3">NA()</definedName>
    <definedName name="CurrencyRate_4_1_1_1_3_1">NA()</definedName>
    <definedName name="CurrencyRate_4_1_1_1_3_1_5">#REF!</definedName>
    <definedName name="CurrencyRate_4_1_1_1_3_5">#REF!</definedName>
    <definedName name="CurrencyRate_4_1_1_1_5">#REF!</definedName>
    <definedName name="CurrencyRate_4_1_1_3">NA()</definedName>
    <definedName name="CurrencyRate_4_1_1_3_5">#REF!</definedName>
    <definedName name="CurrencyRate_4_1_1_5">#REF!</definedName>
    <definedName name="CurrencyRate_4_1_17">NA()</definedName>
    <definedName name="CurrencyRate_4_1_17_3">NA()</definedName>
    <definedName name="CurrencyRate_4_1_17_3_5">#REF!</definedName>
    <definedName name="CurrencyRate_4_1_17_5">#REF!</definedName>
    <definedName name="CurrencyRate_4_1_28">NA()</definedName>
    <definedName name="CurrencyRate_4_1_28_5">#REF!</definedName>
    <definedName name="CurrencyRate_4_1_3">NA()</definedName>
    <definedName name="CurrencyRate_4_1_3_5">#REF!</definedName>
    <definedName name="CurrencyRate_4_1_5">#REF!</definedName>
    <definedName name="CurrencyRate_4_1_6">NA()</definedName>
    <definedName name="CurrencyRate_4_1_6_5">#REF!</definedName>
    <definedName name="CurrencyRate_4_10">NA()</definedName>
    <definedName name="CurrencyRate_4_10_5">#REF!</definedName>
    <definedName name="CurrencyRate_4_12">NA()</definedName>
    <definedName name="CurrencyRate_4_12_5">#REF!</definedName>
    <definedName name="CurrencyRate_4_13">NA()</definedName>
    <definedName name="CurrencyRate_4_13_5">#REF!</definedName>
    <definedName name="CurrencyRate_4_14">NA()</definedName>
    <definedName name="CurrencyRate_4_14_5">#REF!</definedName>
    <definedName name="CurrencyRate_4_15">NA()</definedName>
    <definedName name="CurrencyRate_4_15_5">#REF!</definedName>
    <definedName name="CurrencyRate_4_16">NA()</definedName>
    <definedName name="CurrencyRate_4_16_5">#REF!</definedName>
    <definedName name="CurrencyRate_4_17">NA()</definedName>
    <definedName name="CurrencyRate_4_17_5">#REF!</definedName>
    <definedName name="CurrencyRate_4_18">NA()</definedName>
    <definedName name="CurrencyRate_4_18_1">NA()</definedName>
    <definedName name="CurrencyRate_4_18_1_3">NA()</definedName>
    <definedName name="CurrencyRate_4_18_1_3_5">#REF!</definedName>
    <definedName name="CurrencyRate_4_18_1_5">#REF!</definedName>
    <definedName name="CurrencyRate_4_18_5">#REF!</definedName>
    <definedName name="CurrencyRate_4_19">NA()</definedName>
    <definedName name="CurrencyRate_4_19_5">#REF!</definedName>
    <definedName name="CurrencyRate_4_20">NA()</definedName>
    <definedName name="CurrencyRate_4_20_5">#REF!</definedName>
    <definedName name="CurrencyRate_4_21">NA()</definedName>
    <definedName name="CurrencyRate_4_21_1">NA()</definedName>
    <definedName name="CurrencyRate_4_21_1_5">#REF!</definedName>
    <definedName name="CurrencyRate_4_21_5">#REF!</definedName>
    <definedName name="CurrencyRate_4_22">NA()</definedName>
    <definedName name="CurrencyRate_4_22_5">#REF!</definedName>
    <definedName name="CurrencyRate_4_23">NA()</definedName>
    <definedName name="CurrencyRate_4_23_5">#REF!</definedName>
    <definedName name="CurrencyRate_4_24">NA()</definedName>
    <definedName name="CurrencyRate_4_24_5">#REF!</definedName>
    <definedName name="CurrencyRate_4_25">NA()</definedName>
    <definedName name="CurrencyRate_4_25_5">#REF!</definedName>
    <definedName name="CurrencyRate_4_26">NA()</definedName>
    <definedName name="CurrencyRate_4_26_5">#REF!</definedName>
    <definedName name="CurrencyRate_4_27">NA()</definedName>
    <definedName name="CurrencyRate_4_27_5">#REF!</definedName>
    <definedName name="CurrencyRate_4_28">NA()</definedName>
    <definedName name="CurrencyRate_4_28_5">#REF!</definedName>
    <definedName name="CurrencyRate_4_5">#REF!</definedName>
    <definedName name="CurrencyRate_4_6">NA()</definedName>
    <definedName name="CurrencyRate_4_6_5">#REF!</definedName>
    <definedName name="CurrencyRate_4_7">NA()</definedName>
    <definedName name="CurrencyRate_4_7_5">#REF!</definedName>
    <definedName name="CurrencyRate_4_8">NA()</definedName>
    <definedName name="CurrencyRate_4_8_5">#REF!</definedName>
    <definedName name="CurrencyRate_4_9">NA()</definedName>
    <definedName name="CurrencyRate_4_9_5">#REF!</definedName>
    <definedName name="CurrencyRate_5">#REF!</definedName>
    <definedName name="CurrencyRate_5_1">NA()</definedName>
    <definedName name="CurrencyRate_5_17">NA()</definedName>
    <definedName name="CurrencyRate_5_17_5">#REF!</definedName>
    <definedName name="CurrencyRate_5_28">NA()</definedName>
    <definedName name="CurrencyRate_5_28_5">#REF!</definedName>
    <definedName name="CurrencyRate_5_5">#REF!</definedName>
    <definedName name="CurrencyRate_5_6">NA()</definedName>
    <definedName name="CurrencyRate_5_6_5">#REF!</definedName>
    <definedName name="CurrencyRate_6">NA()</definedName>
    <definedName name="CurrencyRate_6_1">NA()</definedName>
    <definedName name="CurrencyRate_6_1_5">#REF!</definedName>
    <definedName name="CurrencyRate_6_10">NA()</definedName>
    <definedName name="CurrencyRate_6_10_5">#REF!</definedName>
    <definedName name="CurrencyRate_6_12">NA()</definedName>
    <definedName name="CurrencyRate_6_12_5">#REF!</definedName>
    <definedName name="CurrencyRate_6_13">NA()</definedName>
    <definedName name="CurrencyRate_6_13_5">#REF!</definedName>
    <definedName name="CurrencyRate_6_14">NA()</definedName>
    <definedName name="CurrencyRate_6_14_5">#REF!</definedName>
    <definedName name="CurrencyRate_6_15">NA()</definedName>
    <definedName name="CurrencyRate_6_15_5">#REF!</definedName>
    <definedName name="CurrencyRate_6_16">NA()</definedName>
    <definedName name="CurrencyRate_6_16_5">#REF!</definedName>
    <definedName name="CurrencyRate_6_17">NA()</definedName>
    <definedName name="CurrencyRate_6_17_5">#REF!</definedName>
    <definedName name="CurrencyRate_6_18">NA()</definedName>
    <definedName name="CurrencyRate_6_18_1">NA()</definedName>
    <definedName name="CurrencyRate_6_18_1_3">NA()</definedName>
    <definedName name="CurrencyRate_6_18_1_3_5">#REF!</definedName>
    <definedName name="CurrencyRate_6_18_1_5">#REF!</definedName>
    <definedName name="CurrencyRate_6_18_5">#REF!</definedName>
    <definedName name="CurrencyRate_6_19">NA()</definedName>
    <definedName name="CurrencyRate_6_19_5">#REF!</definedName>
    <definedName name="CurrencyRate_6_20">NA()</definedName>
    <definedName name="CurrencyRate_6_20_5">#REF!</definedName>
    <definedName name="CurrencyRate_6_21">NA()</definedName>
    <definedName name="CurrencyRate_6_21_1">NA()</definedName>
    <definedName name="CurrencyRate_6_21_1_5">#REF!</definedName>
    <definedName name="CurrencyRate_6_21_5">#REF!</definedName>
    <definedName name="CurrencyRate_6_22">NA()</definedName>
    <definedName name="CurrencyRate_6_22_5">#REF!</definedName>
    <definedName name="CurrencyRate_6_23">NA()</definedName>
    <definedName name="CurrencyRate_6_23_5">#REF!</definedName>
    <definedName name="CurrencyRate_6_24">NA()</definedName>
    <definedName name="CurrencyRate_6_24_5">#REF!</definedName>
    <definedName name="CurrencyRate_6_25">NA()</definedName>
    <definedName name="CurrencyRate_6_25_5">#REF!</definedName>
    <definedName name="CurrencyRate_6_26">NA()</definedName>
    <definedName name="CurrencyRate_6_26_5">#REF!</definedName>
    <definedName name="CurrencyRate_6_27">NA()</definedName>
    <definedName name="CurrencyRate_6_27_5">#REF!</definedName>
    <definedName name="CurrencyRate_6_28">NA()</definedName>
    <definedName name="CurrencyRate_6_28_5">#REF!</definedName>
    <definedName name="CurrencyRate_6_5">#REF!</definedName>
    <definedName name="CurrencyRate_6_6">NA()</definedName>
    <definedName name="CurrencyRate_6_6_5">#REF!</definedName>
    <definedName name="CurrencyRate_6_7">NA()</definedName>
    <definedName name="CurrencyRate_6_7_5">#REF!</definedName>
    <definedName name="CurrencyRate_6_8">NA()</definedName>
    <definedName name="CurrencyRate_6_8_5">#REF!</definedName>
    <definedName name="CurrencyRate_6_9">NA()</definedName>
    <definedName name="CurrencyRate_6_9_1">NA()</definedName>
    <definedName name="CurrencyRate_6_9_1_1">NA()</definedName>
    <definedName name="CurrencyRate_6_9_1_1_5">#REF!</definedName>
    <definedName name="CurrencyRate_6_9_1_5">#REF!</definedName>
    <definedName name="CurrencyRate_6_9_5">#REF!</definedName>
    <definedName name="CurrencyRate_7">NA()</definedName>
    <definedName name="CurrencyRate_7_5">#REF!</definedName>
    <definedName name="CurrencyRate_8">NA()</definedName>
    <definedName name="CurrencyRate_8_5">#REF!</definedName>
    <definedName name="CurrencyRate_9">NA()</definedName>
    <definedName name="CurrencyRate_9_5">#REF!</definedName>
    <definedName name="current1">#REF!</definedName>
    <definedName name="current2">#REF!</definedName>
    <definedName name="current3">#REF!</definedName>
    <definedName name="current4">#REF!</definedName>
    <definedName name="current5">#REF!</definedName>
    <definedName name="CURTAIN">#REF!</definedName>
    <definedName name="cust_sign_line">#REF!</definedName>
    <definedName name="cust_sign_line_1">#REF!</definedName>
    <definedName name="cust_sign_line_1_1">NA()</definedName>
    <definedName name="cust_sign_line_1_1_1">NA()</definedName>
    <definedName name="cust_sign_line_1_8">NA()</definedName>
    <definedName name="cust_sign_line_2">NA()</definedName>
    <definedName name="cust_sign_line_2_1">NA()</definedName>
    <definedName name="cust_sign_line_3">#REF!</definedName>
    <definedName name="cust_sign_line_3_1">NA()</definedName>
    <definedName name="cust_sign_line_3_8">NA()</definedName>
    <definedName name="cust_sign_line_4">#REF!</definedName>
    <definedName name="cust_sign_line_4_1">NA()</definedName>
    <definedName name="cust_sign_line_4_1_1">NA()</definedName>
    <definedName name="cust_sign_line_4_8">NA()</definedName>
    <definedName name="cust_sign_line_5">#REF!</definedName>
    <definedName name="cust_sign_line_5_1">NA()</definedName>
    <definedName name="cust_sign_line_5_1_1">NA()</definedName>
    <definedName name="cust_sign_line_6">#REF!</definedName>
    <definedName name="cust_sign_line_6_1">NA()</definedName>
    <definedName name="cust_sign_line_6_1_1">NA()</definedName>
    <definedName name="cust_sign_line_7">#REF!</definedName>
    <definedName name="cust_sign_line_7_1">NA()</definedName>
    <definedName name="cust_sign_line_8">NA()</definedName>
    <definedName name="Customer">" "</definedName>
    <definedName name="customer_name">#REF!</definedName>
    <definedName name="customer_name_1">#REF!</definedName>
    <definedName name="customer_name_1_1">NA()</definedName>
    <definedName name="customer_name_1_1_1">NA()</definedName>
    <definedName name="customer_name_1_8">NA()</definedName>
    <definedName name="customer_name_2">NA()</definedName>
    <definedName name="customer_name_2_1">NA()</definedName>
    <definedName name="customer_name_3">#REF!</definedName>
    <definedName name="customer_name_3_1">NA()</definedName>
    <definedName name="customer_name_3_8">NA()</definedName>
    <definedName name="customer_name_4">#REF!</definedName>
    <definedName name="customer_name_4_1">NA()</definedName>
    <definedName name="customer_name_4_1_1">NA()</definedName>
    <definedName name="customer_name_4_8">NA()</definedName>
    <definedName name="customer_name_5">#REF!</definedName>
    <definedName name="customer_name_5_1">NA()</definedName>
    <definedName name="customer_name_5_1_1">NA()</definedName>
    <definedName name="customer_name_6">#REF!</definedName>
    <definedName name="customer_name_6_1">NA()</definedName>
    <definedName name="customer_name_6_1_1">NA()</definedName>
    <definedName name="customer_name_7">#REF!</definedName>
    <definedName name="customer_name_7_1">NA()</definedName>
    <definedName name="customer_name_8">NA()</definedName>
    <definedName name="customer_status">#REF!</definedName>
    <definedName name="customer_status_1">#REF!</definedName>
    <definedName name="customer_status_1_1">NA()</definedName>
    <definedName name="customer_status_1_1_1">NA()</definedName>
    <definedName name="customer_status_1_8">NA()</definedName>
    <definedName name="customer_status_2">NA()</definedName>
    <definedName name="customer_status_2_1">NA()</definedName>
    <definedName name="customer_status_3">#REF!</definedName>
    <definedName name="customer_status_3_1">NA()</definedName>
    <definedName name="customer_status_3_8">NA()</definedName>
    <definedName name="customer_status_4">#REF!</definedName>
    <definedName name="customer_status_4_1">NA()</definedName>
    <definedName name="customer_status_4_1_1">NA()</definedName>
    <definedName name="customer_status_4_8">NA()</definedName>
    <definedName name="customer_status_5">#REF!</definedName>
    <definedName name="customer_status_5_1">NA()</definedName>
    <definedName name="customer_status_5_1_1">NA()</definedName>
    <definedName name="customer_status_6">#REF!</definedName>
    <definedName name="customer_status_6_1">NA()</definedName>
    <definedName name="customer_status_6_1_1">NA()</definedName>
    <definedName name="customer_status_7">#REF!</definedName>
    <definedName name="customer_status_7_1">NA()</definedName>
    <definedName name="customer_status_8">NA()</definedName>
    <definedName name="cutback">#REF!</definedName>
    <definedName name="CutStone">#REF!</definedName>
    <definedName name="CV" hidden="1">#NAME?</definedName>
    <definedName name="CVC" hidden="1">[12]analysis!#REF!</definedName>
    <definedName name="cvdf">NA()</definedName>
    <definedName name="cvdf_1">NA()</definedName>
    <definedName name="cvdf_1_5">#REF!</definedName>
    <definedName name="cvdf_10">NA()</definedName>
    <definedName name="cvdf_10_3">NA()</definedName>
    <definedName name="cvdf_10_3_5">#REF!</definedName>
    <definedName name="cvdf_10_5">#REF!</definedName>
    <definedName name="cvdf_12">NA()</definedName>
    <definedName name="cvdf_12_3">NA()</definedName>
    <definedName name="cvdf_12_3_5">#REF!</definedName>
    <definedName name="cvdf_12_5">#REF!</definedName>
    <definedName name="cvdf_13">NA()</definedName>
    <definedName name="cvdf_13_3">NA()</definedName>
    <definedName name="cvdf_13_3_5">#REF!</definedName>
    <definedName name="cvdf_13_5">#REF!</definedName>
    <definedName name="cvdf_14">NA()</definedName>
    <definedName name="cvdf_14_3">NA()</definedName>
    <definedName name="cvdf_14_3_5">#REF!</definedName>
    <definedName name="cvdf_14_5">#REF!</definedName>
    <definedName name="cvdf_15">NA()</definedName>
    <definedName name="cvdf_15_3">NA()</definedName>
    <definedName name="cvdf_15_3_5">#REF!</definedName>
    <definedName name="cvdf_15_5">#REF!</definedName>
    <definedName name="cvdf_16">NA()</definedName>
    <definedName name="cvdf_16_3">NA()</definedName>
    <definedName name="cvdf_16_3_5">#REF!</definedName>
    <definedName name="cvdf_16_5">#REF!</definedName>
    <definedName name="cvdf_17">NA()</definedName>
    <definedName name="cvdf_17_3">NA()</definedName>
    <definedName name="cvdf_17_3_5">#REF!</definedName>
    <definedName name="cvdf_17_5">#REF!</definedName>
    <definedName name="cvdf_18">NA()</definedName>
    <definedName name="cvdf_18_1">NA()</definedName>
    <definedName name="cvdf_18_1_3">NA()</definedName>
    <definedName name="cvdf_18_1_3_5">#REF!</definedName>
    <definedName name="cvdf_18_1_5">#REF!</definedName>
    <definedName name="cvdf_18_3">NA()</definedName>
    <definedName name="cvdf_18_3_5">#REF!</definedName>
    <definedName name="cvdf_18_5">#REF!</definedName>
    <definedName name="cvdf_19">NA()</definedName>
    <definedName name="cvdf_19_3">NA()</definedName>
    <definedName name="cvdf_19_3_5">#REF!</definedName>
    <definedName name="cvdf_19_5">#REF!</definedName>
    <definedName name="cvdf_20">NA()</definedName>
    <definedName name="cvdf_20_3">NA()</definedName>
    <definedName name="cvdf_20_3_5">#REF!</definedName>
    <definedName name="cvdf_20_5">#REF!</definedName>
    <definedName name="cvdf_21">NA()</definedName>
    <definedName name="cvdf_21_1">NA()</definedName>
    <definedName name="cvdf_21_1_3">NA()</definedName>
    <definedName name="cvdf_21_1_3_5">#REF!</definedName>
    <definedName name="cvdf_21_1_5">#REF!</definedName>
    <definedName name="cvdf_21_3">NA()</definedName>
    <definedName name="cvdf_21_3_5">#REF!</definedName>
    <definedName name="cvdf_21_5">#REF!</definedName>
    <definedName name="cvdf_22">NA()</definedName>
    <definedName name="cvdf_22_3">NA()</definedName>
    <definedName name="cvdf_22_3_5">#REF!</definedName>
    <definedName name="cvdf_22_5">#REF!</definedName>
    <definedName name="cvdf_23">NA()</definedName>
    <definedName name="cvdf_23_3">NA()</definedName>
    <definedName name="cvdf_23_3_5">#REF!</definedName>
    <definedName name="cvdf_23_5">#REF!</definedName>
    <definedName name="cvdf_24">NA()</definedName>
    <definedName name="cvdf_24_3">NA()</definedName>
    <definedName name="cvdf_24_3_5">#REF!</definedName>
    <definedName name="cvdf_24_5">#REF!</definedName>
    <definedName name="cvdf_25">NA()</definedName>
    <definedName name="cvdf_25_3">NA()</definedName>
    <definedName name="cvdf_25_3_5">#REF!</definedName>
    <definedName name="cvdf_25_5">#REF!</definedName>
    <definedName name="cvdf_26">NA()</definedName>
    <definedName name="cvdf_26_3">NA()</definedName>
    <definedName name="cvdf_26_3_5">#REF!</definedName>
    <definedName name="cvdf_26_5">#REF!</definedName>
    <definedName name="cvdf_27">NA()</definedName>
    <definedName name="cvdf_27_3">NA()</definedName>
    <definedName name="cvdf_27_3_5">#REF!</definedName>
    <definedName name="cvdf_27_5">#REF!</definedName>
    <definedName name="cvdf_28">NA()</definedName>
    <definedName name="cvdf_28_3">NA()</definedName>
    <definedName name="cvdf_28_3_5">#REF!</definedName>
    <definedName name="cvdf_28_5">#REF!</definedName>
    <definedName name="cvdf_3">NA()</definedName>
    <definedName name="cvdf_3_5">#REF!</definedName>
    <definedName name="cvdf_5">#REF!</definedName>
    <definedName name="cvdf_6">NA()</definedName>
    <definedName name="cvdf_6_3">NA()</definedName>
    <definedName name="cvdf_6_3_5">#REF!</definedName>
    <definedName name="cvdf_6_5">#REF!</definedName>
    <definedName name="cvdf_7">NA()</definedName>
    <definedName name="cvdf_7_3">NA()</definedName>
    <definedName name="cvdf_7_3_5">#REF!</definedName>
    <definedName name="cvdf_7_5">#REF!</definedName>
    <definedName name="cvdf_8">NA()</definedName>
    <definedName name="cvdf_8_3">NA()</definedName>
    <definedName name="cvdf_8_3_5">#REF!</definedName>
    <definedName name="cvdf_8_5">#REF!</definedName>
    <definedName name="cvdf_9">NA()</definedName>
    <definedName name="cvdf_9_3">NA()</definedName>
    <definedName name="cvdf_9_3_5">#REF!</definedName>
    <definedName name="cvdf_9_5">#REF!</definedName>
    <definedName name="cwa">#REF!</definedName>
    <definedName name="cwc">#REF!</definedName>
    <definedName name="D">NA()</definedName>
    <definedName name="d___0">#REF!</definedName>
    <definedName name="d___13">#REF!</definedName>
    <definedName name="D_1">NA()</definedName>
    <definedName name="D_10">"'file://Deserver/design/USER/HOUSING/SIRISH/temp.xls'#$'PRECAST lightconc_II'.$J$20"</definedName>
    <definedName name="D_12">"'file://Deserver/design/USER/HOUSING/SIRISH/temp.xls'#$'PRECAST lightconc_II'.$J$20"</definedName>
    <definedName name="D_13">"'file://Deserver/design/USER/HOUSING/SIRISH/temp.xls'#$'PRECAST lightconc_II'.$J$20"</definedName>
    <definedName name="D_14">"'file://Deserver/design/USER/HOUSING/SIRISH/temp.xls'#$'PRECAST lightconc_II'.$J$20"</definedName>
    <definedName name="D_15">"'file://Deserver/design/USER/HOUSING/SIRISH/temp.xls'#$'PRECAST lightconc_II'.$J$20"</definedName>
    <definedName name="D_16">"'file://Deserver/design/USER/HOUSING/SIRISH/temp.xls'#$'PRECAST lightconc_II'.$J$20"</definedName>
    <definedName name="D_17">"'file://Deserver/design/USER/HOUSING/SIRISH/temp.xls'#$'PRECAST lightconc_II'.$J$20"</definedName>
    <definedName name="D_18">"'file://Deserver/design/USER/HOUSING/SIRISH/temp.xls'#$'PRECAST lightconc_II'.$J$20"</definedName>
    <definedName name="D_19">"'file://Deserver/design/USER/HOUSING/SIRISH/temp.xls'#$'PRECAST lightconc_II'.$J$20"</definedName>
    <definedName name="D_2">NA()</definedName>
    <definedName name="D_20">"'file://Deserver/design/USER/HOUSING/SIRISH/temp.xls'#$'PRECAST lightconc_II'.$J$20"</definedName>
    <definedName name="D_21">"'file://Deserver/design/USER/HOUSING/SIRISH/temp.xls'#$'PRECAST lightconc_II'.$J$20"</definedName>
    <definedName name="D_22">"'file://Deserver/design/USER/HOUSING/SIRISH/temp.xls'#$'PRECAST lightconc_II'.$J$20"</definedName>
    <definedName name="D_23">"'file://Deserver/design/USER/HOUSING/SIRISH/temp.xls'#$'PRECAST lightconc_II'.$J$20"</definedName>
    <definedName name="D_24">"'file://Deserver/design/USER/HOUSING/SIRISH/temp.xls'#$'PRECAST lightconc_II'.$J$20"</definedName>
    <definedName name="D_25">"'file://Deserver/design/USER/HOUSING/SIRISH/temp.xls'#$'PRECAST lightconc_II'.$J$20"</definedName>
    <definedName name="D_26">"'file://Deserver/design/USER/HOUSING/SIRISH/temp.xls'#$'PRECAST lightconc_II'.$J$20"</definedName>
    <definedName name="D_27">"'file://Deserver/design/USER/HOUSING/SIRISH/temp.xls'#$'PRECAST lightconc_II'.$J$20"</definedName>
    <definedName name="D_28">"'file://Deserver/design/USER/HOUSING/SIRISH/temp.xls'#$'PRECAST lightconc_II'.$J$20"</definedName>
    <definedName name="D_6">"'file://Deserver/design/USER/HOUSING/SIRISH/temp.xls'#$'PRECAST lightconc_II'.$J$20"</definedName>
    <definedName name="D_7">"'file://Deserver/design/USER/HOUSING/SIRISH/temp.xls'#$'PRECAST lightconc_II'.$J$20"</definedName>
    <definedName name="D_8">"'file://Deserver/design/USER/HOUSING/SIRISH/temp.xls'#$'PRECAST lightconc_II'.$J$20"</definedName>
    <definedName name="D_9">"'file://Deserver/design/USER/HOUSING/SIRISH/temp.xls'#$'PRECAST lightconc_II'.$J$20"</definedName>
    <definedName name="D_9_1">"'file://Deserver/design/USER/HOUSING/SIRISH/temp.xls'#$'PRECAST lightconc_II'.$J$20"</definedName>
    <definedName name="D_9_1_1">"'file://Deserver/design/USER/HOUSING/SIRISH/temp.xls'#$'PRECAST lightconc_II'.$J$20"</definedName>
    <definedName name="d13.2mm">#REF!</definedName>
    <definedName name="D5D2955">#REF!</definedName>
    <definedName name="da" hidden="1">{#N/A,#N/A,TRUE,"Front";#N/A,#N/A,TRUE,"Simple Letter";#N/A,#N/A,TRUE,"Inside";#N/A,#N/A,TRUE,"Contents";#N/A,#N/A,TRUE,"Basis";#N/A,#N/A,TRUE,"Inclusions";#N/A,#N/A,TRUE,"Exclusions";#N/A,#N/A,TRUE,"Areas";#N/A,#N/A,TRUE,"Summary";#N/A,#N/A,TRUE,"Detail"}</definedName>
    <definedName name="dad">#REF!</definedName>
    <definedName name="dala1">#REF!</definedName>
    <definedName name="dala10mm">#REF!</definedName>
    <definedName name="dala11.2mm">#REF!</definedName>
    <definedName name="dala13.2mm">#REF!</definedName>
    <definedName name="dala13mm">#REF!</definedName>
    <definedName name="dala2.36mm">#REF!</definedName>
    <definedName name="dala6mm">#REF!</definedName>
    <definedName name="Damkheda">#REF!</definedName>
    <definedName name="dasd" hidden="1">{"'Bill No. 7'!$A$1:$G$32"}</definedName>
    <definedName name="dasd1" hidden="1">{"'Bill No. 7'!$A$1:$G$32"}</definedName>
    <definedName name="Data">#REF!</definedName>
    <definedName name="data1" hidden="1">#REF!</definedName>
    <definedName name="DATA134110">#REF!</definedName>
    <definedName name="DATA134125">#REF!</definedName>
    <definedName name="DATA134140">#REF!</definedName>
    <definedName name="DATA134160">#REF!</definedName>
    <definedName name="DATA134180">#REF!</definedName>
    <definedName name="DATA134200">#REF!</definedName>
    <definedName name="DATA134225">#REF!</definedName>
    <definedName name="DATA134250">#REF!</definedName>
    <definedName name="DATA134280">#REF!</definedName>
    <definedName name="DATA134315">#REF!</definedName>
    <definedName name="DATA134355">#REF!</definedName>
    <definedName name="DATA134400">#REF!</definedName>
    <definedName name="DATA13450">#REF!</definedName>
    <definedName name="DATA13463">#REF!</definedName>
    <definedName name="DATA13475">#REF!</definedName>
    <definedName name="DATA13490">#REF!</definedName>
    <definedName name="DATA135110">#REF!</definedName>
    <definedName name="DATA135125">#REF!</definedName>
    <definedName name="DATA135140">#REF!</definedName>
    <definedName name="DATA135160">#REF!</definedName>
    <definedName name="DATA135180">#REF!</definedName>
    <definedName name="DATA135200">#REF!</definedName>
    <definedName name="DATA135225">#REF!</definedName>
    <definedName name="DATA135250">#REF!</definedName>
    <definedName name="DATA135280">#REF!</definedName>
    <definedName name="DATA135315">#REF!</definedName>
    <definedName name="DATA135355">#REF!</definedName>
    <definedName name="DATA135400">#REF!</definedName>
    <definedName name="DATA13550">#REF!</definedName>
    <definedName name="DATA13563">#REF!</definedName>
    <definedName name="DATA13575">#REF!</definedName>
    <definedName name="DATA13590">#REF!</definedName>
    <definedName name="DATA136A">#REF!</definedName>
    <definedName name="DATA136B">#REF!</definedName>
    <definedName name="DATA136C">#REF!</definedName>
    <definedName name="DATA136D">#REF!</definedName>
    <definedName name="DATA136E">#REF!</definedName>
    <definedName name="DATA136F">#REF!</definedName>
    <definedName name="DATA136G">#REF!</definedName>
    <definedName name="DATA136H">#REF!</definedName>
    <definedName name="DATA136I">#REF!</definedName>
    <definedName name="DATA136J">#REF!</definedName>
    <definedName name="DATA136K">#REF!</definedName>
    <definedName name="DATA136L">#REF!</definedName>
    <definedName name="DATA136M">#REF!</definedName>
    <definedName name="DATA136N">#REF!</definedName>
    <definedName name="DATA136O">#REF!</definedName>
    <definedName name="DATA136P">#REF!</definedName>
    <definedName name="DATA137I">#REF!</definedName>
    <definedName name="DATA137II">#REF!</definedName>
    <definedName name="DATA137III">#REF!</definedName>
    <definedName name="DATA137IV">#REF!</definedName>
    <definedName name="DATA137V">#REF!</definedName>
    <definedName name="DATA138I">#REF!</definedName>
    <definedName name="DATA138II">#REF!</definedName>
    <definedName name="DATA138III">#REF!</definedName>
    <definedName name="DATA138IV">#REF!</definedName>
    <definedName name="DATA138V">#REF!</definedName>
    <definedName name="DATA138VI">#REF!</definedName>
    <definedName name="DATA139IX">#REF!</definedName>
    <definedName name="DATA139V">#REF!</definedName>
    <definedName name="DATA139VI">#REF!</definedName>
    <definedName name="DATA139VII">#REF!</definedName>
    <definedName name="DATA139VIII">#REF!</definedName>
    <definedName name="DATA140I">#REF!</definedName>
    <definedName name="DATA140II">#REF!</definedName>
    <definedName name="DATA140III">#REF!</definedName>
    <definedName name="DATA140IV">#REF!</definedName>
    <definedName name="DATA140V">#REF!</definedName>
    <definedName name="DATA141I">#REF!</definedName>
    <definedName name="DATA141II">#REF!</definedName>
    <definedName name="DATA141III">#REF!</definedName>
    <definedName name="DATA141IV">#REF!</definedName>
    <definedName name="DATA141V">#REF!</definedName>
    <definedName name="DATA142I">#REF!</definedName>
    <definedName name="DATA142II">#REF!</definedName>
    <definedName name="DATA142III">#REF!</definedName>
    <definedName name="DATA142IV">#REF!</definedName>
    <definedName name="DATA142V">#REF!</definedName>
    <definedName name="data2" hidden="1">#REF!</definedName>
    <definedName name="data3" hidden="1">#REF!</definedName>
    <definedName name="_xlnm.Database">#REF!</definedName>
    <definedName name="Date">NA()</definedName>
    <definedName name="Date_5">#REF!</definedName>
    <definedName name="datonators">#REF!</definedName>
    <definedName name="days">#REF!</definedName>
    <definedName name="dayworktotal">#REF!</definedName>
    <definedName name="db">#REF!</definedName>
    <definedName name="db___0">#REF!</definedName>
    <definedName name="db___13">#REF!</definedName>
    <definedName name="DBB">[7]DESIGN!$G$76</definedName>
    <definedName name="DBM">#REF!</definedName>
    <definedName name="DBT">[7]DESIGN!$G$98</definedName>
    <definedName name="dc">#REF!</definedName>
    <definedName name="DCI" hidden="1">{#N/A,#N/A,TRUE,"Front";#N/A,#N/A,TRUE,"Simple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CU">NA()</definedName>
    <definedName name="DCU_1">NA()</definedName>
    <definedName name="dczsd">#REF!</definedName>
    <definedName name="DD">#REF!</definedName>
    <definedName name="ddc2code">#REF!</definedName>
    <definedName name="DDD">#REF!</definedName>
    <definedName name="DDDDD">#REF!</definedName>
    <definedName name="dddddd">#REF!</definedName>
    <definedName name="ddddddddd">#REF!</definedName>
    <definedName name="ddddddddffffffffffffffff">#REF!</definedName>
    <definedName name="ddhad">#REF!</definedName>
    <definedName name="DECISION">NA()</definedName>
    <definedName name="delete">#REF!</definedName>
    <definedName name="delineators">#REF!</definedName>
    <definedName name="DELTA20">#REF!</definedName>
    <definedName name="DELTA20___0">#REF!</definedName>
    <definedName name="DELTA20___13">#REF!</definedName>
    <definedName name="Demolishing_lime_concrete_manually_by_mechanical_means_and_disposal_of_material_as_directed">"CPWD 15.1"</definedName>
    <definedName name="department">#REF!</definedName>
    <definedName name="Depn">#REF!</definedName>
    <definedName name="depth">#REF!</definedName>
    <definedName name="DES">#REF!</definedName>
    <definedName name="designed">#REF!</definedName>
    <definedName name="DesignPress">NA()</definedName>
    <definedName name="DesignPress_1">NA()</definedName>
    <definedName name="DesignPress_1_5">#REF!</definedName>
    <definedName name="DesignPress_5">#REF!</definedName>
    <definedName name="DespMode">'[17]Frt-Breakup'!$AL$25:$AL$29</definedName>
    <definedName name="Detonator">#REF!</definedName>
    <definedName name="detonators">#REF!</definedName>
    <definedName name="DetPC" hidden="1">{#N/A,#N/A,FALSE,"no"}</definedName>
    <definedName name="dewatering">#REF!</definedName>
    <definedName name="df">#REF!</definedName>
    <definedName name="dfas" hidden="1">#REF!</definedName>
    <definedName name="dfd" hidden="1">#REF!</definedName>
    <definedName name="dfdf" hidden="1">{#N/A,#N/A,FALSE,"no"}</definedName>
    <definedName name="dfdfdf" hidden="1">#REF!</definedName>
    <definedName name="DFF" hidden="1">'[18]Rate Analysis'!#REF!</definedName>
    <definedName name="DFG" hidden="1">'[18]Rate Analysis'!#REF!</definedName>
    <definedName name="dfhfh" hidden="1">{#N/A,#N/A,TRUE,"Front";#N/A,#N/A,TRUE,"Simple Letter";#N/A,#N/A,TRUE,"Inside";#N/A,#N/A,TRUE,"Contents";#N/A,#N/A,TRUE,"Basis";#N/A,#N/A,TRUE,"Inclusions";#N/A,#N/A,TRUE,"Exclusions";#N/A,#N/A,TRUE,"Areas";#N/A,#N/A,TRUE,"Summary";#N/A,#N/A,TRUE,"Detail"}</definedName>
    <definedName name="DFHG">#REF!</definedName>
    <definedName name="dfsd">#REF!</definedName>
    <definedName name="dg">#REF!</definedName>
    <definedName name="DG100kva">#REF!</definedName>
    <definedName name="DG125kva">#REF!</definedName>
    <definedName name="DG33kva">#REF!</definedName>
    <definedName name="dgbmpccrate">#REF!</definedName>
    <definedName name="dghkl" hidden="1">{"'Bill No. 7'!$A$1:$G$32"}</definedName>
    <definedName name="DHTML" hidden="1">{"'Sheet1'!$A$4386:$N$4591"}</definedName>
    <definedName name="Di">#REF!</definedName>
    <definedName name="dia">#REF!</definedName>
    <definedName name="DIABB">[7]DESIGN!$G$72</definedName>
    <definedName name="DIABT">[7]DESIGN!$G$94</definedName>
    <definedName name="diagul">#REF!</definedName>
    <definedName name="diahp">#REF!</definedName>
    <definedName name="diahp2">#REF!</definedName>
    <definedName name="diesel">#REF!</definedName>
    <definedName name="dim4_1">NA()</definedName>
    <definedName name="dim4_1_3">NA()</definedName>
    <definedName name="dim4_1_3_5">#REF!</definedName>
    <definedName name="dim4_1_5">#REF!</definedName>
    <definedName name="dim4_10">NA()</definedName>
    <definedName name="dim4_10_5">#REF!</definedName>
    <definedName name="dim4_11">NA()</definedName>
    <definedName name="dim4_11_1">NA()</definedName>
    <definedName name="dim4_11_1_5">#REF!</definedName>
    <definedName name="dim4_11_5">#REF!</definedName>
    <definedName name="dim4_14">NA()</definedName>
    <definedName name="dim4_14_5">#REF!</definedName>
    <definedName name="dim4_15">NA()</definedName>
    <definedName name="dim4_15_5">#REF!</definedName>
    <definedName name="dim4_16">NA()</definedName>
    <definedName name="dim4_16_5">#REF!</definedName>
    <definedName name="dim4_17">NA()</definedName>
    <definedName name="dim4_17_1">NA()</definedName>
    <definedName name="dim4_17_1_5">#REF!</definedName>
    <definedName name="dim4_17_5">#REF!</definedName>
    <definedName name="dim4_18">NA()</definedName>
    <definedName name="dim4_18_1">NA()</definedName>
    <definedName name="dim4_18_1_5">#REF!</definedName>
    <definedName name="dim4_18_5">#REF!</definedName>
    <definedName name="dim4_19">NA()</definedName>
    <definedName name="dim4_19_5">#REF!</definedName>
    <definedName name="dim4_2">NA()</definedName>
    <definedName name="dim4_2_5">#REF!</definedName>
    <definedName name="dim4_20">NA()</definedName>
    <definedName name="dim4_20_5">#REF!</definedName>
    <definedName name="dim4_21">NA()</definedName>
    <definedName name="dim4_21_1">NA()</definedName>
    <definedName name="dim4_21_1_5">#REF!</definedName>
    <definedName name="dim4_21_5">#REF!</definedName>
    <definedName name="dim4_26">NA()</definedName>
    <definedName name="dim4_26_5">#REF!</definedName>
    <definedName name="dim4_27">NA()</definedName>
    <definedName name="dim4_27_5">#REF!</definedName>
    <definedName name="dim4_28">NA()</definedName>
    <definedName name="dim4_28_5">#REF!</definedName>
    <definedName name="dim4_29">NA()</definedName>
    <definedName name="dim4_29_5">#REF!</definedName>
    <definedName name="dim4_3">NA()</definedName>
    <definedName name="dim4_3_5">#REF!</definedName>
    <definedName name="dim4_4">NA()</definedName>
    <definedName name="dim4_4_1">NA()</definedName>
    <definedName name="dim4_4_1_1">NA()</definedName>
    <definedName name="dim4_4_1_1_1">NA()</definedName>
    <definedName name="dim4_4_1_1_1_1">NA()</definedName>
    <definedName name="dim4_4_1_1_1_1_1">NA()</definedName>
    <definedName name="dim4_4_1_1_1_1_1_5">#REF!</definedName>
    <definedName name="dim4_4_1_1_1_1_5">#REF!</definedName>
    <definedName name="dim4_4_1_1_1_5">#REF!</definedName>
    <definedName name="dim4_4_1_1_5">#REF!</definedName>
    <definedName name="dim4_4_1_5">#REF!</definedName>
    <definedName name="dim4_4_18">NA()</definedName>
    <definedName name="dim4_4_18_1">NA()</definedName>
    <definedName name="dim4_4_18_1_5">#REF!</definedName>
    <definedName name="dim4_4_18_5">#REF!</definedName>
    <definedName name="dim4_4_21">NA()</definedName>
    <definedName name="dim4_4_21_5">#REF!</definedName>
    <definedName name="dim4_4_5">#REF!</definedName>
    <definedName name="dim4_5">NA()</definedName>
    <definedName name="dim4_5_5">#REF!</definedName>
    <definedName name="dim4_6">NA()</definedName>
    <definedName name="dim4_6_1">NA()</definedName>
    <definedName name="dim4_6_1_5">#REF!</definedName>
    <definedName name="dim4_6_18">NA()</definedName>
    <definedName name="dim4_6_18_1">NA()</definedName>
    <definedName name="dim4_6_18_1_5">#REF!</definedName>
    <definedName name="dim4_6_18_5">#REF!</definedName>
    <definedName name="dim4_6_21">NA()</definedName>
    <definedName name="dim4_6_21_5">#REF!</definedName>
    <definedName name="dim4_6_5">#REF!</definedName>
    <definedName name="dim4_7">NA()</definedName>
    <definedName name="dim4_7_5">#REF!</definedName>
    <definedName name="dim4e">NA()</definedName>
    <definedName name="dim4e_5">#REF!</definedName>
    <definedName name="DIMA">[19]cal!#REF!</definedName>
    <definedName name="DIMA12">[19]cal!$B$18</definedName>
    <definedName name="DIMA15">[19]cal!$B$19</definedName>
    <definedName name="DIMA18">[19]cal!$B$20</definedName>
    <definedName name="DIMA20">[19]cal!$B$21</definedName>
    <definedName name="DIMB">[19]cal!#REF!</definedName>
    <definedName name="DIMB12">[19]cal!$C$18</definedName>
    <definedName name="DIMB15">[19]cal!$C$19</definedName>
    <definedName name="DIMB18">[19]cal!$C$20</definedName>
    <definedName name="DIMB20">[19]cal!$C$21</definedName>
    <definedName name="DIMC">[19]cal!#REF!</definedName>
    <definedName name="dimc_5">#REF!</definedName>
    <definedName name="DIMC12">[19]cal!$D$18</definedName>
    <definedName name="DIMC15">[19]cal!$D$19</definedName>
    <definedName name="DIMC18">[19]cal!$D$20</definedName>
    <definedName name="DIMC20">[19]cal!$D$21</definedName>
    <definedName name="DIME">[19]cal!#REF!</definedName>
    <definedName name="DIME12">[19]cal!$E$18</definedName>
    <definedName name="DIME15">[19]cal!$E$19</definedName>
    <definedName name="DIME18">[19]cal!$E$20</definedName>
    <definedName name="DIME20">[19]cal!$E$21</definedName>
    <definedName name="DIns">#REF!</definedName>
    <definedName name="DISC_FIXTURE">#REF!</definedName>
    <definedName name="Disclaimer">#REF!</definedName>
    <definedName name="Disclaimer_1">#REF!</definedName>
    <definedName name="Disclaimer_1_1">NA()</definedName>
    <definedName name="Disclaimer_1_1_1">NA()</definedName>
    <definedName name="Disclaimer_1_8">NA()</definedName>
    <definedName name="Disclaimer_2">NA()</definedName>
    <definedName name="Disclaimer_2_1">NA()</definedName>
    <definedName name="Disclaimer_3">#REF!</definedName>
    <definedName name="Disclaimer_3_1">NA()</definedName>
    <definedName name="Disclaimer_3_8">NA()</definedName>
    <definedName name="Disclaimer_4">#REF!</definedName>
    <definedName name="Disclaimer_4_1">NA()</definedName>
    <definedName name="Disclaimer_4_1_1">NA()</definedName>
    <definedName name="Disclaimer_4_8">NA()</definedName>
    <definedName name="Disclaimer_5">#REF!</definedName>
    <definedName name="Disclaimer_5_1">NA()</definedName>
    <definedName name="Disclaimer_5_1_1">NA()</definedName>
    <definedName name="Disclaimer_6">#REF!</definedName>
    <definedName name="Disclaimer_6_1">NA()</definedName>
    <definedName name="Disclaimer_6_1_1">NA()</definedName>
    <definedName name="Disclaimer_7">#REF!</definedName>
    <definedName name="Disclaimer_7_1">NA()</definedName>
    <definedName name="Disclaimer_8">NA()</definedName>
    <definedName name="Discount" hidden="1">#REF!</definedName>
    <definedName name="dismantelboe">#REF!</definedName>
    <definedName name="dismantelCC">#REF!</definedName>
    <definedName name="dismantelling">#REF!</definedName>
    <definedName name="dismantle_boe">#REF!</definedName>
    <definedName name="DismantleBOE">#REF!</definedName>
    <definedName name="dismantleBOEO">#REF!</definedName>
    <definedName name="dismantleWBM">#REF!</definedName>
    <definedName name="display_area_2" hidden="1">#REF!</definedName>
    <definedName name="dist">#REF!</definedName>
    <definedName name="Dist_Discount">#N/A</definedName>
    <definedName name="distBadhani">#REF!</definedName>
    <definedName name="distBitumen">#REF!</definedName>
    <definedName name="distbk">#REF!</definedName>
    <definedName name="distcmt">#REF!</definedName>
    <definedName name="distdala">#REF!</definedName>
    <definedName name="distdala1">#REF!</definedName>
    <definedName name="distHamir">#REF!</definedName>
    <definedName name="disths">#REF!</definedName>
    <definedName name="distKabrai">#REF!</definedName>
    <definedName name="distLal">#REF!</definedName>
    <definedName name="Distributors_Discount">#N/A</definedName>
    <definedName name="distssb">#REF!</definedName>
    <definedName name="diststeel">#REF!</definedName>
    <definedName name="diststone">#REF!</definedName>
    <definedName name="distTanak">#REF!</definedName>
    <definedName name="disttsb">#REF!</definedName>
    <definedName name="dk">#REF!</definedName>
    <definedName name="dkdkdjkd" hidden="1">#REF!</definedName>
    <definedName name="dl">#REF!</definedName>
    <definedName name="dl___0">#REF!</definedName>
    <definedName name="dl___13">#REF!</definedName>
    <definedName name="dlbm">#REF!</definedName>
    <definedName name="dlbx">#REF!</definedName>
    <definedName name="dlq">#N/A</definedName>
    <definedName name="dlqckf2">#N/A</definedName>
    <definedName name="DMRC_TOTAL">#REF!</definedName>
    <definedName name="Do">#REF!</definedName>
    <definedName name="DO_11">NA()</definedName>
    <definedName name="docu">#REF!</definedName>
    <definedName name="Document_array">{"Book1","Arvai Link  Road (2 Km).xls","Mudwara  Road (16 Km).xls","F.B.N.K. road..xls"}</definedName>
    <definedName name="DocumentName">""</definedName>
    <definedName name="DocumentNumber">""</definedName>
    <definedName name="Documents_array">#N/A</definedName>
    <definedName name="doitg" hidden="1">{#N/A,#N/A,TRUE,"Front";#N/A,#N/A,TRUE,"Simple Letter";#N/A,#N/A,TRUE,"Inside";#N/A,#N/A,TRUE,"Contents";#N/A,#N/A,TRUE,"Basis";#N/A,#N/A,TRUE,"Inclusions";#N/A,#N/A,TRUE,"Exclusions";#N/A,#N/A,TRUE,"Areas";#N/A,#N/A,TRUE,"Summary";#N/A,#N/A,TRUE,"Detail"}</definedName>
    <definedName name="DOLAR">#N/A</definedName>
    <definedName name="Double_Clip">#REF!</definedName>
    <definedName name="DOW_CORNING_789_SILICONE_SEALANT">#REF!</definedName>
    <definedName name="dozer">#REF!</definedName>
    <definedName name="dozer200">#REF!</definedName>
    <definedName name="dozeroperator">#REF!</definedName>
    <definedName name="DP">NA()</definedName>
    <definedName name="DP_5">#REF!</definedName>
    <definedName name="dq">#REF!</definedName>
    <definedName name="DR">#REF!</definedName>
    <definedName name="drains">#REF!</definedName>
    <definedName name="dresser">#REF!</definedName>
    <definedName name="driller">#REF!</definedName>
    <definedName name="drillingequipment">#REF!</definedName>
    <definedName name="driverhmv">#REF!</definedName>
    <definedName name="driverlmv">#REF!</definedName>
    <definedName name="dry">#REF!</definedName>
    <definedName name="Ds">#REF!</definedName>
    <definedName name="Ds___0">#REF!</definedName>
    <definedName name="Ds___13">#REF!</definedName>
    <definedName name="DSD">#REF!</definedName>
    <definedName name="dsdud">NA()</definedName>
    <definedName name="dsdud_18">NA()</definedName>
    <definedName name="dsdud_18_1">NA()</definedName>
    <definedName name="dsdud_18_1_5">#REF!</definedName>
    <definedName name="dsdud_18_5">#REF!</definedName>
    <definedName name="dsdud_21">NA()</definedName>
    <definedName name="dsdud_21_5">#REF!</definedName>
    <definedName name="dsdud_5">#REF!</definedName>
    <definedName name="dsfsd">#REF!</definedName>
    <definedName name="dsz">#REF!</definedName>
    <definedName name="dt">#REF!</definedName>
    <definedName name="duct">#REF!</definedName>
    <definedName name="Dust">#REF!</definedName>
    <definedName name="dwrl">#REF!</definedName>
    <definedName name="dwrm">#REF!</definedName>
    <definedName name="dwrp">#REF!</definedName>
    <definedName name="dyo">#REF!</definedName>
    <definedName name="e">NA()</definedName>
    <definedName name="E_1">NA()</definedName>
    <definedName name="E_10">"'file://Deserver/design/USER/HOUSING/SIRISH/temp.xls'#$'PRECAST lightconc_II'.$K$20"</definedName>
    <definedName name="E_12">"'file://Deserver/design/USER/HOUSING/SIRISH/temp.xls'#$'PRECAST lightconc_II'.$K$20"</definedName>
    <definedName name="E_13">"'file://Deserver/design/USER/HOUSING/SIRISH/temp.xls'#$'PRECAST lightconc_II'.$K$20"</definedName>
    <definedName name="E_14">"'file://Deserver/design/USER/HOUSING/SIRISH/temp.xls'#$'PRECAST lightconc_II'.$K$20"</definedName>
    <definedName name="E_15">"'file://Deserver/design/USER/HOUSING/SIRISH/temp.xls'#$'PRECAST lightconc_II'.$K$20"</definedName>
    <definedName name="E_16">"'file://Deserver/design/USER/HOUSING/SIRISH/temp.xls'#$'PRECAST lightconc_II'.$K$20"</definedName>
    <definedName name="E_17">"'file://Deserver/design/USER/HOUSING/SIRISH/temp.xls'#$'PRECAST lightconc_II'.$K$20"</definedName>
    <definedName name="E_18">"'file://Deserver/design/USER/HOUSING/SIRISH/temp.xls'#$'PRECAST lightconc_II'.$K$20"</definedName>
    <definedName name="E_19">"'file://Deserver/design/USER/HOUSING/SIRISH/temp.xls'#$'PRECAST lightconc_II'.$K$20"</definedName>
    <definedName name="E_2">NA()</definedName>
    <definedName name="E_20">"'file://Deserver/design/USER/HOUSING/SIRISH/temp.xls'#$'PRECAST lightconc_II'.$K$20"</definedName>
    <definedName name="E_21">"'file://Deserver/design/USER/HOUSING/SIRISH/temp.xls'#$'PRECAST lightconc_II'.$K$20"</definedName>
    <definedName name="E_22">"'file://Deserver/design/USER/HOUSING/SIRISH/temp.xls'#$'PRECAST lightconc_II'.$K$20"</definedName>
    <definedName name="E_23">"'file://Deserver/design/USER/HOUSING/SIRISH/temp.xls'#$'PRECAST lightconc_II'.$K$20"</definedName>
    <definedName name="E_24">"'file://Deserver/design/USER/HOUSING/SIRISH/temp.xls'#$'PRECAST lightconc_II'.$K$20"</definedName>
    <definedName name="E_25">"'file://Deserver/design/USER/HOUSING/SIRISH/temp.xls'#$'PRECAST lightconc_II'.$K$20"</definedName>
    <definedName name="E_26">"'file://Deserver/design/USER/HOUSING/SIRISH/temp.xls'#$'PRECAST lightconc_II'.$K$20"</definedName>
    <definedName name="E_27">"'file://Deserver/design/USER/HOUSING/SIRISH/temp.xls'#$'PRECAST lightconc_II'.$K$20"</definedName>
    <definedName name="E_28">"'file://Deserver/design/USER/HOUSING/SIRISH/temp.xls'#$'PRECAST lightconc_II'.$K$20"</definedName>
    <definedName name="E_6">"'file://Deserver/design/USER/HOUSING/SIRISH/temp.xls'#$'PRECAST lightconc_II'.$K$20"</definedName>
    <definedName name="E_7">"'file://Deserver/design/USER/HOUSING/SIRISH/temp.xls'#$'PRECAST lightconc_II'.$K$20"</definedName>
    <definedName name="E_8">"'file://Deserver/design/USER/HOUSING/SIRISH/temp.xls'#$'PRECAST lightconc_II'.$K$20"</definedName>
    <definedName name="E_9">"'file://Deserver/design/USER/HOUSING/SIRISH/temp.xls'#$'PRECAST lightconc_II'.$K$20"</definedName>
    <definedName name="E_9_1">"'file://Deserver/design/USER/HOUSING/SIRISH/temp.xls'#$'PRECAST lightconc_II'.$K$20"</definedName>
    <definedName name="E_9_1_1">"'file://Deserver/design/USER/HOUSING/SIRISH/temp.xls'#$'PRECAST lightconc_II'.$K$20"</definedName>
    <definedName name="earthwork">#REF!</definedName>
    <definedName name="earthwork_utility">#REF!</definedName>
    <definedName name="ECCY">[7]STABILITY!$G$61</definedName>
    <definedName name="ED">#REF!</definedName>
    <definedName name="ed_svcs_end">#REF!</definedName>
    <definedName name="ed_svcs_end_1">#REF!</definedName>
    <definedName name="ed_svcs_end_1_1">NA()</definedName>
    <definedName name="ed_svcs_end_1_1_1">NA()</definedName>
    <definedName name="ed_svcs_end_1_8">NA()</definedName>
    <definedName name="ed_svcs_end_2">NA()</definedName>
    <definedName name="ed_svcs_end_2_1">NA()</definedName>
    <definedName name="ed_svcs_end_3">#REF!</definedName>
    <definedName name="ed_svcs_end_3_1">NA()</definedName>
    <definedName name="ed_svcs_end_3_8">NA()</definedName>
    <definedName name="ed_svcs_end_4">#REF!</definedName>
    <definedName name="ed_svcs_end_4_1">NA()</definedName>
    <definedName name="ed_svcs_end_4_1_1">NA()</definedName>
    <definedName name="ed_svcs_end_4_8">NA()</definedName>
    <definedName name="ed_svcs_end_5">#REF!</definedName>
    <definedName name="ed_svcs_end_5_1">NA()</definedName>
    <definedName name="ed_svcs_end_5_1_1">NA()</definedName>
    <definedName name="ed_svcs_end_6">#REF!</definedName>
    <definedName name="ed_svcs_end_6_1">NA()</definedName>
    <definedName name="ed_svcs_end_6_1_1">NA()</definedName>
    <definedName name="ed_svcs_end_7">#REF!</definedName>
    <definedName name="ed_svcs_end_7_1">NA()</definedName>
    <definedName name="ed_svcs_end_8">NA()</definedName>
    <definedName name="ed_svcs_start">#REF!</definedName>
    <definedName name="ed_svcs_start_1">#REF!</definedName>
    <definedName name="ed_svcs_start_1_1">NA()</definedName>
    <definedName name="ed_svcs_start_1_1_1">NA()</definedName>
    <definedName name="ed_svcs_start_1_8">NA()</definedName>
    <definedName name="ed_svcs_start_2">NA()</definedName>
    <definedName name="ed_svcs_start_2_1">NA()</definedName>
    <definedName name="ed_svcs_start_3">#REF!</definedName>
    <definedName name="ed_svcs_start_3_1">NA()</definedName>
    <definedName name="ed_svcs_start_3_8">NA()</definedName>
    <definedName name="ed_svcs_start_4">#REF!</definedName>
    <definedName name="ed_svcs_start_4_1">NA()</definedName>
    <definedName name="ed_svcs_start_4_1_1">NA()</definedName>
    <definedName name="ed_svcs_start_4_8">NA()</definedName>
    <definedName name="ed_svcs_start_5">#REF!</definedName>
    <definedName name="ed_svcs_start_5_1">NA()</definedName>
    <definedName name="ed_svcs_start_5_1_1">NA()</definedName>
    <definedName name="ed_svcs_start_6">#REF!</definedName>
    <definedName name="ed_svcs_start_6_1">NA()</definedName>
    <definedName name="ed_svcs_start_6_1_1">NA()</definedName>
    <definedName name="ed_svcs_start_7">#REF!</definedName>
    <definedName name="ed_svcs_start_7_1">NA()</definedName>
    <definedName name="ed_svcs_start_8">NA()</definedName>
    <definedName name="edf">NA()</definedName>
    <definedName name="edf_5">#REF!</definedName>
    <definedName name="ee" hidden="1">{#N/A,#N/A,FALSE,"DATA D.I.";#N/A,#N/A,FALSE,"DATA C.I."}</definedName>
    <definedName name="eee">#REF!</definedName>
    <definedName name="Effort">[20]Background!$V$9:$V$11</definedName>
    <definedName name="Effort_1">NA()</definedName>
    <definedName name="Effort_1_1">NA()</definedName>
    <definedName name="Effort_2">NA()</definedName>
    <definedName name="Effort_3">NA()</definedName>
    <definedName name="egt301d">NA()</definedName>
    <definedName name="egt301d_5">#REF!</definedName>
    <definedName name="egt330d">NA()</definedName>
    <definedName name="egt330d_5">#REF!</definedName>
    <definedName name="Eight.12">#REF!</definedName>
    <definedName name="Eight.4_i">#REF!</definedName>
    <definedName name="Eight.5">#REF!</definedName>
    <definedName name="Eight.9">#REF!</definedName>
    <definedName name="el">#REF!</definedName>
    <definedName name="el_14">#REF!</definedName>
    <definedName name="elasto">#REF!</definedName>
    <definedName name="Ele">"$#REF!.$G$68"</definedName>
    <definedName name="electrician">#REF!</definedName>
    <definedName name="electricpoles">#N/A</definedName>
    <definedName name="Em">#REF!</definedName>
    <definedName name="Em___0">#REF!</definedName>
    <definedName name="Em___13">#REF!</definedName>
    <definedName name="Email">#REF!</definedName>
    <definedName name="Embankment">#REF!</definedName>
    <definedName name="EmployeeName">'[17]Frt-Breakup'!$AE$43:$AE$60</definedName>
    <definedName name="emuldistr">#REF!</definedName>
    <definedName name="emulsion">#REF!</definedName>
    <definedName name="EmulsionRdO">#REF!</definedName>
    <definedName name="enamelpaint">#REF!</definedName>
    <definedName name="Encoder">NA()</definedName>
    <definedName name="Encoder_1">NA()</definedName>
    <definedName name="End_Bal">#REF!</definedName>
    <definedName name="EndUserInfo">#REF!</definedName>
    <definedName name="EndUserInfo_1">#REF!</definedName>
    <definedName name="EndUserInfo_1_1">NA()</definedName>
    <definedName name="EndUserInfo_1_1_1">NA()</definedName>
    <definedName name="EndUserInfo_1_8">NA()</definedName>
    <definedName name="EndUserInfo_2">NA()</definedName>
    <definedName name="EndUserInfo_2_1">NA()</definedName>
    <definedName name="EndUserInfo_3">#REF!</definedName>
    <definedName name="EndUserInfo_3_1">NA()</definedName>
    <definedName name="EndUserInfo_3_8">NA()</definedName>
    <definedName name="EndUserInfo_4">#REF!</definedName>
    <definedName name="EndUserInfo_4_1">NA()</definedName>
    <definedName name="EndUserInfo_4_1_1">NA()</definedName>
    <definedName name="EndUserInfo_4_8">NA()</definedName>
    <definedName name="EndUserInfo_5">#REF!</definedName>
    <definedName name="EndUserInfo_5_1">NA()</definedName>
    <definedName name="EndUserInfo_5_1_1">NA()</definedName>
    <definedName name="EndUserInfo_6">#REF!</definedName>
    <definedName name="EndUserInfo_6_1">NA()</definedName>
    <definedName name="EndUserInfo_6_1_1">NA()</definedName>
    <definedName name="EndUserInfo_7">#REF!</definedName>
    <definedName name="EndUserInfo_7_1">NA()</definedName>
    <definedName name="EndUserInfo_8">NA()</definedName>
    <definedName name="EngAddress">NA()</definedName>
    <definedName name="EngAddress_1">NA()</definedName>
    <definedName name="EngAddress_1_3">NA()</definedName>
    <definedName name="EngAddress_1_3_5">#REF!</definedName>
    <definedName name="EngAddress_1_5">#REF!</definedName>
    <definedName name="EngAddress_10">NA()</definedName>
    <definedName name="EngAddress_10_1">NA()</definedName>
    <definedName name="EngAddress_10_1_3">NA()</definedName>
    <definedName name="EngAddress_10_1_3_5">#REF!</definedName>
    <definedName name="EngAddress_10_1_5">#REF!</definedName>
    <definedName name="EngAddress_10_17">NA()</definedName>
    <definedName name="EngAddress_10_17_3">NA()</definedName>
    <definedName name="EngAddress_10_17_3_5">#REF!</definedName>
    <definedName name="EngAddress_10_17_5">#REF!</definedName>
    <definedName name="EngAddress_10_5">#REF!</definedName>
    <definedName name="EngAddress_11">NA()</definedName>
    <definedName name="EngAddress_11_1">NA()</definedName>
    <definedName name="EngAddress_11_1_5">#REF!</definedName>
    <definedName name="EngAddress_11_5">#REF!</definedName>
    <definedName name="EngAddress_12">NA()</definedName>
    <definedName name="EngAddress_12_3">NA()</definedName>
    <definedName name="EngAddress_12_3_5">#REF!</definedName>
    <definedName name="EngAddress_12_5">#REF!</definedName>
    <definedName name="EngAddress_13">NA()</definedName>
    <definedName name="EngAddress_13_3">NA()</definedName>
    <definedName name="EngAddress_13_3_5">#REF!</definedName>
    <definedName name="EngAddress_13_5">#REF!</definedName>
    <definedName name="EngAddress_14">NA()</definedName>
    <definedName name="EngAddress_14_5">#REF!</definedName>
    <definedName name="EngAddress_15">NA()</definedName>
    <definedName name="EngAddress_15_1">NA()</definedName>
    <definedName name="EngAddress_15_1_3">NA()</definedName>
    <definedName name="EngAddress_15_1_3_5">#REF!</definedName>
    <definedName name="EngAddress_15_1_5">#REF!</definedName>
    <definedName name="EngAddress_15_3">NA()</definedName>
    <definedName name="EngAddress_15_3_5">#REF!</definedName>
    <definedName name="EngAddress_15_5">#REF!</definedName>
    <definedName name="EngAddress_16">NA()</definedName>
    <definedName name="EngAddress_16_1">NA()</definedName>
    <definedName name="EngAddress_16_1_3">NA()</definedName>
    <definedName name="EngAddress_16_1_3_5">#REF!</definedName>
    <definedName name="EngAddress_16_1_5">#REF!</definedName>
    <definedName name="EngAddress_16_3">NA()</definedName>
    <definedName name="EngAddress_16_3_5">#REF!</definedName>
    <definedName name="EngAddress_16_5">#REF!</definedName>
    <definedName name="EngAddress_17">NA()</definedName>
    <definedName name="EngAddress_17_1">NA()</definedName>
    <definedName name="EngAddress_17_1_5">#REF!</definedName>
    <definedName name="EngAddress_17_3">NA()</definedName>
    <definedName name="EngAddress_17_3_5">#REF!</definedName>
    <definedName name="EngAddress_17_5">#REF!</definedName>
    <definedName name="EngAddress_18">NA()</definedName>
    <definedName name="EngAddress_18_1">NA()</definedName>
    <definedName name="EngAddress_18_1_5">#REF!</definedName>
    <definedName name="EngAddress_18_5">#REF!</definedName>
    <definedName name="EngAddress_19">NA()</definedName>
    <definedName name="EngAddress_19_1">NA()</definedName>
    <definedName name="EngAddress_19_1_5">#REF!</definedName>
    <definedName name="EngAddress_19_5">#REF!</definedName>
    <definedName name="EngAddress_2">NA()</definedName>
    <definedName name="EngAddress_2_5">#REF!</definedName>
    <definedName name="EngAddress_20">NA()</definedName>
    <definedName name="EngAddress_20_1">NA()</definedName>
    <definedName name="EngAddress_20_1_3">NA()</definedName>
    <definedName name="EngAddress_20_1_3_5">#REF!</definedName>
    <definedName name="EngAddress_20_1_5">#REF!</definedName>
    <definedName name="EngAddress_20_5">#REF!</definedName>
    <definedName name="EngAddress_21">NA()</definedName>
    <definedName name="EngAddress_21_1">NA()</definedName>
    <definedName name="EngAddress_21_1_1">NA()</definedName>
    <definedName name="EngAddress_21_1_1_3">NA()</definedName>
    <definedName name="EngAddress_21_1_1_3_5">#REF!</definedName>
    <definedName name="EngAddress_21_1_1_5">#REF!</definedName>
    <definedName name="EngAddress_21_1_3">NA()</definedName>
    <definedName name="EngAddress_21_1_3_5">#REF!</definedName>
    <definedName name="EngAddress_21_1_5">#REF!</definedName>
    <definedName name="EngAddress_21_5">#REF!</definedName>
    <definedName name="EngAddress_22">NA()</definedName>
    <definedName name="EngAddress_22_3">NA()</definedName>
    <definedName name="EngAddress_22_3_5">#REF!</definedName>
    <definedName name="EngAddress_22_5">#REF!</definedName>
    <definedName name="EngAddress_23">NA()</definedName>
    <definedName name="EngAddress_23_3">NA()</definedName>
    <definedName name="EngAddress_23_3_5">#REF!</definedName>
    <definedName name="EngAddress_23_5">#REF!</definedName>
    <definedName name="EngAddress_24">NA()</definedName>
    <definedName name="EngAddress_24_3">NA()</definedName>
    <definedName name="EngAddress_24_3_5">#REF!</definedName>
    <definedName name="EngAddress_24_5">#REF!</definedName>
    <definedName name="EngAddress_25">NA()</definedName>
    <definedName name="EngAddress_25_3">NA()</definedName>
    <definedName name="EngAddress_25_3_5">#REF!</definedName>
    <definedName name="EngAddress_25_5">#REF!</definedName>
    <definedName name="EngAddress_26">NA()</definedName>
    <definedName name="EngAddress_26_1">NA()</definedName>
    <definedName name="EngAddress_26_1_3">NA()</definedName>
    <definedName name="EngAddress_26_1_3_5">#REF!</definedName>
    <definedName name="EngAddress_26_1_5">#REF!</definedName>
    <definedName name="EngAddress_26_3">NA()</definedName>
    <definedName name="EngAddress_26_3_5">#REF!</definedName>
    <definedName name="EngAddress_26_5">#REF!</definedName>
    <definedName name="EngAddress_27">NA()</definedName>
    <definedName name="EngAddress_27_1">NA()</definedName>
    <definedName name="EngAddress_27_1_3">NA()</definedName>
    <definedName name="EngAddress_27_1_3_5">#REF!</definedName>
    <definedName name="EngAddress_27_1_5">#REF!</definedName>
    <definedName name="EngAddress_27_3">NA()</definedName>
    <definedName name="EngAddress_27_3_5">#REF!</definedName>
    <definedName name="EngAddress_27_5">#REF!</definedName>
    <definedName name="EngAddress_28">NA()</definedName>
    <definedName name="EngAddress_28_1">NA()</definedName>
    <definedName name="EngAddress_28_1_3">NA()</definedName>
    <definedName name="EngAddress_28_1_3_5">#REF!</definedName>
    <definedName name="EngAddress_28_1_5">#REF!</definedName>
    <definedName name="EngAddress_28_3">NA()</definedName>
    <definedName name="EngAddress_28_3_5">#REF!</definedName>
    <definedName name="EngAddress_28_5">#REF!</definedName>
    <definedName name="EngAddress_29">NA()</definedName>
    <definedName name="EngAddress_29_3">NA()</definedName>
    <definedName name="EngAddress_29_3_5">#REF!</definedName>
    <definedName name="EngAddress_29_5">#REF!</definedName>
    <definedName name="EngAddress_3">NA()</definedName>
    <definedName name="EngAddress_3_5">#REF!</definedName>
    <definedName name="EngAddress_4">NA()</definedName>
    <definedName name="EngAddress_4_1">NA()</definedName>
    <definedName name="EngAddress_4_1_1">NA()</definedName>
    <definedName name="EngAddress_4_1_1_1">NA()</definedName>
    <definedName name="EngAddress_4_1_1_1_1">NA()</definedName>
    <definedName name="EngAddress_4_1_1_1_1_1">NA()</definedName>
    <definedName name="EngAddress_4_1_1_1_1_1_5">#REF!</definedName>
    <definedName name="EngAddress_4_1_1_1_1_3">NA()</definedName>
    <definedName name="EngAddress_4_1_1_1_1_3_5">#REF!</definedName>
    <definedName name="EngAddress_4_1_1_1_1_5">#REF!</definedName>
    <definedName name="EngAddress_4_1_1_1_3">NA()</definedName>
    <definedName name="EngAddress_4_1_1_1_3_1">NA()</definedName>
    <definedName name="EngAddress_4_1_1_1_3_1_5">#REF!</definedName>
    <definedName name="EngAddress_4_1_1_1_3_5">#REF!</definedName>
    <definedName name="EngAddress_4_1_1_1_5">#REF!</definedName>
    <definedName name="EngAddress_4_1_1_3">NA()</definedName>
    <definedName name="EngAddress_4_1_1_3_5">#REF!</definedName>
    <definedName name="EngAddress_4_1_1_5">#REF!</definedName>
    <definedName name="EngAddress_4_1_17">NA()</definedName>
    <definedName name="EngAddress_4_1_17_3">NA()</definedName>
    <definedName name="EngAddress_4_1_17_3_5">#REF!</definedName>
    <definedName name="EngAddress_4_1_17_5">#REF!</definedName>
    <definedName name="EngAddress_4_1_28">NA()</definedName>
    <definedName name="EngAddress_4_1_28_3">NA()</definedName>
    <definedName name="EngAddress_4_1_28_3_5">#REF!</definedName>
    <definedName name="EngAddress_4_1_28_5">#REF!</definedName>
    <definedName name="EngAddress_4_1_5">#REF!</definedName>
    <definedName name="EngAddress_4_1_6">NA()</definedName>
    <definedName name="EngAddress_4_1_6_3">NA()</definedName>
    <definedName name="EngAddress_4_1_6_3_5">#REF!</definedName>
    <definedName name="EngAddress_4_1_6_5">#REF!</definedName>
    <definedName name="EngAddress_4_10">NA()</definedName>
    <definedName name="EngAddress_4_10_3">NA()</definedName>
    <definedName name="EngAddress_4_10_3_5">#REF!</definedName>
    <definedName name="EngAddress_4_10_5">#REF!</definedName>
    <definedName name="EngAddress_4_12">NA()</definedName>
    <definedName name="EngAddress_4_12_3">NA()</definedName>
    <definedName name="EngAddress_4_12_3_5">#REF!</definedName>
    <definedName name="EngAddress_4_12_5">#REF!</definedName>
    <definedName name="EngAddress_4_13">NA()</definedName>
    <definedName name="EngAddress_4_13_3">NA()</definedName>
    <definedName name="EngAddress_4_13_3_5">#REF!</definedName>
    <definedName name="EngAddress_4_13_5">#REF!</definedName>
    <definedName name="EngAddress_4_14">NA()</definedName>
    <definedName name="EngAddress_4_14_3">NA()</definedName>
    <definedName name="EngAddress_4_14_3_5">#REF!</definedName>
    <definedName name="EngAddress_4_14_5">#REF!</definedName>
    <definedName name="EngAddress_4_15">NA()</definedName>
    <definedName name="EngAddress_4_15_3">NA()</definedName>
    <definedName name="EngAddress_4_15_3_5">#REF!</definedName>
    <definedName name="EngAddress_4_15_5">#REF!</definedName>
    <definedName name="EngAddress_4_16">NA()</definedName>
    <definedName name="EngAddress_4_16_3">NA()</definedName>
    <definedName name="EngAddress_4_16_3_5">#REF!</definedName>
    <definedName name="EngAddress_4_16_5">#REF!</definedName>
    <definedName name="EngAddress_4_17">NA()</definedName>
    <definedName name="EngAddress_4_17_3">NA()</definedName>
    <definedName name="EngAddress_4_17_3_5">#REF!</definedName>
    <definedName name="EngAddress_4_17_5">#REF!</definedName>
    <definedName name="EngAddress_4_18">NA()</definedName>
    <definedName name="EngAddress_4_18_1">NA()</definedName>
    <definedName name="EngAddress_4_18_1_5">#REF!</definedName>
    <definedName name="EngAddress_4_18_5">#REF!</definedName>
    <definedName name="EngAddress_4_19">NA()</definedName>
    <definedName name="EngAddress_4_19_5">#REF!</definedName>
    <definedName name="EngAddress_4_20">NA()</definedName>
    <definedName name="EngAddress_4_20_3">NA()</definedName>
    <definedName name="EngAddress_4_20_3_5">#REF!</definedName>
    <definedName name="EngAddress_4_20_5">#REF!</definedName>
    <definedName name="EngAddress_4_21">NA()</definedName>
    <definedName name="EngAddress_4_21_1">NA()</definedName>
    <definedName name="EngAddress_4_21_1_3">NA()</definedName>
    <definedName name="EngAddress_4_21_1_3_5">#REF!</definedName>
    <definedName name="EngAddress_4_21_1_5">#REF!</definedName>
    <definedName name="EngAddress_4_21_5">#REF!</definedName>
    <definedName name="EngAddress_4_22">NA()</definedName>
    <definedName name="EngAddress_4_22_3">NA()</definedName>
    <definedName name="EngAddress_4_22_3_5">#REF!</definedName>
    <definedName name="EngAddress_4_22_5">#REF!</definedName>
    <definedName name="EngAddress_4_23">NA()</definedName>
    <definedName name="EngAddress_4_23_3">NA()</definedName>
    <definedName name="EngAddress_4_23_3_5">#REF!</definedName>
    <definedName name="EngAddress_4_23_5">#REF!</definedName>
    <definedName name="EngAddress_4_24">NA()</definedName>
    <definedName name="EngAddress_4_24_3">NA()</definedName>
    <definedName name="EngAddress_4_24_3_5">#REF!</definedName>
    <definedName name="EngAddress_4_24_5">#REF!</definedName>
    <definedName name="EngAddress_4_25">NA()</definedName>
    <definedName name="EngAddress_4_25_3">NA()</definedName>
    <definedName name="EngAddress_4_25_3_5">#REF!</definedName>
    <definedName name="EngAddress_4_25_5">#REF!</definedName>
    <definedName name="EngAddress_4_26">NA()</definedName>
    <definedName name="EngAddress_4_26_3">NA()</definedName>
    <definedName name="EngAddress_4_26_3_5">#REF!</definedName>
    <definedName name="EngAddress_4_26_5">#REF!</definedName>
    <definedName name="EngAddress_4_27">NA()</definedName>
    <definedName name="EngAddress_4_27_3">NA()</definedName>
    <definedName name="EngAddress_4_27_3_5">#REF!</definedName>
    <definedName name="EngAddress_4_27_5">#REF!</definedName>
    <definedName name="EngAddress_4_28">NA()</definedName>
    <definedName name="EngAddress_4_28_3">NA()</definedName>
    <definedName name="EngAddress_4_28_3_5">#REF!</definedName>
    <definedName name="EngAddress_4_28_5">#REF!</definedName>
    <definedName name="EngAddress_4_5">#REF!</definedName>
    <definedName name="EngAddress_4_6">NA()</definedName>
    <definedName name="EngAddress_4_6_3">NA()</definedName>
    <definedName name="EngAddress_4_6_3_5">#REF!</definedName>
    <definedName name="EngAddress_4_6_5">#REF!</definedName>
    <definedName name="EngAddress_4_7">NA()</definedName>
    <definedName name="EngAddress_4_7_3">NA()</definedName>
    <definedName name="EngAddress_4_7_3_5">#REF!</definedName>
    <definedName name="EngAddress_4_7_5">#REF!</definedName>
    <definedName name="EngAddress_4_8">NA()</definedName>
    <definedName name="EngAddress_4_8_3">NA()</definedName>
    <definedName name="EngAddress_4_8_3_5">#REF!</definedName>
    <definedName name="EngAddress_4_8_5">#REF!</definedName>
    <definedName name="EngAddress_4_9">NA()</definedName>
    <definedName name="EngAddress_4_9_3">NA()</definedName>
    <definedName name="EngAddress_4_9_3_5">#REF!</definedName>
    <definedName name="EngAddress_4_9_5">#REF!</definedName>
    <definedName name="EngAddress_5">#REF!</definedName>
    <definedName name="EngAddress_5_1">NA()</definedName>
    <definedName name="EngAddress_5_17">NA()</definedName>
    <definedName name="EngAddress_5_17_3">NA()</definedName>
    <definedName name="EngAddress_5_17_3_5">#REF!</definedName>
    <definedName name="EngAddress_5_17_5">#REF!</definedName>
    <definedName name="EngAddress_5_28">NA()</definedName>
    <definedName name="EngAddress_5_28_3">NA()</definedName>
    <definedName name="EngAddress_5_28_3_5">#REF!</definedName>
    <definedName name="EngAddress_5_28_5">#REF!</definedName>
    <definedName name="EngAddress_5_3">NA()</definedName>
    <definedName name="EngAddress_5_3_5">#REF!</definedName>
    <definedName name="EngAddress_5_5">#REF!</definedName>
    <definedName name="EngAddress_5_6">NA()</definedName>
    <definedName name="EngAddress_5_6_3">NA()</definedName>
    <definedName name="EngAddress_5_6_3_5">#REF!</definedName>
    <definedName name="EngAddress_5_6_5">#REF!</definedName>
    <definedName name="EngAddress_6">NA()</definedName>
    <definedName name="EngAddress_6_1">NA()</definedName>
    <definedName name="EngAddress_6_1_5">#REF!</definedName>
    <definedName name="EngAddress_6_10">NA()</definedName>
    <definedName name="EngAddress_6_10_3">NA()</definedName>
    <definedName name="EngAddress_6_10_3_5">#REF!</definedName>
    <definedName name="EngAddress_6_10_5">#REF!</definedName>
    <definedName name="EngAddress_6_12">NA()</definedName>
    <definedName name="EngAddress_6_12_3">NA()</definedName>
    <definedName name="EngAddress_6_12_3_5">#REF!</definedName>
    <definedName name="EngAddress_6_12_5">#REF!</definedName>
    <definedName name="EngAddress_6_13">NA()</definedName>
    <definedName name="EngAddress_6_13_3">NA()</definedName>
    <definedName name="EngAddress_6_13_3_5">#REF!</definedName>
    <definedName name="EngAddress_6_13_5">#REF!</definedName>
    <definedName name="EngAddress_6_14">NA()</definedName>
    <definedName name="EngAddress_6_14_3">NA()</definedName>
    <definedName name="EngAddress_6_14_3_5">#REF!</definedName>
    <definedName name="EngAddress_6_14_5">#REF!</definedName>
    <definedName name="EngAddress_6_15">NA()</definedName>
    <definedName name="EngAddress_6_15_3">NA()</definedName>
    <definedName name="EngAddress_6_15_3_5">#REF!</definedName>
    <definedName name="EngAddress_6_15_5">#REF!</definedName>
    <definedName name="EngAddress_6_16">NA()</definedName>
    <definedName name="EngAddress_6_16_3">NA()</definedName>
    <definedName name="EngAddress_6_16_3_5">#REF!</definedName>
    <definedName name="EngAddress_6_16_5">#REF!</definedName>
    <definedName name="EngAddress_6_17">NA()</definedName>
    <definedName name="EngAddress_6_17_3">NA()</definedName>
    <definedName name="EngAddress_6_17_3_5">#REF!</definedName>
    <definedName name="EngAddress_6_17_5">#REF!</definedName>
    <definedName name="EngAddress_6_18">NA()</definedName>
    <definedName name="EngAddress_6_18_1">NA()</definedName>
    <definedName name="EngAddress_6_18_1_5">#REF!</definedName>
    <definedName name="EngAddress_6_18_5">#REF!</definedName>
    <definedName name="EngAddress_6_19">NA()</definedName>
    <definedName name="EngAddress_6_19_5">#REF!</definedName>
    <definedName name="EngAddress_6_20">NA()</definedName>
    <definedName name="EngAddress_6_20_3">NA()</definedName>
    <definedName name="EngAddress_6_20_3_5">#REF!</definedName>
    <definedName name="EngAddress_6_20_5">#REF!</definedName>
    <definedName name="EngAddress_6_21">NA()</definedName>
    <definedName name="EngAddress_6_21_1">NA()</definedName>
    <definedName name="EngAddress_6_21_1_3">NA()</definedName>
    <definedName name="EngAddress_6_21_1_3_5">#REF!</definedName>
    <definedName name="EngAddress_6_21_1_5">#REF!</definedName>
    <definedName name="EngAddress_6_21_5">#REF!</definedName>
    <definedName name="EngAddress_6_22">NA()</definedName>
    <definedName name="EngAddress_6_22_3">NA()</definedName>
    <definedName name="EngAddress_6_22_3_5">#REF!</definedName>
    <definedName name="EngAddress_6_22_5">#REF!</definedName>
    <definedName name="EngAddress_6_23">NA()</definedName>
    <definedName name="EngAddress_6_23_3">NA()</definedName>
    <definedName name="EngAddress_6_23_3_5">#REF!</definedName>
    <definedName name="EngAddress_6_23_5">#REF!</definedName>
    <definedName name="EngAddress_6_24">NA()</definedName>
    <definedName name="EngAddress_6_24_3">NA()</definedName>
    <definedName name="EngAddress_6_24_3_5">#REF!</definedName>
    <definedName name="EngAddress_6_24_5">#REF!</definedName>
    <definedName name="EngAddress_6_25">NA()</definedName>
    <definedName name="EngAddress_6_25_3">NA()</definedName>
    <definedName name="EngAddress_6_25_3_5">#REF!</definedName>
    <definedName name="EngAddress_6_25_5">#REF!</definedName>
    <definedName name="EngAddress_6_26">NA()</definedName>
    <definedName name="EngAddress_6_26_3">NA()</definedName>
    <definedName name="EngAddress_6_26_3_5">#REF!</definedName>
    <definedName name="EngAddress_6_26_5">#REF!</definedName>
    <definedName name="EngAddress_6_27">NA()</definedName>
    <definedName name="EngAddress_6_27_3">NA()</definedName>
    <definedName name="EngAddress_6_27_3_5">#REF!</definedName>
    <definedName name="EngAddress_6_27_5">#REF!</definedName>
    <definedName name="EngAddress_6_28">NA()</definedName>
    <definedName name="EngAddress_6_28_3">NA()</definedName>
    <definedName name="EngAddress_6_28_3_5">#REF!</definedName>
    <definedName name="EngAddress_6_28_5">#REF!</definedName>
    <definedName name="EngAddress_6_5">#REF!</definedName>
    <definedName name="EngAddress_6_6">NA()</definedName>
    <definedName name="EngAddress_6_6_3">NA()</definedName>
    <definedName name="EngAddress_6_6_3_5">#REF!</definedName>
    <definedName name="EngAddress_6_6_5">#REF!</definedName>
    <definedName name="EngAddress_6_7">NA()</definedName>
    <definedName name="EngAddress_6_7_3">NA()</definedName>
    <definedName name="EngAddress_6_7_3_5">#REF!</definedName>
    <definedName name="EngAddress_6_7_5">#REF!</definedName>
    <definedName name="EngAddress_6_8">NA()</definedName>
    <definedName name="EngAddress_6_8_3">NA()</definedName>
    <definedName name="EngAddress_6_8_3_5">#REF!</definedName>
    <definedName name="EngAddress_6_8_5">#REF!</definedName>
    <definedName name="EngAddress_6_9">NA()</definedName>
    <definedName name="EngAddress_6_9_1">NA()</definedName>
    <definedName name="EngAddress_6_9_1_1">NA()</definedName>
    <definedName name="EngAddress_6_9_1_1_3">NA()</definedName>
    <definedName name="EngAddress_6_9_1_1_3_5">#REF!</definedName>
    <definedName name="EngAddress_6_9_1_1_5">#REF!</definedName>
    <definedName name="EngAddress_6_9_1_3">NA()</definedName>
    <definedName name="EngAddress_6_9_1_3_5">#REF!</definedName>
    <definedName name="EngAddress_6_9_1_5">#REF!</definedName>
    <definedName name="EngAddress_6_9_5">#REF!</definedName>
    <definedName name="EngAddress_7">NA()</definedName>
    <definedName name="EngAddress_7_5">#REF!</definedName>
    <definedName name="EngAddress_8">NA()</definedName>
    <definedName name="EngAddress_8_3">NA()</definedName>
    <definedName name="EngAddress_8_3_5">#REF!</definedName>
    <definedName name="EngAddress_8_5">#REF!</definedName>
    <definedName name="EngAddress_9">NA()</definedName>
    <definedName name="EngAddress_9_3">NA()</definedName>
    <definedName name="EngAddress_9_3_5">#REF!</definedName>
    <definedName name="EngAddress_9_5">#REF!</definedName>
    <definedName name="EngCity">NA()</definedName>
    <definedName name="EngCity_1">NA()</definedName>
    <definedName name="EngCity_1_3">NA()</definedName>
    <definedName name="EngCity_1_3_5">#REF!</definedName>
    <definedName name="EngCity_1_5">#REF!</definedName>
    <definedName name="EngCity_10">NA()</definedName>
    <definedName name="EngCity_10_1">NA()</definedName>
    <definedName name="EngCity_10_1_3">NA()</definedName>
    <definedName name="EngCity_10_1_3_5">#REF!</definedName>
    <definedName name="EngCity_10_1_5">#REF!</definedName>
    <definedName name="EngCity_10_17">NA()</definedName>
    <definedName name="EngCity_10_17_3">NA()</definedName>
    <definedName name="EngCity_10_17_3_5">#REF!</definedName>
    <definedName name="EngCity_10_17_5">#REF!</definedName>
    <definedName name="EngCity_10_5">#REF!</definedName>
    <definedName name="EngCity_11">NA()</definedName>
    <definedName name="EngCity_11_1">NA()</definedName>
    <definedName name="EngCity_11_1_5">#REF!</definedName>
    <definedName name="EngCity_11_5">#REF!</definedName>
    <definedName name="EngCity_12">NA()</definedName>
    <definedName name="EngCity_12_3">NA()</definedName>
    <definedName name="EngCity_12_3_5">#REF!</definedName>
    <definedName name="EngCity_12_5">#REF!</definedName>
    <definedName name="EngCity_13">NA()</definedName>
    <definedName name="EngCity_13_3">NA()</definedName>
    <definedName name="EngCity_13_3_5">#REF!</definedName>
    <definedName name="EngCity_13_5">#REF!</definedName>
    <definedName name="EngCity_14">NA()</definedName>
    <definedName name="EngCity_14_5">#REF!</definedName>
    <definedName name="EngCity_15">NA()</definedName>
    <definedName name="EngCity_15_1">NA()</definedName>
    <definedName name="EngCity_15_1_3">NA()</definedName>
    <definedName name="EngCity_15_1_3_5">#REF!</definedName>
    <definedName name="EngCity_15_1_5">#REF!</definedName>
    <definedName name="EngCity_15_3">NA()</definedName>
    <definedName name="EngCity_15_3_5">#REF!</definedName>
    <definedName name="EngCity_15_5">#REF!</definedName>
    <definedName name="EngCity_16">NA()</definedName>
    <definedName name="EngCity_16_1">NA()</definedName>
    <definedName name="EngCity_16_1_3">NA()</definedName>
    <definedName name="EngCity_16_1_3_5">#REF!</definedName>
    <definedName name="EngCity_16_1_5">#REF!</definedName>
    <definedName name="EngCity_16_3">NA()</definedName>
    <definedName name="EngCity_16_3_5">#REF!</definedName>
    <definedName name="EngCity_16_5">#REF!</definedName>
    <definedName name="EngCity_17">NA()</definedName>
    <definedName name="EngCity_17_1">NA()</definedName>
    <definedName name="EngCity_17_1_5">#REF!</definedName>
    <definedName name="EngCity_17_3">NA()</definedName>
    <definedName name="EngCity_17_3_5">#REF!</definedName>
    <definedName name="EngCity_17_5">#REF!</definedName>
    <definedName name="EngCity_18">NA()</definedName>
    <definedName name="EngCity_18_1">NA()</definedName>
    <definedName name="EngCity_18_1_5">#REF!</definedName>
    <definedName name="EngCity_18_5">#REF!</definedName>
    <definedName name="EngCity_19">NA()</definedName>
    <definedName name="EngCity_19_1">NA()</definedName>
    <definedName name="EngCity_19_1_5">#REF!</definedName>
    <definedName name="EngCity_19_5">#REF!</definedName>
    <definedName name="EngCity_2">NA()</definedName>
    <definedName name="EngCity_2_5">#REF!</definedName>
    <definedName name="EngCity_20">NA()</definedName>
    <definedName name="EngCity_20_1">NA()</definedName>
    <definedName name="EngCity_20_1_3">NA()</definedName>
    <definedName name="EngCity_20_1_3_5">#REF!</definedName>
    <definedName name="EngCity_20_1_5">#REF!</definedName>
    <definedName name="EngCity_20_5">#REF!</definedName>
    <definedName name="EngCity_21">NA()</definedName>
    <definedName name="EngCity_21_1">NA()</definedName>
    <definedName name="EngCity_21_1_1">NA()</definedName>
    <definedName name="EngCity_21_1_1_3">NA()</definedName>
    <definedName name="EngCity_21_1_1_3_5">#REF!</definedName>
    <definedName name="EngCity_21_1_1_5">#REF!</definedName>
    <definedName name="EngCity_21_1_3">NA()</definedName>
    <definedName name="EngCity_21_1_3_5">#REF!</definedName>
    <definedName name="EngCity_21_1_5">#REF!</definedName>
    <definedName name="EngCity_21_5">#REF!</definedName>
    <definedName name="EngCity_22">NA()</definedName>
    <definedName name="EngCity_22_3">NA()</definedName>
    <definedName name="EngCity_22_3_5">#REF!</definedName>
    <definedName name="EngCity_22_5">#REF!</definedName>
    <definedName name="EngCity_23">NA()</definedName>
    <definedName name="EngCity_23_3">NA()</definedName>
    <definedName name="EngCity_23_3_5">#REF!</definedName>
    <definedName name="EngCity_23_5">#REF!</definedName>
    <definedName name="EngCity_24">NA()</definedName>
    <definedName name="EngCity_24_3">NA()</definedName>
    <definedName name="EngCity_24_3_5">#REF!</definedName>
    <definedName name="EngCity_24_5">#REF!</definedName>
    <definedName name="EngCity_25">NA()</definedName>
    <definedName name="EngCity_25_3">NA()</definedName>
    <definedName name="EngCity_25_3_5">#REF!</definedName>
    <definedName name="EngCity_25_5">#REF!</definedName>
    <definedName name="EngCity_26">NA()</definedName>
    <definedName name="EngCity_26_1">NA()</definedName>
    <definedName name="EngCity_26_1_3">NA()</definedName>
    <definedName name="EngCity_26_1_3_5">#REF!</definedName>
    <definedName name="EngCity_26_1_5">#REF!</definedName>
    <definedName name="EngCity_26_3">NA()</definedName>
    <definedName name="EngCity_26_3_5">#REF!</definedName>
    <definedName name="EngCity_26_5">#REF!</definedName>
    <definedName name="EngCity_27">NA()</definedName>
    <definedName name="EngCity_27_1">NA()</definedName>
    <definedName name="EngCity_27_1_3">NA()</definedName>
    <definedName name="EngCity_27_1_3_5">#REF!</definedName>
    <definedName name="EngCity_27_1_5">#REF!</definedName>
    <definedName name="EngCity_27_3">NA()</definedName>
    <definedName name="EngCity_27_3_5">#REF!</definedName>
    <definedName name="EngCity_27_5">#REF!</definedName>
    <definedName name="EngCity_28">NA()</definedName>
    <definedName name="EngCity_28_1">NA()</definedName>
    <definedName name="EngCity_28_1_3">NA()</definedName>
    <definedName name="EngCity_28_1_3_5">#REF!</definedName>
    <definedName name="EngCity_28_1_5">#REF!</definedName>
    <definedName name="EngCity_28_3">NA()</definedName>
    <definedName name="EngCity_28_3_5">#REF!</definedName>
    <definedName name="EngCity_28_5">#REF!</definedName>
    <definedName name="EngCity_29">NA()</definedName>
    <definedName name="EngCity_29_3">NA()</definedName>
    <definedName name="EngCity_29_3_5">#REF!</definedName>
    <definedName name="EngCity_29_5">#REF!</definedName>
    <definedName name="EngCity_3">NA()</definedName>
    <definedName name="EngCity_3_5">#REF!</definedName>
    <definedName name="EngCity_4">NA()</definedName>
    <definedName name="EngCity_4_1">NA()</definedName>
    <definedName name="EngCity_4_1_1">NA()</definedName>
    <definedName name="EngCity_4_1_1_1">NA()</definedName>
    <definedName name="EngCity_4_1_1_1_1">NA()</definedName>
    <definedName name="EngCity_4_1_1_1_1_1">NA()</definedName>
    <definedName name="EngCity_4_1_1_1_1_1_5">#REF!</definedName>
    <definedName name="EngCity_4_1_1_1_1_3">NA()</definedName>
    <definedName name="EngCity_4_1_1_1_1_3_5">#REF!</definedName>
    <definedName name="EngCity_4_1_1_1_1_5">#REF!</definedName>
    <definedName name="EngCity_4_1_1_1_3">NA()</definedName>
    <definedName name="EngCity_4_1_1_1_3_1">NA()</definedName>
    <definedName name="EngCity_4_1_1_1_3_1_5">#REF!</definedName>
    <definedName name="EngCity_4_1_1_1_3_5">#REF!</definedName>
    <definedName name="EngCity_4_1_1_1_5">#REF!</definedName>
    <definedName name="EngCity_4_1_1_3">NA()</definedName>
    <definedName name="EngCity_4_1_1_3_5">#REF!</definedName>
    <definedName name="EngCity_4_1_1_5">#REF!</definedName>
    <definedName name="EngCity_4_1_17">NA()</definedName>
    <definedName name="EngCity_4_1_17_3">NA()</definedName>
    <definedName name="EngCity_4_1_17_3_5">#REF!</definedName>
    <definedName name="EngCity_4_1_17_5">#REF!</definedName>
    <definedName name="EngCity_4_1_28">NA()</definedName>
    <definedName name="EngCity_4_1_28_3">NA()</definedName>
    <definedName name="EngCity_4_1_28_3_5">#REF!</definedName>
    <definedName name="EngCity_4_1_28_5">#REF!</definedName>
    <definedName name="EngCity_4_1_5">#REF!</definedName>
    <definedName name="EngCity_4_1_6">NA()</definedName>
    <definedName name="EngCity_4_1_6_3">NA()</definedName>
    <definedName name="EngCity_4_1_6_3_5">#REF!</definedName>
    <definedName name="EngCity_4_1_6_5">#REF!</definedName>
    <definedName name="EngCity_4_10">NA()</definedName>
    <definedName name="EngCity_4_10_3">NA()</definedName>
    <definedName name="EngCity_4_10_3_5">#REF!</definedName>
    <definedName name="EngCity_4_10_5">#REF!</definedName>
    <definedName name="EngCity_4_12">NA()</definedName>
    <definedName name="EngCity_4_12_3">NA()</definedName>
    <definedName name="EngCity_4_12_3_5">#REF!</definedName>
    <definedName name="EngCity_4_12_5">#REF!</definedName>
    <definedName name="EngCity_4_13">NA()</definedName>
    <definedName name="EngCity_4_13_3">NA()</definedName>
    <definedName name="EngCity_4_13_3_5">#REF!</definedName>
    <definedName name="EngCity_4_13_5">#REF!</definedName>
    <definedName name="EngCity_4_14">NA()</definedName>
    <definedName name="EngCity_4_14_3">NA()</definedName>
    <definedName name="EngCity_4_14_3_5">#REF!</definedName>
    <definedName name="EngCity_4_14_5">#REF!</definedName>
    <definedName name="EngCity_4_15">NA()</definedName>
    <definedName name="EngCity_4_15_3">NA()</definedName>
    <definedName name="EngCity_4_15_3_5">#REF!</definedName>
    <definedName name="EngCity_4_15_5">#REF!</definedName>
    <definedName name="EngCity_4_16">NA()</definedName>
    <definedName name="EngCity_4_16_3">NA()</definedName>
    <definedName name="EngCity_4_16_3_5">#REF!</definedName>
    <definedName name="EngCity_4_16_5">#REF!</definedName>
    <definedName name="EngCity_4_17">NA()</definedName>
    <definedName name="EngCity_4_17_3">NA()</definedName>
    <definedName name="EngCity_4_17_3_5">#REF!</definedName>
    <definedName name="EngCity_4_17_5">#REF!</definedName>
    <definedName name="EngCity_4_18">NA()</definedName>
    <definedName name="EngCity_4_18_1">NA()</definedName>
    <definedName name="EngCity_4_18_1_5">#REF!</definedName>
    <definedName name="EngCity_4_18_5">#REF!</definedName>
    <definedName name="EngCity_4_19">NA()</definedName>
    <definedName name="EngCity_4_19_5">#REF!</definedName>
    <definedName name="EngCity_4_20">NA()</definedName>
    <definedName name="EngCity_4_20_3">NA()</definedName>
    <definedName name="EngCity_4_20_3_5">#REF!</definedName>
    <definedName name="EngCity_4_20_5">#REF!</definedName>
    <definedName name="EngCity_4_21">NA()</definedName>
    <definedName name="EngCity_4_21_1">NA()</definedName>
    <definedName name="EngCity_4_21_1_3">NA()</definedName>
    <definedName name="EngCity_4_21_1_3_5">#REF!</definedName>
    <definedName name="EngCity_4_21_1_5">#REF!</definedName>
    <definedName name="EngCity_4_21_5">#REF!</definedName>
    <definedName name="EngCity_4_22">NA()</definedName>
    <definedName name="EngCity_4_22_3">NA()</definedName>
    <definedName name="EngCity_4_22_3_5">#REF!</definedName>
    <definedName name="EngCity_4_22_5">#REF!</definedName>
    <definedName name="EngCity_4_23">NA()</definedName>
    <definedName name="EngCity_4_23_3">NA()</definedName>
    <definedName name="EngCity_4_23_3_5">#REF!</definedName>
    <definedName name="EngCity_4_23_5">#REF!</definedName>
    <definedName name="EngCity_4_24">NA()</definedName>
    <definedName name="EngCity_4_24_3">NA()</definedName>
    <definedName name="EngCity_4_24_3_5">#REF!</definedName>
    <definedName name="EngCity_4_24_5">#REF!</definedName>
    <definedName name="EngCity_4_25">NA()</definedName>
    <definedName name="EngCity_4_25_3">NA()</definedName>
    <definedName name="EngCity_4_25_3_5">#REF!</definedName>
    <definedName name="EngCity_4_25_5">#REF!</definedName>
    <definedName name="EngCity_4_26">NA()</definedName>
    <definedName name="EngCity_4_26_3">NA()</definedName>
    <definedName name="EngCity_4_26_3_5">#REF!</definedName>
    <definedName name="EngCity_4_26_5">#REF!</definedName>
    <definedName name="EngCity_4_27">NA()</definedName>
    <definedName name="EngCity_4_27_3">NA()</definedName>
    <definedName name="EngCity_4_27_3_5">#REF!</definedName>
    <definedName name="EngCity_4_27_5">#REF!</definedName>
    <definedName name="EngCity_4_28">NA()</definedName>
    <definedName name="EngCity_4_28_3">NA()</definedName>
    <definedName name="EngCity_4_28_3_5">#REF!</definedName>
    <definedName name="EngCity_4_28_5">#REF!</definedName>
    <definedName name="EngCity_4_5">#REF!</definedName>
    <definedName name="EngCity_4_6">NA()</definedName>
    <definedName name="EngCity_4_6_3">NA()</definedName>
    <definedName name="EngCity_4_6_3_5">#REF!</definedName>
    <definedName name="EngCity_4_6_5">#REF!</definedName>
    <definedName name="EngCity_4_7">NA()</definedName>
    <definedName name="EngCity_4_7_3">NA()</definedName>
    <definedName name="EngCity_4_7_3_5">#REF!</definedName>
    <definedName name="EngCity_4_7_5">#REF!</definedName>
    <definedName name="EngCity_4_8">NA()</definedName>
    <definedName name="EngCity_4_8_3">NA()</definedName>
    <definedName name="EngCity_4_8_3_5">#REF!</definedName>
    <definedName name="EngCity_4_8_5">#REF!</definedName>
    <definedName name="EngCity_4_9">NA()</definedName>
    <definedName name="EngCity_4_9_3">NA()</definedName>
    <definedName name="EngCity_4_9_3_5">#REF!</definedName>
    <definedName name="EngCity_4_9_5">#REF!</definedName>
    <definedName name="EngCity_5">#REF!</definedName>
    <definedName name="EngCity_5_1">NA()</definedName>
    <definedName name="EngCity_5_17">NA()</definedName>
    <definedName name="EngCity_5_17_3">NA()</definedName>
    <definedName name="EngCity_5_17_3_5">#REF!</definedName>
    <definedName name="EngCity_5_17_5">#REF!</definedName>
    <definedName name="EngCity_5_28">NA()</definedName>
    <definedName name="EngCity_5_28_3">NA()</definedName>
    <definedName name="EngCity_5_28_3_5">#REF!</definedName>
    <definedName name="EngCity_5_28_5">#REF!</definedName>
    <definedName name="EngCity_5_3">NA()</definedName>
    <definedName name="EngCity_5_3_5">#REF!</definedName>
    <definedName name="EngCity_5_5">#REF!</definedName>
    <definedName name="EngCity_5_6">NA()</definedName>
    <definedName name="EngCity_5_6_3">NA()</definedName>
    <definedName name="EngCity_5_6_3_5">#REF!</definedName>
    <definedName name="EngCity_5_6_5">#REF!</definedName>
    <definedName name="EngCity_6">NA()</definedName>
    <definedName name="EngCity_6_1">NA()</definedName>
    <definedName name="EngCity_6_1_5">#REF!</definedName>
    <definedName name="EngCity_6_10">NA()</definedName>
    <definedName name="EngCity_6_10_3">NA()</definedName>
    <definedName name="EngCity_6_10_3_5">#REF!</definedName>
    <definedName name="EngCity_6_10_5">#REF!</definedName>
    <definedName name="EngCity_6_12">NA()</definedName>
    <definedName name="EngCity_6_12_3">NA()</definedName>
    <definedName name="EngCity_6_12_3_5">#REF!</definedName>
    <definedName name="EngCity_6_12_5">#REF!</definedName>
    <definedName name="EngCity_6_13">NA()</definedName>
    <definedName name="EngCity_6_13_3">NA()</definedName>
    <definedName name="EngCity_6_13_3_5">#REF!</definedName>
    <definedName name="EngCity_6_13_5">#REF!</definedName>
    <definedName name="EngCity_6_14">NA()</definedName>
    <definedName name="EngCity_6_14_3">NA()</definedName>
    <definedName name="EngCity_6_14_3_5">#REF!</definedName>
    <definedName name="EngCity_6_14_5">#REF!</definedName>
    <definedName name="EngCity_6_15">NA()</definedName>
    <definedName name="EngCity_6_15_3">NA()</definedName>
    <definedName name="EngCity_6_15_3_5">#REF!</definedName>
    <definedName name="EngCity_6_15_5">#REF!</definedName>
    <definedName name="EngCity_6_16">NA()</definedName>
    <definedName name="EngCity_6_16_3">NA()</definedName>
    <definedName name="EngCity_6_16_3_5">#REF!</definedName>
    <definedName name="EngCity_6_16_5">#REF!</definedName>
    <definedName name="EngCity_6_17">NA()</definedName>
    <definedName name="EngCity_6_17_3">NA()</definedName>
    <definedName name="EngCity_6_17_3_5">#REF!</definedName>
    <definedName name="EngCity_6_17_5">#REF!</definedName>
    <definedName name="EngCity_6_18">NA()</definedName>
    <definedName name="EngCity_6_18_1">NA()</definedName>
    <definedName name="EngCity_6_18_1_5">#REF!</definedName>
    <definedName name="EngCity_6_18_5">#REF!</definedName>
    <definedName name="EngCity_6_19">NA()</definedName>
    <definedName name="EngCity_6_19_5">#REF!</definedName>
    <definedName name="EngCity_6_20">NA()</definedName>
    <definedName name="EngCity_6_20_3">NA()</definedName>
    <definedName name="EngCity_6_20_3_5">#REF!</definedName>
    <definedName name="EngCity_6_20_5">#REF!</definedName>
    <definedName name="EngCity_6_21">NA()</definedName>
    <definedName name="EngCity_6_21_1">NA()</definedName>
    <definedName name="EngCity_6_21_1_3">NA()</definedName>
    <definedName name="EngCity_6_21_1_3_5">#REF!</definedName>
    <definedName name="EngCity_6_21_1_5">#REF!</definedName>
    <definedName name="EngCity_6_21_5">#REF!</definedName>
    <definedName name="EngCity_6_22">NA()</definedName>
    <definedName name="EngCity_6_22_3">NA()</definedName>
    <definedName name="EngCity_6_22_3_5">#REF!</definedName>
    <definedName name="EngCity_6_22_5">#REF!</definedName>
    <definedName name="EngCity_6_23">NA()</definedName>
    <definedName name="EngCity_6_23_3">NA()</definedName>
    <definedName name="EngCity_6_23_3_5">#REF!</definedName>
    <definedName name="EngCity_6_23_5">#REF!</definedName>
    <definedName name="EngCity_6_24">NA()</definedName>
    <definedName name="EngCity_6_24_3">NA()</definedName>
    <definedName name="EngCity_6_24_3_5">#REF!</definedName>
    <definedName name="EngCity_6_24_5">#REF!</definedName>
    <definedName name="EngCity_6_25">NA()</definedName>
    <definedName name="EngCity_6_25_3">NA()</definedName>
    <definedName name="EngCity_6_25_3_5">#REF!</definedName>
    <definedName name="EngCity_6_25_5">#REF!</definedName>
    <definedName name="EngCity_6_26">NA()</definedName>
    <definedName name="EngCity_6_26_3">NA()</definedName>
    <definedName name="EngCity_6_26_3_5">#REF!</definedName>
    <definedName name="EngCity_6_26_5">#REF!</definedName>
    <definedName name="EngCity_6_27">NA()</definedName>
    <definedName name="EngCity_6_27_3">NA()</definedName>
    <definedName name="EngCity_6_27_3_5">#REF!</definedName>
    <definedName name="EngCity_6_27_5">#REF!</definedName>
    <definedName name="EngCity_6_28">NA()</definedName>
    <definedName name="EngCity_6_28_3">NA()</definedName>
    <definedName name="EngCity_6_28_3_5">#REF!</definedName>
    <definedName name="EngCity_6_28_5">#REF!</definedName>
    <definedName name="EngCity_6_5">#REF!</definedName>
    <definedName name="EngCity_6_6">NA()</definedName>
    <definedName name="EngCity_6_6_3">NA()</definedName>
    <definedName name="EngCity_6_6_3_5">#REF!</definedName>
    <definedName name="EngCity_6_6_5">#REF!</definedName>
    <definedName name="EngCity_6_7">NA()</definedName>
    <definedName name="EngCity_6_7_3">NA()</definedName>
    <definedName name="EngCity_6_7_3_5">#REF!</definedName>
    <definedName name="EngCity_6_7_5">#REF!</definedName>
    <definedName name="EngCity_6_8">NA()</definedName>
    <definedName name="EngCity_6_8_3">NA()</definedName>
    <definedName name="EngCity_6_8_3_5">#REF!</definedName>
    <definedName name="EngCity_6_8_5">#REF!</definedName>
    <definedName name="EngCity_6_9">NA()</definedName>
    <definedName name="EngCity_6_9_1">NA()</definedName>
    <definedName name="EngCity_6_9_1_1">NA()</definedName>
    <definedName name="EngCity_6_9_1_1_3">NA()</definedName>
    <definedName name="EngCity_6_9_1_1_3_5">#REF!</definedName>
    <definedName name="EngCity_6_9_1_1_5">#REF!</definedName>
    <definedName name="EngCity_6_9_1_3">NA()</definedName>
    <definedName name="EngCity_6_9_1_3_5">#REF!</definedName>
    <definedName name="EngCity_6_9_1_5">#REF!</definedName>
    <definedName name="EngCity_6_9_5">#REF!</definedName>
    <definedName name="EngCity_7">NA()</definedName>
    <definedName name="EngCity_7_5">#REF!</definedName>
    <definedName name="EngCity_8">NA()</definedName>
    <definedName name="EngCity_8_3">NA()</definedName>
    <definedName name="EngCity_8_3_5">#REF!</definedName>
    <definedName name="EngCity_8_5">#REF!</definedName>
    <definedName name="EngCity_9">NA()</definedName>
    <definedName name="EngCity_9_3">NA()</definedName>
    <definedName name="EngCity_9_3_5">#REF!</definedName>
    <definedName name="EngCity_9_5">#REF!</definedName>
    <definedName name="EngName">NA()</definedName>
    <definedName name="EngName_1">NA()</definedName>
    <definedName name="EngName_1_3">NA()</definedName>
    <definedName name="EngName_1_3_5">#REF!</definedName>
    <definedName name="EngName_1_5">#REF!</definedName>
    <definedName name="EngName_10">NA()</definedName>
    <definedName name="EngName_10_1">NA()</definedName>
    <definedName name="EngName_10_1_3">NA()</definedName>
    <definedName name="EngName_10_1_3_5">#REF!</definedName>
    <definedName name="EngName_10_1_5">#REF!</definedName>
    <definedName name="EngName_10_17">NA()</definedName>
    <definedName name="EngName_10_17_3">NA()</definedName>
    <definedName name="EngName_10_17_3_5">#REF!</definedName>
    <definedName name="EngName_10_17_5">#REF!</definedName>
    <definedName name="EngName_10_5">#REF!</definedName>
    <definedName name="EngName_11">NA()</definedName>
    <definedName name="EngName_11_1">NA()</definedName>
    <definedName name="EngName_11_1_5">#REF!</definedName>
    <definedName name="EngName_11_5">#REF!</definedName>
    <definedName name="EngName_12">NA()</definedName>
    <definedName name="EngName_12_3">NA()</definedName>
    <definedName name="EngName_12_3_5">#REF!</definedName>
    <definedName name="EngName_12_5">#REF!</definedName>
    <definedName name="EngName_13">NA()</definedName>
    <definedName name="EngName_13_3">NA()</definedName>
    <definedName name="EngName_13_3_5">#REF!</definedName>
    <definedName name="EngName_13_5">#REF!</definedName>
    <definedName name="EngName_14">NA()</definedName>
    <definedName name="EngName_14_5">#REF!</definedName>
    <definedName name="EngName_15">NA()</definedName>
    <definedName name="EngName_15_1">NA()</definedName>
    <definedName name="EngName_15_1_3">NA()</definedName>
    <definedName name="EngName_15_1_3_5">#REF!</definedName>
    <definedName name="EngName_15_1_5">#REF!</definedName>
    <definedName name="EngName_15_3">NA()</definedName>
    <definedName name="EngName_15_3_5">#REF!</definedName>
    <definedName name="EngName_15_5">#REF!</definedName>
    <definedName name="EngName_16">NA()</definedName>
    <definedName name="EngName_16_1">NA()</definedName>
    <definedName name="EngName_16_1_3">NA()</definedName>
    <definedName name="EngName_16_1_3_5">#REF!</definedName>
    <definedName name="EngName_16_1_5">#REF!</definedName>
    <definedName name="EngName_16_3">NA()</definedName>
    <definedName name="EngName_16_3_5">#REF!</definedName>
    <definedName name="EngName_16_5">#REF!</definedName>
    <definedName name="EngName_17">NA()</definedName>
    <definedName name="EngName_17_1">NA()</definedName>
    <definedName name="EngName_17_1_5">#REF!</definedName>
    <definedName name="EngName_17_3">NA()</definedName>
    <definedName name="EngName_17_3_5">#REF!</definedName>
    <definedName name="EngName_17_5">#REF!</definedName>
    <definedName name="EngName_18">NA()</definedName>
    <definedName name="EngName_18_1">NA()</definedName>
    <definedName name="EngName_18_1_5">#REF!</definedName>
    <definedName name="EngName_18_5">#REF!</definedName>
    <definedName name="EngName_19">NA()</definedName>
    <definedName name="EngName_19_1">NA()</definedName>
    <definedName name="EngName_19_1_5">#REF!</definedName>
    <definedName name="EngName_19_5">#REF!</definedName>
    <definedName name="EngName_2">NA()</definedName>
    <definedName name="EngName_2_5">#REF!</definedName>
    <definedName name="EngName_20">NA()</definedName>
    <definedName name="EngName_20_1">NA()</definedName>
    <definedName name="EngName_20_1_3">NA()</definedName>
    <definedName name="EngName_20_1_3_5">#REF!</definedName>
    <definedName name="EngName_20_1_5">#REF!</definedName>
    <definedName name="EngName_20_5">#REF!</definedName>
    <definedName name="EngName_21">NA()</definedName>
    <definedName name="EngName_21_1">NA()</definedName>
    <definedName name="EngName_21_1_1">NA()</definedName>
    <definedName name="EngName_21_1_1_3">NA()</definedName>
    <definedName name="EngName_21_1_1_3_5">#REF!</definedName>
    <definedName name="EngName_21_1_1_5">#REF!</definedName>
    <definedName name="EngName_21_1_3">NA()</definedName>
    <definedName name="EngName_21_1_3_5">#REF!</definedName>
    <definedName name="EngName_21_1_5">#REF!</definedName>
    <definedName name="EngName_21_5">#REF!</definedName>
    <definedName name="EngName_22">NA()</definedName>
    <definedName name="EngName_22_3">NA()</definedName>
    <definedName name="EngName_22_3_5">#REF!</definedName>
    <definedName name="EngName_22_5">#REF!</definedName>
    <definedName name="EngName_23">NA()</definedName>
    <definedName name="EngName_23_3">NA()</definedName>
    <definedName name="EngName_23_3_5">#REF!</definedName>
    <definedName name="EngName_23_5">#REF!</definedName>
    <definedName name="EngName_24">NA()</definedName>
    <definedName name="EngName_24_3">NA()</definedName>
    <definedName name="EngName_24_3_5">#REF!</definedName>
    <definedName name="EngName_24_5">#REF!</definedName>
    <definedName name="EngName_25">NA()</definedName>
    <definedName name="EngName_25_3">NA()</definedName>
    <definedName name="EngName_25_3_5">#REF!</definedName>
    <definedName name="EngName_25_5">#REF!</definedName>
    <definedName name="EngName_26">NA()</definedName>
    <definedName name="EngName_26_1">NA()</definedName>
    <definedName name="EngName_26_1_3">NA()</definedName>
    <definedName name="EngName_26_1_3_5">#REF!</definedName>
    <definedName name="EngName_26_1_5">#REF!</definedName>
    <definedName name="EngName_26_3">NA()</definedName>
    <definedName name="EngName_26_3_5">#REF!</definedName>
    <definedName name="EngName_26_5">#REF!</definedName>
    <definedName name="EngName_27">NA()</definedName>
    <definedName name="EngName_27_1">NA()</definedName>
    <definedName name="EngName_27_1_3">NA()</definedName>
    <definedName name="EngName_27_1_3_5">#REF!</definedName>
    <definedName name="EngName_27_1_5">#REF!</definedName>
    <definedName name="EngName_27_3">NA()</definedName>
    <definedName name="EngName_27_3_5">#REF!</definedName>
    <definedName name="EngName_27_5">#REF!</definedName>
    <definedName name="EngName_28">NA()</definedName>
    <definedName name="EngName_28_1">NA()</definedName>
    <definedName name="EngName_28_1_3">NA()</definedName>
    <definedName name="EngName_28_1_3_5">#REF!</definedName>
    <definedName name="EngName_28_1_5">#REF!</definedName>
    <definedName name="EngName_28_3">NA()</definedName>
    <definedName name="EngName_28_3_5">#REF!</definedName>
    <definedName name="EngName_28_5">#REF!</definedName>
    <definedName name="EngName_29">NA()</definedName>
    <definedName name="EngName_29_3">NA()</definedName>
    <definedName name="EngName_29_3_5">#REF!</definedName>
    <definedName name="EngName_29_5">#REF!</definedName>
    <definedName name="EngName_3">NA()</definedName>
    <definedName name="EngName_3_5">#REF!</definedName>
    <definedName name="EngName_4">NA()</definedName>
    <definedName name="EngName_4_1">NA()</definedName>
    <definedName name="EngName_4_1_1">NA()</definedName>
    <definedName name="EngName_4_1_1_1">NA()</definedName>
    <definedName name="EngName_4_1_1_1_1">NA()</definedName>
    <definedName name="EngName_4_1_1_1_1_1">NA()</definedName>
    <definedName name="EngName_4_1_1_1_1_1_5">#REF!</definedName>
    <definedName name="EngName_4_1_1_1_1_3">NA()</definedName>
    <definedName name="EngName_4_1_1_1_1_3_5">#REF!</definedName>
    <definedName name="EngName_4_1_1_1_1_5">#REF!</definedName>
    <definedName name="EngName_4_1_1_1_3">NA()</definedName>
    <definedName name="EngName_4_1_1_1_3_1">NA()</definedName>
    <definedName name="EngName_4_1_1_1_3_1_5">#REF!</definedName>
    <definedName name="EngName_4_1_1_1_3_5">#REF!</definedName>
    <definedName name="EngName_4_1_1_1_5">#REF!</definedName>
    <definedName name="EngName_4_1_1_3">NA()</definedName>
    <definedName name="EngName_4_1_1_3_5">#REF!</definedName>
    <definedName name="EngName_4_1_1_5">#REF!</definedName>
    <definedName name="EngName_4_1_17">NA()</definedName>
    <definedName name="EngName_4_1_17_3">NA()</definedName>
    <definedName name="EngName_4_1_17_3_5">#REF!</definedName>
    <definedName name="EngName_4_1_17_5">#REF!</definedName>
    <definedName name="EngName_4_1_28">NA()</definedName>
    <definedName name="EngName_4_1_28_3">NA()</definedName>
    <definedName name="EngName_4_1_28_3_5">#REF!</definedName>
    <definedName name="EngName_4_1_28_5">#REF!</definedName>
    <definedName name="EngName_4_1_5">#REF!</definedName>
    <definedName name="EngName_4_1_6">NA()</definedName>
    <definedName name="EngName_4_1_6_3">NA()</definedName>
    <definedName name="EngName_4_1_6_3_5">#REF!</definedName>
    <definedName name="EngName_4_1_6_5">#REF!</definedName>
    <definedName name="EngName_4_10">NA()</definedName>
    <definedName name="EngName_4_10_3">NA()</definedName>
    <definedName name="EngName_4_10_3_5">#REF!</definedName>
    <definedName name="EngName_4_10_5">#REF!</definedName>
    <definedName name="EngName_4_12">NA()</definedName>
    <definedName name="EngName_4_12_3">NA()</definedName>
    <definedName name="EngName_4_12_3_5">#REF!</definedName>
    <definedName name="EngName_4_12_5">#REF!</definedName>
    <definedName name="EngName_4_13">NA()</definedName>
    <definedName name="EngName_4_13_3">NA()</definedName>
    <definedName name="EngName_4_13_3_5">#REF!</definedName>
    <definedName name="EngName_4_13_5">#REF!</definedName>
    <definedName name="EngName_4_14">NA()</definedName>
    <definedName name="EngName_4_14_3">NA()</definedName>
    <definedName name="EngName_4_14_3_5">#REF!</definedName>
    <definedName name="EngName_4_14_5">#REF!</definedName>
    <definedName name="EngName_4_15">NA()</definedName>
    <definedName name="EngName_4_15_3">NA()</definedName>
    <definedName name="EngName_4_15_3_5">#REF!</definedName>
    <definedName name="EngName_4_15_5">#REF!</definedName>
    <definedName name="EngName_4_16">NA()</definedName>
    <definedName name="EngName_4_16_3">NA()</definedName>
    <definedName name="EngName_4_16_3_5">#REF!</definedName>
    <definedName name="EngName_4_16_5">#REF!</definedName>
    <definedName name="EngName_4_17">NA()</definedName>
    <definedName name="EngName_4_17_3">NA()</definedName>
    <definedName name="EngName_4_17_3_5">#REF!</definedName>
    <definedName name="EngName_4_17_5">#REF!</definedName>
    <definedName name="EngName_4_18">NA()</definedName>
    <definedName name="EngName_4_18_1">NA()</definedName>
    <definedName name="EngName_4_18_1_5">#REF!</definedName>
    <definedName name="EngName_4_18_5">#REF!</definedName>
    <definedName name="EngName_4_19">NA()</definedName>
    <definedName name="EngName_4_19_5">#REF!</definedName>
    <definedName name="EngName_4_20">NA()</definedName>
    <definedName name="EngName_4_20_3">NA()</definedName>
    <definedName name="EngName_4_20_3_5">#REF!</definedName>
    <definedName name="EngName_4_20_5">#REF!</definedName>
    <definedName name="EngName_4_21">NA()</definedName>
    <definedName name="EngName_4_21_1">NA()</definedName>
    <definedName name="EngName_4_21_1_3">NA()</definedName>
    <definedName name="EngName_4_21_1_3_5">#REF!</definedName>
    <definedName name="EngName_4_21_1_5">#REF!</definedName>
    <definedName name="EngName_4_21_5">#REF!</definedName>
    <definedName name="EngName_4_22">NA()</definedName>
    <definedName name="EngName_4_22_3">NA()</definedName>
    <definedName name="EngName_4_22_3_5">#REF!</definedName>
    <definedName name="EngName_4_22_5">#REF!</definedName>
    <definedName name="EngName_4_23">NA()</definedName>
    <definedName name="EngName_4_23_3">NA()</definedName>
    <definedName name="EngName_4_23_3_5">#REF!</definedName>
    <definedName name="EngName_4_23_5">#REF!</definedName>
    <definedName name="EngName_4_24">NA()</definedName>
    <definedName name="EngName_4_24_3">NA()</definedName>
    <definedName name="EngName_4_24_3_5">#REF!</definedName>
    <definedName name="EngName_4_24_5">#REF!</definedName>
    <definedName name="EngName_4_25">NA()</definedName>
    <definedName name="EngName_4_25_3">NA()</definedName>
    <definedName name="EngName_4_25_3_5">#REF!</definedName>
    <definedName name="EngName_4_25_5">#REF!</definedName>
    <definedName name="EngName_4_26">NA()</definedName>
    <definedName name="EngName_4_26_3">NA()</definedName>
    <definedName name="EngName_4_26_3_5">#REF!</definedName>
    <definedName name="EngName_4_26_5">#REF!</definedName>
    <definedName name="EngName_4_27">NA()</definedName>
    <definedName name="EngName_4_27_3">NA()</definedName>
    <definedName name="EngName_4_27_3_5">#REF!</definedName>
    <definedName name="EngName_4_27_5">#REF!</definedName>
    <definedName name="EngName_4_28">NA()</definedName>
    <definedName name="EngName_4_28_3">NA()</definedName>
    <definedName name="EngName_4_28_3_5">#REF!</definedName>
    <definedName name="EngName_4_28_5">#REF!</definedName>
    <definedName name="EngName_4_5">#REF!</definedName>
    <definedName name="EngName_4_6">NA()</definedName>
    <definedName name="EngName_4_6_3">NA()</definedName>
    <definedName name="EngName_4_6_3_5">#REF!</definedName>
    <definedName name="EngName_4_6_5">#REF!</definedName>
    <definedName name="EngName_4_7">NA()</definedName>
    <definedName name="EngName_4_7_3">NA()</definedName>
    <definedName name="EngName_4_7_3_5">#REF!</definedName>
    <definedName name="EngName_4_7_5">#REF!</definedName>
    <definedName name="EngName_4_8">NA()</definedName>
    <definedName name="EngName_4_8_3">NA()</definedName>
    <definedName name="EngName_4_8_3_5">#REF!</definedName>
    <definedName name="EngName_4_8_5">#REF!</definedName>
    <definedName name="EngName_4_9">NA()</definedName>
    <definedName name="EngName_4_9_3">NA()</definedName>
    <definedName name="EngName_4_9_3_5">#REF!</definedName>
    <definedName name="EngName_4_9_5">#REF!</definedName>
    <definedName name="EngName_5">#REF!</definedName>
    <definedName name="EngName_5_1">NA()</definedName>
    <definedName name="EngName_5_17">NA()</definedName>
    <definedName name="EngName_5_17_3">NA()</definedName>
    <definedName name="EngName_5_17_3_5">#REF!</definedName>
    <definedName name="EngName_5_17_5">#REF!</definedName>
    <definedName name="EngName_5_28">NA()</definedName>
    <definedName name="EngName_5_28_3">NA()</definedName>
    <definedName name="EngName_5_28_3_5">#REF!</definedName>
    <definedName name="EngName_5_28_5">#REF!</definedName>
    <definedName name="EngName_5_3">NA()</definedName>
    <definedName name="EngName_5_3_5">#REF!</definedName>
    <definedName name="EngName_5_5">#REF!</definedName>
    <definedName name="EngName_5_6">NA()</definedName>
    <definedName name="EngName_5_6_3">NA()</definedName>
    <definedName name="EngName_5_6_3_5">#REF!</definedName>
    <definedName name="EngName_5_6_5">#REF!</definedName>
    <definedName name="EngName_6">NA()</definedName>
    <definedName name="EngName_6_1">NA()</definedName>
    <definedName name="EngName_6_1_5">#REF!</definedName>
    <definedName name="EngName_6_10">NA()</definedName>
    <definedName name="EngName_6_10_3">NA()</definedName>
    <definedName name="EngName_6_10_3_5">#REF!</definedName>
    <definedName name="EngName_6_10_5">#REF!</definedName>
    <definedName name="EngName_6_12">NA()</definedName>
    <definedName name="EngName_6_12_3">NA()</definedName>
    <definedName name="EngName_6_12_3_5">#REF!</definedName>
    <definedName name="EngName_6_12_5">#REF!</definedName>
    <definedName name="EngName_6_13">NA()</definedName>
    <definedName name="EngName_6_13_3">NA()</definedName>
    <definedName name="EngName_6_13_3_5">#REF!</definedName>
    <definedName name="EngName_6_13_5">#REF!</definedName>
    <definedName name="EngName_6_14">NA()</definedName>
    <definedName name="EngName_6_14_3">NA()</definedName>
    <definedName name="EngName_6_14_3_5">#REF!</definedName>
    <definedName name="EngName_6_14_5">#REF!</definedName>
    <definedName name="EngName_6_15">NA()</definedName>
    <definedName name="EngName_6_15_3">NA()</definedName>
    <definedName name="EngName_6_15_3_5">#REF!</definedName>
    <definedName name="EngName_6_15_5">#REF!</definedName>
    <definedName name="EngName_6_16">NA()</definedName>
    <definedName name="EngName_6_16_3">NA()</definedName>
    <definedName name="EngName_6_16_3_5">#REF!</definedName>
    <definedName name="EngName_6_16_5">#REF!</definedName>
    <definedName name="EngName_6_17">NA()</definedName>
    <definedName name="EngName_6_17_3">NA()</definedName>
    <definedName name="EngName_6_17_3_5">#REF!</definedName>
    <definedName name="EngName_6_17_5">#REF!</definedName>
    <definedName name="EngName_6_18">NA()</definedName>
    <definedName name="EngName_6_18_1">NA()</definedName>
    <definedName name="EngName_6_18_1_5">#REF!</definedName>
    <definedName name="EngName_6_18_5">#REF!</definedName>
    <definedName name="EngName_6_19">NA()</definedName>
    <definedName name="EngName_6_19_5">#REF!</definedName>
    <definedName name="EngName_6_20">NA()</definedName>
    <definedName name="EngName_6_20_3">NA()</definedName>
    <definedName name="EngName_6_20_3_5">#REF!</definedName>
    <definedName name="EngName_6_20_5">#REF!</definedName>
    <definedName name="EngName_6_21">NA()</definedName>
    <definedName name="EngName_6_21_1">NA()</definedName>
    <definedName name="EngName_6_21_1_3">NA()</definedName>
    <definedName name="EngName_6_21_1_3_5">#REF!</definedName>
    <definedName name="EngName_6_21_1_5">#REF!</definedName>
    <definedName name="EngName_6_21_5">#REF!</definedName>
    <definedName name="EngName_6_22">NA()</definedName>
    <definedName name="EngName_6_22_3">NA()</definedName>
    <definedName name="EngName_6_22_3_5">#REF!</definedName>
    <definedName name="EngName_6_22_5">#REF!</definedName>
    <definedName name="EngName_6_23">NA()</definedName>
    <definedName name="EngName_6_23_3">NA()</definedName>
    <definedName name="EngName_6_23_3_5">#REF!</definedName>
    <definedName name="EngName_6_23_5">#REF!</definedName>
    <definedName name="EngName_6_24">NA()</definedName>
    <definedName name="EngName_6_24_3">NA()</definedName>
    <definedName name="EngName_6_24_3_5">#REF!</definedName>
    <definedName name="EngName_6_24_5">#REF!</definedName>
    <definedName name="EngName_6_25">NA()</definedName>
    <definedName name="EngName_6_25_3">NA()</definedName>
    <definedName name="EngName_6_25_3_5">#REF!</definedName>
    <definedName name="EngName_6_25_5">#REF!</definedName>
    <definedName name="EngName_6_26">NA()</definedName>
    <definedName name="EngName_6_26_3">NA()</definedName>
    <definedName name="EngName_6_26_3_5">#REF!</definedName>
    <definedName name="EngName_6_26_5">#REF!</definedName>
    <definedName name="EngName_6_27">NA()</definedName>
    <definedName name="EngName_6_27_3">NA()</definedName>
    <definedName name="EngName_6_27_3_5">#REF!</definedName>
    <definedName name="EngName_6_27_5">#REF!</definedName>
    <definedName name="EngName_6_28">NA()</definedName>
    <definedName name="EngName_6_28_3">NA()</definedName>
    <definedName name="EngName_6_28_3_5">#REF!</definedName>
    <definedName name="EngName_6_28_5">#REF!</definedName>
    <definedName name="EngName_6_5">#REF!</definedName>
    <definedName name="EngName_6_6">NA()</definedName>
    <definedName name="EngName_6_6_3">NA()</definedName>
    <definedName name="EngName_6_6_3_5">#REF!</definedName>
    <definedName name="EngName_6_6_5">#REF!</definedName>
    <definedName name="EngName_6_7">NA()</definedName>
    <definedName name="EngName_6_7_3">NA()</definedName>
    <definedName name="EngName_6_7_3_5">#REF!</definedName>
    <definedName name="EngName_6_7_5">#REF!</definedName>
    <definedName name="EngName_6_8">NA()</definedName>
    <definedName name="EngName_6_8_3">NA()</definedName>
    <definedName name="EngName_6_8_3_5">#REF!</definedName>
    <definedName name="EngName_6_8_5">#REF!</definedName>
    <definedName name="EngName_6_9">NA()</definedName>
    <definedName name="EngName_6_9_1">NA()</definedName>
    <definedName name="EngName_6_9_1_1">NA()</definedName>
    <definedName name="EngName_6_9_1_1_3">NA()</definedName>
    <definedName name="EngName_6_9_1_1_3_5">#REF!</definedName>
    <definedName name="EngName_6_9_1_1_5">#REF!</definedName>
    <definedName name="EngName_6_9_1_3">NA()</definedName>
    <definedName name="EngName_6_9_1_3_5">#REF!</definedName>
    <definedName name="EngName_6_9_1_5">#REF!</definedName>
    <definedName name="EngName_6_9_5">#REF!</definedName>
    <definedName name="EngName_7">NA()</definedName>
    <definedName name="EngName_7_5">#REF!</definedName>
    <definedName name="EngName_8">NA()</definedName>
    <definedName name="EngName_8_3">NA()</definedName>
    <definedName name="EngName_8_3_5">#REF!</definedName>
    <definedName name="EngName_8_5">#REF!</definedName>
    <definedName name="EngName_9">NA()</definedName>
    <definedName name="EngName_9_3">NA()</definedName>
    <definedName name="EngName_9_3_5">#REF!</definedName>
    <definedName name="EngName_9_5">#REF!</definedName>
    <definedName name="EngPostal">NA()</definedName>
    <definedName name="EngPostal_1">NA()</definedName>
    <definedName name="EngPostal_1_3">NA()</definedName>
    <definedName name="EngPostal_1_3_5">#REF!</definedName>
    <definedName name="EngPostal_1_5">#REF!</definedName>
    <definedName name="EngPostal_10">NA()</definedName>
    <definedName name="EngPostal_10_1">NA()</definedName>
    <definedName name="EngPostal_10_1_3">NA()</definedName>
    <definedName name="EngPostal_10_1_3_5">#REF!</definedName>
    <definedName name="EngPostal_10_1_5">#REF!</definedName>
    <definedName name="EngPostal_10_17">NA()</definedName>
    <definedName name="EngPostal_10_17_3">NA()</definedName>
    <definedName name="EngPostal_10_17_3_5">#REF!</definedName>
    <definedName name="EngPostal_10_17_5">#REF!</definedName>
    <definedName name="EngPostal_10_5">#REF!</definedName>
    <definedName name="EngPostal_11">NA()</definedName>
    <definedName name="EngPostal_11_1">NA()</definedName>
    <definedName name="EngPostal_11_1_5">#REF!</definedName>
    <definedName name="EngPostal_11_5">#REF!</definedName>
    <definedName name="EngPostal_12">NA()</definedName>
    <definedName name="EngPostal_12_3">NA()</definedName>
    <definedName name="EngPostal_12_3_5">#REF!</definedName>
    <definedName name="EngPostal_12_5">#REF!</definedName>
    <definedName name="EngPostal_13">NA()</definedName>
    <definedName name="EngPostal_13_3">NA()</definedName>
    <definedName name="EngPostal_13_3_5">#REF!</definedName>
    <definedName name="EngPostal_13_5">#REF!</definedName>
    <definedName name="EngPostal_14">NA()</definedName>
    <definedName name="EngPostal_14_5">#REF!</definedName>
    <definedName name="EngPostal_15">NA()</definedName>
    <definedName name="EngPostal_15_1">NA()</definedName>
    <definedName name="EngPostal_15_1_3">NA()</definedName>
    <definedName name="EngPostal_15_1_3_5">#REF!</definedName>
    <definedName name="EngPostal_15_1_5">#REF!</definedName>
    <definedName name="EngPostal_15_3">NA()</definedName>
    <definedName name="EngPostal_15_3_5">#REF!</definedName>
    <definedName name="EngPostal_15_5">#REF!</definedName>
    <definedName name="EngPostal_16">NA()</definedName>
    <definedName name="EngPostal_16_1">NA()</definedName>
    <definedName name="EngPostal_16_1_3">NA()</definedName>
    <definedName name="EngPostal_16_1_3_5">#REF!</definedName>
    <definedName name="EngPostal_16_1_5">#REF!</definedName>
    <definedName name="EngPostal_16_3">NA()</definedName>
    <definedName name="EngPostal_16_3_5">#REF!</definedName>
    <definedName name="EngPostal_16_5">#REF!</definedName>
    <definedName name="EngPostal_17">NA()</definedName>
    <definedName name="EngPostal_17_1">NA()</definedName>
    <definedName name="EngPostal_17_1_5">#REF!</definedName>
    <definedName name="EngPostal_17_3">NA()</definedName>
    <definedName name="EngPostal_17_3_5">#REF!</definedName>
    <definedName name="EngPostal_17_5">#REF!</definedName>
    <definedName name="EngPostal_18">NA()</definedName>
    <definedName name="EngPostal_18_1">NA()</definedName>
    <definedName name="EngPostal_18_1_5">#REF!</definedName>
    <definedName name="EngPostal_18_5">#REF!</definedName>
    <definedName name="EngPostal_19">NA()</definedName>
    <definedName name="EngPostal_19_1">NA()</definedName>
    <definedName name="EngPostal_19_1_5">#REF!</definedName>
    <definedName name="EngPostal_19_5">#REF!</definedName>
    <definedName name="EngPostal_2">NA()</definedName>
    <definedName name="EngPostal_2_5">#REF!</definedName>
    <definedName name="EngPostal_20">NA()</definedName>
    <definedName name="EngPostal_20_1">NA()</definedName>
    <definedName name="EngPostal_20_1_3">NA()</definedName>
    <definedName name="EngPostal_20_1_3_5">#REF!</definedName>
    <definedName name="EngPostal_20_1_5">#REF!</definedName>
    <definedName name="EngPostal_20_5">#REF!</definedName>
    <definedName name="EngPostal_21">NA()</definedName>
    <definedName name="EngPostal_21_1">NA()</definedName>
    <definedName name="EngPostal_21_1_1">NA()</definedName>
    <definedName name="EngPostal_21_1_1_3">NA()</definedName>
    <definedName name="EngPostal_21_1_1_3_5">#REF!</definedName>
    <definedName name="EngPostal_21_1_1_5">#REF!</definedName>
    <definedName name="EngPostal_21_1_3">NA()</definedName>
    <definedName name="EngPostal_21_1_3_5">#REF!</definedName>
    <definedName name="EngPostal_21_1_5">#REF!</definedName>
    <definedName name="EngPostal_21_5">#REF!</definedName>
    <definedName name="EngPostal_22">NA()</definedName>
    <definedName name="EngPostal_22_3">NA()</definedName>
    <definedName name="EngPostal_22_3_5">#REF!</definedName>
    <definedName name="EngPostal_22_5">#REF!</definedName>
    <definedName name="EngPostal_23">NA()</definedName>
    <definedName name="EngPostal_23_3">NA()</definedName>
    <definedName name="EngPostal_23_3_5">#REF!</definedName>
    <definedName name="EngPostal_23_5">#REF!</definedName>
    <definedName name="EngPostal_24">NA()</definedName>
    <definedName name="EngPostal_24_3">NA()</definedName>
    <definedName name="EngPostal_24_3_5">#REF!</definedName>
    <definedName name="EngPostal_24_5">#REF!</definedName>
    <definedName name="EngPostal_25">NA()</definedName>
    <definedName name="EngPostal_25_3">NA()</definedName>
    <definedName name="EngPostal_25_3_5">#REF!</definedName>
    <definedName name="EngPostal_25_5">#REF!</definedName>
    <definedName name="EngPostal_26">NA()</definedName>
    <definedName name="EngPostal_26_1">NA()</definedName>
    <definedName name="EngPostal_26_1_3">NA()</definedName>
    <definedName name="EngPostal_26_1_3_5">#REF!</definedName>
    <definedName name="EngPostal_26_1_5">#REF!</definedName>
    <definedName name="EngPostal_26_3">NA()</definedName>
    <definedName name="EngPostal_26_3_5">#REF!</definedName>
    <definedName name="EngPostal_26_5">#REF!</definedName>
    <definedName name="EngPostal_27">NA()</definedName>
    <definedName name="EngPostal_27_1">NA()</definedName>
    <definedName name="EngPostal_27_1_3">NA()</definedName>
    <definedName name="EngPostal_27_1_3_5">#REF!</definedName>
    <definedName name="EngPostal_27_1_5">#REF!</definedName>
    <definedName name="EngPostal_27_3">NA()</definedName>
    <definedName name="EngPostal_27_3_5">#REF!</definedName>
    <definedName name="EngPostal_27_5">#REF!</definedName>
    <definedName name="EngPostal_28">NA()</definedName>
    <definedName name="EngPostal_28_1">NA()</definedName>
    <definedName name="EngPostal_28_1_3">NA()</definedName>
    <definedName name="EngPostal_28_1_3_5">#REF!</definedName>
    <definedName name="EngPostal_28_1_5">#REF!</definedName>
    <definedName name="EngPostal_28_3">NA()</definedName>
    <definedName name="EngPostal_28_3_5">#REF!</definedName>
    <definedName name="EngPostal_28_5">#REF!</definedName>
    <definedName name="EngPostal_29">NA()</definedName>
    <definedName name="EngPostal_29_3">NA()</definedName>
    <definedName name="EngPostal_29_3_5">#REF!</definedName>
    <definedName name="EngPostal_29_5">#REF!</definedName>
    <definedName name="EngPostal_3">NA()</definedName>
    <definedName name="EngPostal_3_5">#REF!</definedName>
    <definedName name="EngPostal_4">NA()</definedName>
    <definedName name="EngPostal_4_1">NA()</definedName>
    <definedName name="EngPostal_4_1_1">NA()</definedName>
    <definedName name="EngPostal_4_1_1_1">NA()</definedName>
    <definedName name="EngPostal_4_1_1_1_1">NA()</definedName>
    <definedName name="EngPostal_4_1_1_1_1_1">NA()</definedName>
    <definedName name="EngPostal_4_1_1_1_1_1_5">#REF!</definedName>
    <definedName name="EngPostal_4_1_1_1_1_3">NA()</definedName>
    <definedName name="EngPostal_4_1_1_1_1_3_5">#REF!</definedName>
    <definedName name="EngPostal_4_1_1_1_1_5">#REF!</definedName>
    <definedName name="EngPostal_4_1_1_1_3">NA()</definedName>
    <definedName name="EngPostal_4_1_1_1_3_1">NA()</definedName>
    <definedName name="EngPostal_4_1_1_1_3_1_5">#REF!</definedName>
    <definedName name="EngPostal_4_1_1_1_3_5">#REF!</definedName>
    <definedName name="EngPostal_4_1_1_1_5">#REF!</definedName>
    <definedName name="EngPostal_4_1_1_3">NA()</definedName>
    <definedName name="EngPostal_4_1_1_3_5">#REF!</definedName>
    <definedName name="EngPostal_4_1_1_5">#REF!</definedName>
    <definedName name="EngPostal_4_1_17">NA()</definedName>
    <definedName name="EngPostal_4_1_17_3">NA()</definedName>
    <definedName name="EngPostal_4_1_17_3_5">#REF!</definedName>
    <definedName name="EngPostal_4_1_17_5">#REF!</definedName>
    <definedName name="EngPostal_4_1_28">NA()</definedName>
    <definedName name="EngPostal_4_1_28_3">NA()</definedName>
    <definedName name="EngPostal_4_1_28_3_5">#REF!</definedName>
    <definedName name="EngPostal_4_1_28_5">#REF!</definedName>
    <definedName name="EngPostal_4_1_5">#REF!</definedName>
    <definedName name="EngPostal_4_1_6">NA()</definedName>
    <definedName name="EngPostal_4_1_6_3">NA()</definedName>
    <definedName name="EngPostal_4_1_6_3_5">#REF!</definedName>
    <definedName name="EngPostal_4_1_6_5">#REF!</definedName>
    <definedName name="EngPostal_4_10">NA()</definedName>
    <definedName name="EngPostal_4_10_3">NA()</definedName>
    <definedName name="EngPostal_4_10_3_5">#REF!</definedName>
    <definedName name="EngPostal_4_10_5">#REF!</definedName>
    <definedName name="EngPostal_4_12">NA()</definedName>
    <definedName name="EngPostal_4_12_3">NA()</definedName>
    <definedName name="EngPostal_4_12_3_5">#REF!</definedName>
    <definedName name="EngPostal_4_12_5">#REF!</definedName>
    <definedName name="EngPostal_4_13">NA()</definedName>
    <definedName name="EngPostal_4_13_3">NA()</definedName>
    <definedName name="EngPostal_4_13_3_5">#REF!</definedName>
    <definedName name="EngPostal_4_13_5">#REF!</definedName>
    <definedName name="EngPostal_4_14">NA()</definedName>
    <definedName name="EngPostal_4_14_3">NA()</definedName>
    <definedName name="EngPostal_4_14_3_5">#REF!</definedName>
    <definedName name="EngPostal_4_14_5">#REF!</definedName>
    <definedName name="EngPostal_4_15">NA()</definedName>
    <definedName name="EngPostal_4_15_3">NA()</definedName>
    <definedName name="EngPostal_4_15_3_5">#REF!</definedName>
    <definedName name="EngPostal_4_15_5">#REF!</definedName>
    <definedName name="EngPostal_4_16">NA()</definedName>
    <definedName name="EngPostal_4_16_3">NA()</definedName>
    <definedName name="EngPostal_4_16_3_5">#REF!</definedName>
    <definedName name="EngPostal_4_16_5">#REF!</definedName>
    <definedName name="EngPostal_4_17">NA()</definedName>
    <definedName name="EngPostal_4_17_3">NA()</definedName>
    <definedName name="EngPostal_4_17_3_5">#REF!</definedName>
    <definedName name="EngPostal_4_17_5">#REF!</definedName>
    <definedName name="EngPostal_4_18">NA()</definedName>
    <definedName name="EngPostal_4_18_1">NA()</definedName>
    <definedName name="EngPostal_4_18_1_5">#REF!</definedName>
    <definedName name="EngPostal_4_18_5">#REF!</definedName>
    <definedName name="EngPostal_4_19">NA()</definedName>
    <definedName name="EngPostal_4_19_5">#REF!</definedName>
    <definedName name="EngPostal_4_20">NA()</definedName>
    <definedName name="EngPostal_4_20_3">NA()</definedName>
    <definedName name="EngPostal_4_20_3_5">#REF!</definedName>
    <definedName name="EngPostal_4_20_5">#REF!</definedName>
    <definedName name="EngPostal_4_21">NA()</definedName>
    <definedName name="EngPostal_4_21_1">NA()</definedName>
    <definedName name="EngPostal_4_21_1_3">NA()</definedName>
    <definedName name="EngPostal_4_21_1_3_5">#REF!</definedName>
    <definedName name="EngPostal_4_21_1_5">#REF!</definedName>
    <definedName name="EngPostal_4_21_5">#REF!</definedName>
    <definedName name="EngPostal_4_22">NA()</definedName>
    <definedName name="EngPostal_4_22_3">NA()</definedName>
    <definedName name="EngPostal_4_22_3_5">#REF!</definedName>
    <definedName name="EngPostal_4_22_5">#REF!</definedName>
    <definedName name="EngPostal_4_23">NA()</definedName>
    <definedName name="EngPostal_4_23_3">NA()</definedName>
    <definedName name="EngPostal_4_23_3_5">#REF!</definedName>
    <definedName name="EngPostal_4_23_5">#REF!</definedName>
    <definedName name="EngPostal_4_24">NA()</definedName>
    <definedName name="EngPostal_4_24_3">NA()</definedName>
    <definedName name="EngPostal_4_24_3_5">#REF!</definedName>
    <definedName name="EngPostal_4_24_5">#REF!</definedName>
    <definedName name="EngPostal_4_25">NA()</definedName>
    <definedName name="EngPostal_4_25_3">NA()</definedName>
    <definedName name="EngPostal_4_25_3_5">#REF!</definedName>
    <definedName name="EngPostal_4_25_5">#REF!</definedName>
    <definedName name="EngPostal_4_26">NA()</definedName>
    <definedName name="EngPostal_4_26_3">NA()</definedName>
    <definedName name="EngPostal_4_26_3_5">#REF!</definedName>
    <definedName name="EngPostal_4_26_5">#REF!</definedName>
    <definedName name="EngPostal_4_27">NA()</definedName>
    <definedName name="EngPostal_4_27_3">NA()</definedName>
    <definedName name="EngPostal_4_27_3_5">#REF!</definedName>
    <definedName name="EngPostal_4_27_5">#REF!</definedName>
    <definedName name="EngPostal_4_28">NA()</definedName>
    <definedName name="EngPostal_4_28_3">NA()</definedName>
    <definedName name="EngPostal_4_28_3_5">#REF!</definedName>
    <definedName name="EngPostal_4_28_5">#REF!</definedName>
    <definedName name="EngPostal_4_5">#REF!</definedName>
    <definedName name="EngPostal_4_6">NA()</definedName>
    <definedName name="EngPostal_4_6_3">NA()</definedName>
    <definedName name="EngPostal_4_6_3_5">#REF!</definedName>
    <definedName name="EngPostal_4_6_5">#REF!</definedName>
    <definedName name="EngPostal_4_7">NA()</definedName>
    <definedName name="EngPostal_4_7_3">NA()</definedName>
    <definedName name="EngPostal_4_7_3_5">#REF!</definedName>
    <definedName name="EngPostal_4_7_5">#REF!</definedName>
    <definedName name="EngPostal_4_8">NA()</definedName>
    <definedName name="EngPostal_4_8_3">NA()</definedName>
    <definedName name="EngPostal_4_8_3_5">#REF!</definedName>
    <definedName name="EngPostal_4_8_5">#REF!</definedName>
    <definedName name="EngPostal_4_9">NA()</definedName>
    <definedName name="EngPostal_4_9_3">NA()</definedName>
    <definedName name="EngPostal_4_9_3_5">#REF!</definedName>
    <definedName name="EngPostal_4_9_5">#REF!</definedName>
    <definedName name="EngPostal_5">#REF!</definedName>
    <definedName name="EngPostal_5_1">NA()</definedName>
    <definedName name="EngPostal_5_17">NA()</definedName>
    <definedName name="EngPostal_5_17_3">NA()</definedName>
    <definedName name="EngPostal_5_17_3_5">#REF!</definedName>
    <definedName name="EngPostal_5_17_5">#REF!</definedName>
    <definedName name="EngPostal_5_28">NA()</definedName>
    <definedName name="EngPostal_5_28_3">NA()</definedName>
    <definedName name="EngPostal_5_28_3_5">#REF!</definedName>
    <definedName name="EngPostal_5_28_5">#REF!</definedName>
    <definedName name="EngPostal_5_3">NA()</definedName>
    <definedName name="EngPostal_5_3_5">#REF!</definedName>
    <definedName name="EngPostal_5_5">#REF!</definedName>
    <definedName name="EngPostal_5_6">NA()</definedName>
    <definedName name="EngPostal_5_6_3">NA()</definedName>
    <definedName name="EngPostal_5_6_3_5">#REF!</definedName>
    <definedName name="EngPostal_5_6_5">#REF!</definedName>
    <definedName name="EngPostal_6">NA()</definedName>
    <definedName name="EngPostal_6_1">NA()</definedName>
    <definedName name="EngPostal_6_1_5">#REF!</definedName>
    <definedName name="EngPostal_6_10">NA()</definedName>
    <definedName name="EngPostal_6_10_3">NA()</definedName>
    <definedName name="EngPostal_6_10_3_5">#REF!</definedName>
    <definedName name="EngPostal_6_10_5">#REF!</definedName>
    <definedName name="EngPostal_6_12">NA()</definedName>
    <definedName name="EngPostal_6_12_3">NA()</definedName>
    <definedName name="EngPostal_6_12_3_5">#REF!</definedName>
    <definedName name="EngPostal_6_12_5">#REF!</definedName>
    <definedName name="EngPostal_6_13">NA()</definedName>
    <definedName name="EngPostal_6_13_3">NA()</definedName>
    <definedName name="EngPostal_6_13_3_5">#REF!</definedName>
    <definedName name="EngPostal_6_13_5">#REF!</definedName>
    <definedName name="EngPostal_6_14">NA()</definedName>
    <definedName name="EngPostal_6_14_3">NA()</definedName>
    <definedName name="EngPostal_6_14_3_5">#REF!</definedName>
    <definedName name="EngPostal_6_14_5">#REF!</definedName>
    <definedName name="EngPostal_6_15">NA()</definedName>
    <definedName name="EngPostal_6_15_3">NA()</definedName>
    <definedName name="EngPostal_6_15_3_5">#REF!</definedName>
    <definedName name="EngPostal_6_15_5">#REF!</definedName>
    <definedName name="EngPostal_6_16">NA()</definedName>
    <definedName name="EngPostal_6_16_3">NA()</definedName>
    <definedName name="EngPostal_6_16_3_5">#REF!</definedName>
    <definedName name="EngPostal_6_16_5">#REF!</definedName>
    <definedName name="EngPostal_6_17">NA()</definedName>
    <definedName name="EngPostal_6_17_3">NA()</definedName>
    <definedName name="EngPostal_6_17_3_5">#REF!</definedName>
    <definedName name="EngPostal_6_17_5">#REF!</definedName>
    <definedName name="EngPostal_6_18">NA()</definedName>
    <definedName name="EngPostal_6_18_1">NA()</definedName>
    <definedName name="EngPostal_6_18_1_5">#REF!</definedName>
    <definedName name="EngPostal_6_18_5">#REF!</definedName>
    <definedName name="EngPostal_6_19">NA()</definedName>
    <definedName name="EngPostal_6_19_5">#REF!</definedName>
    <definedName name="EngPostal_6_20">NA()</definedName>
    <definedName name="EngPostal_6_20_3">NA()</definedName>
    <definedName name="EngPostal_6_20_3_5">#REF!</definedName>
    <definedName name="EngPostal_6_20_5">#REF!</definedName>
    <definedName name="EngPostal_6_21">NA()</definedName>
    <definedName name="EngPostal_6_21_1">NA()</definedName>
    <definedName name="EngPostal_6_21_1_3">NA()</definedName>
    <definedName name="EngPostal_6_21_1_3_5">#REF!</definedName>
    <definedName name="EngPostal_6_21_1_5">#REF!</definedName>
    <definedName name="EngPostal_6_21_5">#REF!</definedName>
    <definedName name="EngPostal_6_22">NA()</definedName>
    <definedName name="EngPostal_6_22_3">NA()</definedName>
    <definedName name="EngPostal_6_22_3_5">#REF!</definedName>
    <definedName name="EngPostal_6_22_5">#REF!</definedName>
    <definedName name="EngPostal_6_23">NA()</definedName>
    <definedName name="EngPostal_6_23_3">NA()</definedName>
    <definedName name="EngPostal_6_23_3_5">#REF!</definedName>
    <definedName name="EngPostal_6_23_5">#REF!</definedName>
    <definedName name="EngPostal_6_24">NA()</definedName>
    <definedName name="EngPostal_6_24_3">NA()</definedName>
    <definedName name="EngPostal_6_24_3_5">#REF!</definedName>
    <definedName name="EngPostal_6_24_5">#REF!</definedName>
    <definedName name="EngPostal_6_25">NA()</definedName>
    <definedName name="EngPostal_6_25_3">NA()</definedName>
    <definedName name="EngPostal_6_25_3_5">#REF!</definedName>
    <definedName name="EngPostal_6_25_5">#REF!</definedName>
    <definedName name="EngPostal_6_26">NA()</definedName>
    <definedName name="EngPostal_6_26_3">NA()</definedName>
    <definedName name="EngPostal_6_26_3_5">#REF!</definedName>
    <definedName name="EngPostal_6_26_5">#REF!</definedName>
    <definedName name="EngPostal_6_27">NA()</definedName>
    <definedName name="EngPostal_6_27_3">NA()</definedName>
    <definedName name="EngPostal_6_27_3_5">#REF!</definedName>
    <definedName name="EngPostal_6_27_5">#REF!</definedName>
    <definedName name="EngPostal_6_28">NA()</definedName>
    <definedName name="EngPostal_6_28_3">NA()</definedName>
    <definedName name="EngPostal_6_28_3_5">#REF!</definedName>
    <definedName name="EngPostal_6_28_5">#REF!</definedName>
    <definedName name="EngPostal_6_5">#REF!</definedName>
    <definedName name="EngPostal_6_6">NA()</definedName>
    <definedName name="EngPostal_6_6_3">NA()</definedName>
    <definedName name="EngPostal_6_6_3_5">#REF!</definedName>
    <definedName name="EngPostal_6_6_5">#REF!</definedName>
    <definedName name="EngPostal_6_7">NA()</definedName>
    <definedName name="EngPostal_6_7_3">NA()</definedName>
    <definedName name="EngPostal_6_7_3_5">#REF!</definedName>
    <definedName name="EngPostal_6_7_5">#REF!</definedName>
    <definedName name="EngPostal_6_8">NA()</definedName>
    <definedName name="EngPostal_6_8_3">NA()</definedName>
    <definedName name="EngPostal_6_8_3_5">#REF!</definedName>
    <definedName name="EngPostal_6_8_5">#REF!</definedName>
    <definedName name="EngPostal_6_9">NA()</definedName>
    <definedName name="EngPostal_6_9_1">NA()</definedName>
    <definedName name="EngPostal_6_9_1_1">NA()</definedName>
    <definedName name="EngPostal_6_9_1_1_3">NA()</definedName>
    <definedName name="EngPostal_6_9_1_1_3_5">#REF!</definedName>
    <definedName name="EngPostal_6_9_1_1_5">#REF!</definedName>
    <definedName name="EngPostal_6_9_1_3">NA()</definedName>
    <definedName name="EngPostal_6_9_1_3_5">#REF!</definedName>
    <definedName name="EngPostal_6_9_1_5">#REF!</definedName>
    <definedName name="EngPostal_6_9_5">#REF!</definedName>
    <definedName name="EngPostal_7">NA()</definedName>
    <definedName name="EngPostal_7_5">#REF!</definedName>
    <definedName name="EngPostal_8">NA()</definedName>
    <definedName name="EngPostal_8_3">NA()</definedName>
    <definedName name="EngPostal_8_3_5">#REF!</definedName>
    <definedName name="EngPostal_8_5">#REF!</definedName>
    <definedName name="EngPostal_9">NA()</definedName>
    <definedName name="EngPostal_9_3">NA()</definedName>
    <definedName name="EngPostal_9_3_5">#REF!</definedName>
    <definedName name="EngPostal_9_5">#REF!</definedName>
    <definedName name="EngPrio">NA()</definedName>
    <definedName name="EngPrio_1">NA()</definedName>
    <definedName name="EngPrio_1_3">NA()</definedName>
    <definedName name="EngPrio_1_3_5">#REF!</definedName>
    <definedName name="EngPrio_1_5">#REF!</definedName>
    <definedName name="EngPrio_10">NA()</definedName>
    <definedName name="EngPrio_10_1">NA()</definedName>
    <definedName name="EngPrio_10_1_3">NA()</definedName>
    <definedName name="EngPrio_10_1_3_5">#REF!</definedName>
    <definedName name="EngPrio_10_1_5">#REF!</definedName>
    <definedName name="EngPrio_10_17">NA()</definedName>
    <definedName name="EngPrio_10_17_3">NA()</definedName>
    <definedName name="EngPrio_10_17_3_5">#REF!</definedName>
    <definedName name="EngPrio_10_17_5">#REF!</definedName>
    <definedName name="EngPrio_10_5">#REF!</definedName>
    <definedName name="EngPrio_11">NA()</definedName>
    <definedName name="EngPrio_11_1">NA()</definedName>
    <definedName name="EngPrio_11_1_5">#REF!</definedName>
    <definedName name="EngPrio_11_5">#REF!</definedName>
    <definedName name="EngPrio_12">NA()</definedName>
    <definedName name="EngPrio_12_3">NA()</definedName>
    <definedName name="EngPrio_12_3_5">#REF!</definedName>
    <definedName name="EngPrio_12_5">#REF!</definedName>
    <definedName name="EngPrio_13">NA()</definedName>
    <definedName name="EngPrio_13_3">NA()</definedName>
    <definedName name="EngPrio_13_3_5">#REF!</definedName>
    <definedName name="EngPrio_13_5">#REF!</definedName>
    <definedName name="EngPrio_14">NA()</definedName>
    <definedName name="EngPrio_14_5">#REF!</definedName>
    <definedName name="EngPrio_15">NA()</definedName>
    <definedName name="EngPrio_15_1">NA()</definedName>
    <definedName name="EngPrio_15_1_3">NA()</definedName>
    <definedName name="EngPrio_15_1_3_5">#REF!</definedName>
    <definedName name="EngPrio_15_1_5">#REF!</definedName>
    <definedName name="EngPrio_15_3">NA()</definedName>
    <definedName name="EngPrio_15_3_5">#REF!</definedName>
    <definedName name="EngPrio_15_5">#REF!</definedName>
    <definedName name="EngPrio_16">NA()</definedName>
    <definedName name="EngPrio_16_1">NA()</definedName>
    <definedName name="EngPrio_16_1_3">NA()</definedName>
    <definedName name="EngPrio_16_1_3_5">#REF!</definedName>
    <definedName name="EngPrio_16_1_5">#REF!</definedName>
    <definedName name="EngPrio_16_3">NA()</definedName>
    <definedName name="EngPrio_16_3_5">#REF!</definedName>
    <definedName name="EngPrio_16_5">#REF!</definedName>
    <definedName name="EngPrio_17">NA()</definedName>
    <definedName name="EngPrio_17_1">NA()</definedName>
    <definedName name="EngPrio_17_1_5">#REF!</definedName>
    <definedName name="EngPrio_17_3">NA()</definedName>
    <definedName name="EngPrio_17_3_5">#REF!</definedName>
    <definedName name="EngPrio_17_5">#REF!</definedName>
    <definedName name="EngPrio_18">NA()</definedName>
    <definedName name="EngPrio_18_1">NA()</definedName>
    <definedName name="EngPrio_18_1_5">#REF!</definedName>
    <definedName name="EngPrio_18_5">#REF!</definedName>
    <definedName name="EngPrio_19">NA()</definedName>
    <definedName name="EngPrio_19_1">NA()</definedName>
    <definedName name="EngPrio_19_1_5">#REF!</definedName>
    <definedName name="EngPrio_19_5">#REF!</definedName>
    <definedName name="EngPrio_2">NA()</definedName>
    <definedName name="EngPrio_2_5">#REF!</definedName>
    <definedName name="EngPrio_20">NA()</definedName>
    <definedName name="EngPrio_20_1">NA()</definedName>
    <definedName name="EngPrio_20_1_3">NA()</definedName>
    <definedName name="EngPrio_20_1_3_5">#REF!</definedName>
    <definedName name="EngPrio_20_1_5">#REF!</definedName>
    <definedName name="EngPrio_20_5">#REF!</definedName>
    <definedName name="EngPrio_21">NA()</definedName>
    <definedName name="EngPrio_21_1">NA()</definedName>
    <definedName name="EngPrio_21_1_1">NA()</definedName>
    <definedName name="EngPrio_21_1_1_3">NA()</definedName>
    <definedName name="EngPrio_21_1_1_3_5">#REF!</definedName>
    <definedName name="EngPrio_21_1_1_5">#REF!</definedName>
    <definedName name="EngPrio_21_1_3">NA()</definedName>
    <definedName name="EngPrio_21_1_3_5">#REF!</definedName>
    <definedName name="EngPrio_21_1_5">#REF!</definedName>
    <definedName name="EngPrio_21_5">#REF!</definedName>
    <definedName name="EngPrio_22">NA()</definedName>
    <definedName name="EngPrio_22_3">NA()</definedName>
    <definedName name="EngPrio_22_3_5">#REF!</definedName>
    <definedName name="EngPrio_22_5">#REF!</definedName>
    <definedName name="EngPrio_23">NA()</definedName>
    <definedName name="EngPrio_23_3">NA()</definedName>
    <definedName name="EngPrio_23_3_5">#REF!</definedName>
    <definedName name="EngPrio_23_5">#REF!</definedName>
    <definedName name="EngPrio_24">NA()</definedName>
    <definedName name="EngPrio_24_3">NA()</definedName>
    <definedName name="EngPrio_24_3_5">#REF!</definedName>
    <definedName name="EngPrio_24_5">#REF!</definedName>
    <definedName name="EngPrio_25">NA()</definedName>
    <definedName name="EngPrio_25_3">NA()</definedName>
    <definedName name="EngPrio_25_3_5">#REF!</definedName>
    <definedName name="EngPrio_25_5">#REF!</definedName>
    <definedName name="EngPrio_26">NA()</definedName>
    <definedName name="EngPrio_26_1">NA()</definedName>
    <definedName name="EngPrio_26_1_3">NA()</definedName>
    <definedName name="EngPrio_26_1_3_5">#REF!</definedName>
    <definedName name="EngPrio_26_1_5">#REF!</definedName>
    <definedName name="EngPrio_26_3">NA()</definedName>
    <definedName name="EngPrio_26_3_5">#REF!</definedName>
    <definedName name="EngPrio_26_5">#REF!</definedName>
    <definedName name="EngPrio_27">NA()</definedName>
    <definedName name="EngPrio_27_1">NA()</definedName>
    <definedName name="EngPrio_27_1_3">NA()</definedName>
    <definedName name="EngPrio_27_1_3_5">#REF!</definedName>
    <definedName name="EngPrio_27_1_5">#REF!</definedName>
    <definedName name="EngPrio_27_3">NA()</definedName>
    <definedName name="EngPrio_27_3_5">#REF!</definedName>
    <definedName name="EngPrio_27_5">#REF!</definedName>
    <definedName name="EngPrio_28">NA()</definedName>
    <definedName name="EngPrio_28_1">NA()</definedName>
    <definedName name="EngPrio_28_1_3">NA()</definedName>
    <definedName name="EngPrio_28_1_3_5">#REF!</definedName>
    <definedName name="EngPrio_28_1_5">#REF!</definedName>
    <definedName name="EngPrio_28_3">NA()</definedName>
    <definedName name="EngPrio_28_3_5">#REF!</definedName>
    <definedName name="EngPrio_28_5">#REF!</definedName>
    <definedName name="EngPrio_29">NA()</definedName>
    <definedName name="EngPrio_29_3">NA()</definedName>
    <definedName name="EngPrio_29_3_5">#REF!</definedName>
    <definedName name="EngPrio_29_5">#REF!</definedName>
    <definedName name="EngPrio_3">NA()</definedName>
    <definedName name="EngPrio_3_5">#REF!</definedName>
    <definedName name="EngPrio_4">NA()</definedName>
    <definedName name="EngPrio_4_1">NA()</definedName>
    <definedName name="EngPrio_4_1_1">NA()</definedName>
    <definedName name="EngPrio_4_1_1_1">NA()</definedName>
    <definedName name="EngPrio_4_1_1_1_1">NA()</definedName>
    <definedName name="EngPrio_4_1_1_1_1_1">NA()</definedName>
    <definedName name="EngPrio_4_1_1_1_1_1_5">#REF!</definedName>
    <definedName name="EngPrio_4_1_1_1_1_3">NA()</definedName>
    <definedName name="EngPrio_4_1_1_1_1_3_5">#REF!</definedName>
    <definedName name="EngPrio_4_1_1_1_1_5">#REF!</definedName>
    <definedName name="EngPrio_4_1_1_1_3">NA()</definedName>
    <definedName name="EngPrio_4_1_1_1_3_1">NA()</definedName>
    <definedName name="EngPrio_4_1_1_1_3_1_5">#REF!</definedName>
    <definedName name="EngPrio_4_1_1_1_3_5">#REF!</definedName>
    <definedName name="EngPrio_4_1_1_1_5">#REF!</definedName>
    <definedName name="EngPrio_4_1_1_3">NA()</definedName>
    <definedName name="EngPrio_4_1_1_3_5">#REF!</definedName>
    <definedName name="EngPrio_4_1_1_5">#REF!</definedName>
    <definedName name="EngPrio_4_1_17">NA()</definedName>
    <definedName name="EngPrio_4_1_17_3">NA()</definedName>
    <definedName name="EngPrio_4_1_17_3_5">#REF!</definedName>
    <definedName name="EngPrio_4_1_17_5">#REF!</definedName>
    <definedName name="EngPrio_4_1_28">NA()</definedName>
    <definedName name="EngPrio_4_1_28_3">NA()</definedName>
    <definedName name="EngPrio_4_1_28_3_5">#REF!</definedName>
    <definedName name="EngPrio_4_1_28_5">#REF!</definedName>
    <definedName name="EngPrio_4_1_5">#REF!</definedName>
    <definedName name="EngPrio_4_1_6">NA()</definedName>
    <definedName name="EngPrio_4_1_6_3">NA()</definedName>
    <definedName name="EngPrio_4_1_6_3_5">#REF!</definedName>
    <definedName name="EngPrio_4_1_6_5">#REF!</definedName>
    <definedName name="EngPrio_4_10">NA()</definedName>
    <definedName name="EngPrio_4_10_3">NA()</definedName>
    <definedName name="EngPrio_4_10_3_5">#REF!</definedName>
    <definedName name="EngPrio_4_10_5">#REF!</definedName>
    <definedName name="EngPrio_4_12">NA()</definedName>
    <definedName name="EngPrio_4_12_3">NA()</definedName>
    <definedName name="EngPrio_4_12_3_5">#REF!</definedName>
    <definedName name="EngPrio_4_12_5">#REF!</definedName>
    <definedName name="EngPrio_4_13">NA()</definedName>
    <definedName name="EngPrio_4_13_3">NA()</definedName>
    <definedName name="EngPrio_4_13_3_5">#REF!</definedName>
    <definedName name="EngPrio_4_13_5">#REF!</definedName>
    <definedName name="EngPrio_4_14">NA()</definedName>
    <definedName name="EngPrio_4_14_3">NA()</definedName>
    <definedName name="EngPrio_4_14_3_5">#REF!</definedName>
    <definedName name="EngPrio_4_14_5">#REF!</definedName>
    <definedName name="EngPrio_4_15">NA()</definedName>
    <definedName name="EngPrio_4_15_3">NA()</definedName>
    <definedName name="EngPrio_4_15_3_5">#REF!</definedName>
    <definedName name="EngPrio_4_15_5">#REF!</definedName>
    <definedName name="EngPrio_4_16">NA()</definedName>
    <definedName name="EngPrio_4_16_3">NA()</definedName>
    <definedName name="EngPrio_4_16_3_5">#REF!</definedName>
    <definedName name="EngPrio_4_16_5">#REF!</definedName>
    <definedName name="EngPrio_4_17">NA()</definedName>
    <definedName name="EngPrio_4_17_3">NA()</definedName>
    <definedName name="EngPrio_4_17_3_5">#REF!</definedName>
    <definedName name="EngPrio_4_17_5">#REF!</definedName>
    <definedName name="EngPrio_4_18">NA()</definedName>
    <definedName name="EngPrio_4_18_1">NA()</definedName>
    <definedName name="EngPrio_4_18_1_5">#REF!</definedName>
    <definedName name="EngPrio_4_18_5">#REF!</definedName>
    <definedName name="EngPrio_4_19">NA()</definedName>
    <definedName name="EngPrio_4_19_5">#REF!</definedName>
    <definedName name="EngPrio_4_20">NA()</definedName>
    <definedName name="EngPrio_4_20_3">NA()</definedName>
    <definedName name="EngPrio_4_20_3_5">#REF!</definedName>
    <definedName name="EngPrio_4_20_5">#REF!</definedName>
    <definedName name="EngPrio_4_21">NA()</definedName>
    <definedName name="EngPrio_4_21_1">NA()</definedName>
    <definedName name="EngPrio_4_21_1_3">NA()</definedName>
    <definedName name="EngPrio_4_21_1_3_5">#REF!</definedName>
    <definedName name="EngPrio_4_21_1_5">#REF!</definedName>
    <definedName name="EngPrio_4_21_5">#REF!</definedName>
    <definedName name="EngPrio_4_22">NA()</definedName>
    <definedName name="EngPrio_4_22_3">NA()</definedName>
    <definedName name="EngPrio_4_22_3_5">#REF!</definedName>
    <definedName name="EngPrio_4_22_5">#REF!</definedName>
    <definedName name="EngPrio_4_23">NA()</definedName>
    <definedName name="EngPrio_4_23_3">NA()</definedName>
    <definedName name="EngPrio_4_23_3_5">#REF!</definedName>
    <definedName name="EngPrio_4_23_5">#REF!</definedName>
    <definedName name="EngPrio_4_24">NA()</definedName>
    <definedName name="EngPrio_4_24_3">NA()</definedName>
    <definedName name="EngPrio_4_24_3_5">#REF!</definedName>
    <definedName name="EngPrio_4_24_5">#REF!</definedName>
    <definedName name="EngPrio_4_25">NA()</definedName>
    <definedName name="EngPrio_4_25_3">NA()</definedName>
    <definedName name="EngPrio_4_25_3_5">#REF!</definedName>
    <definedName name="EngPrio_4_25_5">#REF!</definedName>
    <definedName name="EngPrio_4_26">NA()</definedName>
    <definedName name="EngPrio_4_26_3">NA()</definedName>
    <definedName name="EngPrio_4_26_3_5">#REF!</definedName>
    <definedName name="EngPrio_4_26_5">#REF!</definedName>
    <definedName name="EngPrio_4_27">NA()</definedName>
    <definedName name="EngPrio_4_27_3">NA()</definedName>
    <definedName name="EngPrio_4_27_3_5">#REF!</definedName>
    <definedName name="EngPrio_4_27_5">#REF!</definedName>
    <definedName name="EngPrio_4_28">NA()</definedName>
    <definedName name="EngPrio_4_28_3">NA()</definedName>
    <definedName name="EngPrio_4_28_3_5">#REF!</definedName>
    <definedName name="EngPrio_4_28_5">#REF!</definedName>
    <definedName name="EngPrio_4_5">#REF!</definedName>
    <definedName name="EngPrio_4_6">NA()</definedName>
    <definedName name="EngPrio_4_6_3">NA()</definedName>
    <definedName name="EngPrio_4_6_3_5">#REF!</definedName>
    <definedName name="EngPrio_4_6_5">#REF!</definedName>
    <definedName name="EngPrio_4_7">NA()</definedName>
    <definedName name="EngPrio_4_7_3">NA()</definedName>
    <definedName name="EngPrio_4_7_3_5">#REF!</definedName>
    <definedName name="EngPrio_4_7_5">#REF!</definedName>
    <definedName name="EngPrio_4_8">NA()</definedName>
    <definedName name="EngPrio_4_8_3">NA()</definedName>
    <definedName name="EngPrio_4_8_3_5">#REF!</definedName>
    <definedName name="EngPrio_4_8_5">#REF!</definedName>
    <definedName name="EngPrio_4_9">NA()</definedName>
    <definedName name="EngPrio_4_9_3">NA()</definedName>
    <definedName name="EngPrio_4_9_3_5">#REF!</definedName>
    <definedName name="EngPrio_4_9_5">#REF!</definedName>
    <definedName name="EngPrio_5">#REF!</definedName>
    <definedName name="EngPrio_5_1">NA()</definedName>
    <definedName name="EngPrio_5_17">NA()</definedName>
    <definedName name="EngPrio_5_17_3">NA()</definedName>
    <definedName name="EngPrio_5_17_3_5">#REF!</definedName>
    <definedName name="EngPrio_5_17_5">#REF!</definedName>
    <definedName name="EngPrio_5_28">NA()</definedName>
    <definedName name="EngPrio_5_28_3">NA()</definedName>
    <definedName name="EngPrio_5_28_3_5">#REF!</definedName>
    <definedName name="EngPrio_5_28_5">#REF!</definedName>
    <definedName name="EngPrio_5_3">NA()</definedName>
    <definedName name="EngPrio_5_3_5">#REF!</definedName>
    <definedName name="EngPrio_5_5">#REF!</definedName>
    <definedName name="EngPrio_5_6">NA()</definedName>
    <definedName name="EngPrio_5_6_3">NA()</definedName>
    <definedName name="EngPrio_5_6_3_5">#REF!</definedName>
    <definedName name="EngPrio_5_6_5">#REF!</definedName>
    <definedName name="EngPrio_6">NA()</definedName>
    <definedName name="EngPrio_6_1">NA()</definedName>
    <definedName name="EngPrio_6_1_5">#REF!</definedName>
    <definedName name="EngPrio_6_10">NA()</definedName>
    <definedName name="EngPrio_6_10_3">NA()</definedName>
    <definedName name="EngPrio_6_10_3_5">#REF!</definedName>
    <definedName name="EngPrio_6_10_5">#REF!</definedName>
    <definedName name="EngPrio_6_12">NA()</definedName>
    <definedName name="EngPrio_6_12_3">NA()</definedName>
    <definedName name="EngPrio_6_12_3_5">#REF!</definedName>
    <definedName name="EngPrio_6_12_5">#REF!</definedName>
    <definedName name="EngPrio_6_13">NA()</definedName>
    <definedName name="EngPrio_6_13_3">NA()</definedName>
    <definedName name="EngPrio_6_13_3_5">#REF!</definedName>
    <definedName name="EngPrio_6_13_5">#REF!</definedName>
    <definedName name="EngPrio_6_14">NA()</definedName>
    <definedName name="EngPrio_6_14_3">NA()</definedName>
    <definedName name="EngPrio_6_14_3_5">#REF!</definedName>
    <definedName name="EngPrio_6_14_5">#REF!</definedName>
    <definedName name="EngPrio_6_15">NA()</definedName>
    <definedName name="EngPrio_6_15_3">NA()</definedName>
    <definedName name="EngPrio_6_15_3_5">#REF!</definedName>
    <definedName name="EngPrio_6_15_5">#REF!</definedName>
    <definedName name="EngPrio_6_16">NA()</definedName>
    <definedName name="EngPrio_6_16_3">NA()</definedName>
    <definedName name="EngPrio_6_16_3_5">#REF!</definedName>
    <definedName name="EngPrio_6_16_5">#REF!</definedName>
    <definedName name="EngPrio_6_17">NA()</definedName>
    <definedName name="EngPrio_6_17_3">NA()</definedName>
    <definedName name="EngPrio_6_17_3_5">#REF!</definedName>
    <definedName name="EngPrio_6_17_5">#REF!</definedName>
    <definedName name="EngPrio_6_18">NA()</definedName>
    <definedName name="EngPrio_6_18_1">NA()</definedName>
    <definedName name="EngPrio_6_18_1_5">#REF!</definedName>
    <definedName name="EngPrio_6_18_5">#REF!</definedName>
    <definedName name="EngPrio_6_19">NA()</definedName>
    <definedName name="EngPrio_6_19_5">#REF!</definedName>
    <definedName name="EngPrio_6_20">NA()</definedName>
    <definedName name="EngPrio_6_20_3">NA()</definedName>
    <definedName name="EngPrio_6_20_3_5">#REF!</definedName>
    <definedName name="EngPrio_6_20_5">#REF!</definedName>
    <definedName name="EngPrio_6_21">NA()</definedName>
    <definedName name="EngPrio_6_21_1">NA()</definedName>
    <definedName name="EngPrio_6_21_1_3">NA()</definedName>
    <definedName name="EngPrio_6_21_1_3_5">#REF!</definedName>
    <definedName name="EngPrio_6_21_1_5">#REF!</definedName>
    <definedName name="EngPrio_6_21_5">#REF!</definedName>
    <definedName name="EngPrio_6_22">NA()</definedName>
    <definedName name="EngPrio_6_22_3">NA()</definedName>
    <definedName name="EngPrio_6_22_3_5">#REF!</definedName>
    <definedName name="EngPrio_6_22_5">#REF!</definedName>
    <definedName name="EngPrio_6_23">NA()</definedName>
    <definedName name="EngPrio_6_23_3">NA()</definedName>
    <definedName name="EngPrio_6_23_3_5">#REF!</definedName>
    <definedName name="EngPrio_6_23_5">#REF!</definedName>
    <definedName name="EngPrio_6_24">NA()</definedName>
    <definedName name="EngPrio_6_24_3">NA()</definedName>
    <definedName name="EngPrio_6_24_3_5">#REF!</definedName>
    <definedName name="EngPrio_6_24_5">#REF!</definedName>
    <definedName name="EngPrio_6_25">NA()</definedName>
    <definedName name="EngPrio_6_25_3">NA()</definedName>
    <definedName name="EngPrio_6_25_3_5">#REF!</definedName>
    <definedName name="EngPrio_6_25_5">#REF!</definedName>
    <definedName name="EngPrio_6_26">NA()</definedName>
    <definedName name="EngPrio_6_26_3">NA()</definedName>
    <definedName name="EngPrio_6_26_3_5">#REF!</definedName>
    <definedName name="EngPrio_6_26_5">#REF!</definedName>
    <definedName name="EngPrio_6_27">NA()</definedName>
    <definedName name="EngPrio_6_27_3">NA()</definedName>
    <definedName name="EngPrio_6_27_3_5">#REF!</definedName>
    <definedName name="EngPrio_6_27_5">#REF!</definedName>
    <definedName name="EngPrio_6_28">NA()</definedName>
    <definedName name="EngPrio_6_28_3">NA()</definedName>
    <definedName name="EngPrio_6_28_3_5">#REF!</definedName>
    <definedName name="EngPrio_6_28_5">#REF!</definedName>
    <definedName name="EngPrio_6_5">#REF!</definedName>
    <definedName name="EngPrio_6_6">NA()</definedName>
    <definedName name="EngPrio_6_6_3">NA()</definedName>
    <definedName name="EngPrio_6_6_3_5">#REF!</definedName>
    <definedName name="EngPrio_6_6_5">#REF!</definedName>
    <definedName name="EngPrio_6_7">NA()</definedName>
    <definedName name="EngPrio_6_7_3">NA()</definedName>
    <definedName name="EngPrio_6_7_3_5">#REF!</definedName>
    <definedName name="EngPrio_6_7_5">#REF!</definedName>
    <definedName name="EngPrio_6_8">NA()</definedName>
    <definedName name="EngPrio_6_8_3">NA()</definedName>
    <definedName name="EngPrio_6_8_3_5">#REF!</definedName>
    <definedName name="EngPrio_6_8_5">#REF!</definedName>
    <definedName name="EngPrio_6_9">NA()</definedName>
    <definedName name="EngPrio_6_9_1">NA()</definedName>
    <definedName name="EngPrio_6_9_1_1">NA()</definedName>
    <definedName name="EngPrio_6_9_1_1_3">NA()</definedName>
    <definedName name="EngPrio_6_9_1_1_3_5">#REF!</definedName>
    <definedName name="EngPrio_6_9_1_1_5">#REF!</definedName>
    <definedName name="EngPrio_6_9_1_3">NA()</definedName>
    <definedName name="EngPrio_6_9_1_3_5">#REF!</definedName>
    <definedName name="EngPrio_6_9_1_5">#REF!</definedName>
    <definedName name="EngPrio_6_9_5">#REF!</definedName>
    <definedName name="EngPrio_7">NA()</definedName>
    <definedName name="EngPrio_7_5">#REF!</definedName>
    <definedName name="EngPrio_8">NA()</definedName>
    <definedName name="EngPrio_8_3">NA()</definedName>
    <definedName name="EngPrio_8_3_5">#REF!</definedName>
    <definedName name="EngPrio_8_5">#REF!</definedName>
    <definedName name="EngPrio_9">NA()</definedName>
    <definedName name="EngPrio_9_3">NA()</definedName>
    <definedName name="EngPrio_9_3_5">#REF!</definedName>
    <definedName name="EngPrio_9_5">#REF!</definedName>
    <definedName name="EngPrio_Text">NA()</definedName>
    <definedName name="EngPrio_Text_1">NA()</definedName>
    <definedName name="EngPrio_Text_1_3">NA()</definedName>
    <definedName name="EngPrio_Text_1_3_5">#REF!</definedName>
    <definedName name="EngPrio_Text_1_5">#REF!</definedName>
    <definedName name="EngPrio_Text_10">NA()</definedName>
    <definedName name="EngPrio_Text_10_1">NA()</definedName>
    <definedName name="EngPrio_Text_10_1_3">NA()</definedName>
    <definedName name="EngPrio_Text_10_1_3_5">#REF!</definedName>
    <definedName name="EngPrio_Text_10_1_5">#REF!</definedName>
    <definedName name="EngPrio_Text_10_17">NA()</definedName>
    <definedName name="EngPrio_Text_10_17_3">NA()</definedName>
    <definedName name="EngPrio_Text_10_17_3_5">#REF!</definedName>
    <definedName name="EngPrio_Text_10_17_5">#REF!</definedName>
    <definedName name="EngPrio_Text_10_5">#REF!</definedName>
    <definedName name="EngPrio_Text_11">NA()</definedName>
    <definedName name="EngPrio_Text_11_1">NA()</definedName>
    <definedName name="EngPrio_Text_11_1_5">#REF!</definedName>
    <definedName name="EngPrio_Text_11_5">#REF!</definedName>
    <definedName name="EngPrio_Text_12">NA()</definedName>
    <definedName name="EngPrio_Text_12_3">NA()</definedName>
    <definedName name="EngPrio_Text_12_3_5">#REF!</definedName>
    <definedName name="EngPrio_Text_12_5">#REF!</definedName>
    <definedName name="EngPrio_Text_13">NA()</definedName>
    <definedName name="EngPrio_Text_13_3">NA()</definedName>
    <definedName name="EngPrio_Text_13_3_5">#REF!</definedName>
    <definedName name="EngPrio_Text_13_5">#REF!</definedName>
    <definedName name="EngPrio_Text_14">NA()</definedName>
    <definedName name="EngPrio_Text_14_5">#REF!</definedName>
    <definedName name="EngPrio_Text_15">NA()</definedName>
    <definedName name="EngPrio_Text_15_1">NA()</definedName>
    <definedName name="EngPrio_Text_15_1_3">NA()</definedName>
    <definedName name="EngPrio_Text_15_1_3_5">#REF!</definedName>
    <definedName name="EngPrio_Text_15_1_5">#REF!</definedName>
    <definedName name="EngPrio_Text_15_3">NA()</definedName>
    <definedName name="EngPrio_Text_15_3_5">#REF!</definedName>
    <definedName name="EngPrio_Text_15_5">#REF!</definedName>
    <definedName name="EngPrio_Text_16">NA()</definedName>
    <definedName name="EngPrio_Text_16_1">NA()</definedName>
    <definedName name="EngPrio_Text_16_1_3">NA()</definedName>
    <definedName name="EngPrio_Text_16_1_3_5">#REF!</definedName>
    <definedName name="EngPrio_Text_16_1_5">#REF!</definedName>
    <definedName name="EngPrio_Text_16_3">NA()</definedName>
    <definedName name="EngPrio_Text_16_3_5">#REF!</definedName>
    <definedName name="EngPrio_Text_16_5">#REF!</definedName>
    <definedName name="EngPrio_Text_17">NA()</definedName>
    <definedName name="EngPrio_Text_17_1">NA()</definedName>
    <definedName name="EngPrio_Text_17_1_5">#REF!</definedName>
    <definedName name="EngPrio_Text_17_3">NA()</definedName>
    <definedName name="EngPrio_Text_17_3_5">#REF!</definedName>
    <definedName name="EngPrio_Text_17_5">#REF!</definedName>
    <definedName name="EngPrio_Text_18">NA()</definedName>
    <definedName name="EngPrio_Text_18_1">NA()</definedName>
    <definedName name="EngPrio_Text_18_1_5">#REF!</definedName>
    <definedName name="EngPrio_Text_18_5">#REF!</definedName>
    <definedName name="EngPrio_Text_19">NA()</definedName>
    <definedName name="EngPrio_Text_19_1">NA()</definedName>
    <definedName name="EngPrio_Text_19_1_5">#REF!</definedName>
    <definedName name="EngPrio_Text_19_5">#REF!</definedName>
    <definedName name="EngPrio_Text_2">NA()</definedName>
    <definedName name="EngPrio_Text_2_5">#REF!</definedName>
    <definedName name="EngPrio_Text_20">NA()</definedName>
    <definedName name="EngPrio_Text_20_1">NA()</definedName>
    <definedName name="EngPrio_Text_20_1_3">NA()</definedName>
    <definedName name="EngPrio_Text_20_1_3_5">#REF!</definedName>
    <definedName name="EngPrio_Text_20_1_5">#REF!</definedName>
    <definedName name="EngPrio_Text_20_5">#REF!</definedName>
    <definedName name="EngPrio_Text_21">NA()</definedName>
    <definedName name="EngPrio_Text_21_1">NA()</definedName>
    <definedName name="EngPrio_Text_21_1_1">NA()</definedName>
    <definedName name="EngPrio_Text_21_1_1_3">NA()</definedName>
    <definedName name="EngPrio_Text_21_1_1_3_5">#REF!</definedName>
    <definedName name="EngPrio_Text_21_1_1_5">#REF!</definedName>
    <definedName name="EngPrio_Text_21_1_3">NA()</definedName>
    <definedName name="EngPrio_Text_21_1_3_5">#REF!</definedName>
    <definedName name="EngPrio_Text_21_1_5">#REF!</definedName>
    <definedName name="EngPrio_Text_21_5">#REF!</definedName>
    <definedName name="EngPrio_Text_22">NA()</definedName>
    <definedName name="EngPrio_Text_22_3">NA()</definedName>
    <definedName name="EngPrio_Text_22_3_5">#REF!</definedName>
    <definedName name="EngPrio_Text_22_5">#REF!</definedName>
    <definedName name="EngPrio_Text_23">NA()</definedName>
    <definedName name="EngPrio_Text_23_3">NA()</definedName>
    <definedName name="EngPrio_Text_23_3_5">#REF!</definedName>
    <definedName name="EngPrio_Text_23_5">#REF!</definedName>
    <definedName name="EngPrio_Text_24">NA()</definedName>
    <definedName name="EngPrio_Text_24_3">NA()</definedName>
    <definedName name="EngPrio_Text_24_3_5">#REF!</definedName>
    <definedName name="EngPrio_Text_24_5">#REF!</definedName>
    <definedName name="EngPrio_Text_25">NA()</definedName>
    <definedName name="EngPrio_Text_25_3">NA()</definedName>
    <definedName name="EngPrio_Text_25_3_5">#REF!</definedName>
    <definedName name="EngPrio_Text_25_5">#REF!</definedName>
    <definedName name="EngPrio_Text_26">NA()</definedName>
    <definedName name="EngPrio_Text_26_1">NA()</definedName>
    <definedName name="EngPrio_Text_26_1_3">NA()</definedName>
    <definedName name="EngPrio_Text_26_1_3_5">#REF!</definedName>
    <definedName name="EngPrio_Text_26_1_5">#REF!</definedName>
    <definedName name="EngPrio_Text_26_3">NA()</definedName>
    <definedName name="EngPrio_Text_26_3_5">#REF!</definedName>
    <definedName name="EngPrio_Text_26_5">#REF!</definedName>
    <definedName name="EngPrio_Text_27">NA()</definedName>
    <definedName name="EngPrio_Text_27_1">NA()</definedName>
    <definedName name="EngPrio_Text_27_1_3">NA()</definedName>
    <definedName name="EngPrio_Text_27_1_3_5">#REF!</definedName>
    <definedName name="EngPrio_Text_27_1_5">#REF!</definedName>
    <definedName name="EngPrio_Text_27_3">NA()</definedName>
    <definedName name="EngPrio_Text_27_3_5">#REF!</definedName>
    <definedName name="EngPrio_Text_27_5">#REF!</definedName>
    <definedName name="EngPrio_Text_28">NA()</definedName>
    <definedName name="EngPrio_Text_28_1">NA()</definedName>
    <definedName name="EngPrio_Text_28_1_3">NA()</definedName>
    <definedName name="EngPrio_Text_28_1_3_5">#REF!</definedName>
    <definedName name="EngPrio_Text_28_1_5">#REF!</definedName>
    <definedName name="EngPrio_Text_28_3">NA()</definedName>
    <definedName name="EngPrio_Text_28_3_5">#REF!</definedName>
    <definedName name="EngPrio_Text_28_5">#REF!</definedName>
    <definedName name="EngPrio_Text_29">NA()</definedName>
    <definedName name="EngPrio_Text_29_3">NA()</definedName>
    <definedName name="EngPrio_Text_29_3_5">#REF!</definedName>
    <definedName name="EngPrio_Text_29_5">#REF!</definedName>
    <definedName name="EngPrio_Text_3">NA()</definedName>
    <definedName name="EngPrio_Text_3_5">#REF!</definedName>
    <definedName name="EngPrio_Text_4">NA()</definedName>
    <definedName name="EngPrio_Text_4_1">NA()</definedName>
    <definedName name="EngPrio_Text_4_1_1">NA()</definedName>
    <definedName name="EngPrio_Text_4_1_1_1">NA()</definedName>
    <definedName name="EngPrio_Text_4_1_1_1_1">NA()</definedName>
    <definedName name="EngPrio_Text_4_1_1_1_1_1">NA()</definedName>
    <definedName name="EngPrio_Text_4_1_1_1_1_1_5">#REF!</definedName>
    <definedName name="EngPrio_Text_4_1_1_1_1_3">NA()</definedName>
    <definedName name="EngPrio_Text_4_1_1_1_1_3_5">#REF!</definedName>
    <definedName name="EngPrio_Text_4_1_1_1_1_5">#REF!</definedName>
    <definedName name="EngPrio_Text_4_1_1_1_3">NA()</definedName>
    <definedName name="EngPrio_Text_4_1_1_1_3_1">NA()</definedName>
    <definedName name="EngPrio_Text_4_1_1_1_3_1_5">#REF!</definedName>
    <definedName name="EngPrio_Text_4_1_1_1_3_5">#REF!</definedName>
    <definedName name="EngPrio_Text_4_1_1_1_5">#REF!</definedName>
    <definedName name="EngPrio_Text_4_1_1_3">NA()</definedName>
    <definedName name="EngPrio_Text_4_1_1_3_5">#REF!</definedName>
    <definedName name="EngPrio_Text_4_1_1_5">#REF!</definedName>
    <definedName name="EngPrio_Text_4_1_17">NA()</definedName>
    <definedName name="EngPrio_Text_4_1_17_3">NA()</definedName>
    <definedName name="EngPrio_Text_4_1_17_3_5">#REF!</definedName>
    <definedName name="EngPrio_Text_4_1_17_5">#REF!</definedName>
    <definedName name="EngPrio_Text_4_1_28">NA()</definedName>
    <definedName name="EngPrio_Text_4_1_28_3">NA()</definedName>
    <definedName name="EngPrio_Text_4_1_28_3_5">#REF!</definedName>
    <definedName name="EngPrio_Text_4_1_28_5">#REF!</definedName>
    <definedName name="EngPrio_Text_4_1_5">#REF!</definedName>
    <definedName name="EngPrio_Text_4_1_6">NA()</definedName>
    <definedName name="EngPrio_Text_4_1_6_3">NA()</definedName>
    <definedName name="EngPrio_Text_4_1_6_3_5">#REF!</definedName>
    <definedName name="EngPrio_Text_4_1_6_5">#REF!</definedName>
    <definedName name="EngPrio_Text_4_10">NA()</definedName>
    <definedName name="EngPrio_Text_4_10_3">NA()</definedName>
    <definedName name="EngPrio_Text_4_10_3_5">#REF!</definedName>
    <definedName name="EngPrio_Text_4_10_5">#REF!</definedName>
    <definedName name="EngPrio_Text_4_12">NA()</definedName>
    <definedName name="EngPrio_Text_4_12_3">NA()</definedName>
    <definedName name="EngPrio_Text_4_12_3_5">#REF!</definedName>
    <definedName name="EngPrio_Text_4_12_5">#REF!</definedName>
    <definedName name="EngPrio_Text_4_13">NA()</definedName>
    <definedName name="EngPrio_Text_4_13_3">NA()</definedName>
    <definedName name="EngPrio_Text_4_13_3_5">#REF!</definedName>
    <definedName name="EngPrio_Text_4_13_5">#REF!</definedName>
    <definedName name="EngPrio_Text_4_14">NA()</definedName>
    <definedName name="EngPrio_Text_4_14_3">NA()</definedName>
    <definedName name="EngPrio_Text_4_14_3_5">#REF!</definedName>
    <definedName name="EngPrio_Text_4_14_5">#REF!</definedName>
    <definedName name="EngPrio_Text_4_15">NA()</definedName>
    <definedName name="EngPrio_Text_4_15_3">NA()</definedName>
    <definedName name="EngPrio_Text_4_15_3_5">#REF!</definedName>
    <definedName name="EngPrio_Text_4_15_5">#REF!</definedName>
    <definedName name="EngPrio_Text_4_16">NA()</definedName>
    <definedName name="EngPrio_Text_4_16_3">NA()</definedName>
    <definedName name="EngPrio_Text_4_16_3_5">#REF!</definedName>
    <definedName name="EngPrio_Text_4_16_5">#REF!</definedName>
    <definedName name="EngPrio_Text_4_17">NA()</definedName>
    <definedName name="EngPrio_Text_4_17_3">NA()</definedName>
    <definedName name="EngPrio_Text_4_17_3_5">#REF!</definedName>
    <definedName name="EngPrio_Text_4_17_5">#REF!</definedName>
    <definedName name="EngPrio_Text_4_18">NA()</definedName>
    <definedName name="EngPrio_Text_4_18_1">NA()</definedName>
    <definedName name="EngPrio_Text_4_18_1_5">#REF!</definedName>
    <definedName name="EngPrio_Text_4_18_5">#REF!</definedName>
    <definedName name="EngPrio_Text_4_19">NA()</definedName>
    <definedName name="EngPrio_Text_4_19_5">#REF!</definedName>
    <definedName name="EngPrio_Text_4_20">NA()</definedName>
    <definedName name="EngPrio_Text_4_20_3">NA()</definedName>
    <definedName name="EngPrio_Text_4_20_3_5">#REF!</definedName>
    <definedName name="EngPrio_Text_4_20_5">#REF!</definedName>
    <definedName name="EngPrio_Text_4_21">NA()</definedName>
    <definedName name="EngPrio_Text_4_21_1">NA()</definedName>
    <definedName name="EngPrio_Text_4_21_1_3">NA()</definedName>
    <definedName name="EngPrio_Text_4_21_1_3_5">#REF!</definedName>
    <definedName name="EngPrio_Text_4_21_1_5">#REF!</definedName>
    <definedName name="EngPrio_Text_4_21_5">#REF!</definedName>
    <definedName name="EngPrio_Text_4_22">NA()</definedName>
    <definedName name="EngPrio_Text_4_22_3">NA()</definedName>
    <definedName name="EngPrio_Text_4_22_3_5">#REF!</definedName>
    <definedName name="EngPrio_Text_4_22_5">#REF!</definedName>
    <definedName name="EngPrio_Text_4_23">NA()</definedName>
    <definedName name="EngPrio_Text_4_23_3">NA()</definedName>
    <definedName name="EngPrio_Text_4_23_3_5">#REF!</definedName>
    <definedName name="EngPrio_Text_4_23_5">#REF!</definedName>
    <definedName name="EngPrio_Text_4_24">NA()</definedName>
    <definedName name="EngPrio_Text_4_24_3">NA()</definedName>
    <definedName name="EngPrio_Text_4_24_3_5">#REF!</definedName>
    <definedName name="EngPrio_Text_4_24_5">#REF!</definedName>
    <definedName name="EngPrio_Text_4_25">NA()</definedName>
    <definedName name="EngPrio_Text_4_25_3">NA()</definedName>
    <definedName name="EngPrio_Text_4_25_3_5">#REF!</definedName>
    <definedName name="EngPrio_Text_4_25_5">#REF!</definedName>
    <definedName name="EngPrio_Text_4_26">NA()</definedName>
    <definedName name="EngPrio_Text_4_26_3">NA()</definedName>
    <definedName name="EngPrio_Text_4_26_3_5">#REF!</definedName>
    <definedName name="EngPrio_Text_4_26_5">#REF!</definedName>
    <definedName name="EngPrio_Text_4_27">NA()</definedName>
    <definedName name="EngPrio_Text_4_27_3">NA()</definedName>
    <definedName name="EngPrio_Text_4_27_3_5">#REF!</definedName>
    <definedName name="EngPrio_Text_4_27_5">#REF!</definedName>
    <definedName name="EngPrio_Text_4_28">NA()</definedName>
    <definedName name="EngPrio_Text_4_28_3">NA()</definedName>
    <definedName name="EngPrio_Text_4_28_3_5">#REF!</definedName>
    <definedName name="EngPrio_Text_4_28_5">#REF!</definedName>
    <definedName name="EngPrio_Text_4_5">#REF!</definedName>
    <definedName name="EngPrio_Text_4_6">NA()</definedName>
    <definedName name="EngPrio_Text_4_6_3">NA()</definedName>
    <definedName name="EngPrio_Text_4_6_3_5">#REF!</definedName>
    <definedName name="EngPrio_Text_4_6_5">#REF!</definedName>
    <definedName name="EngPrio_Text_4_7">NA()</definedName>
    <definedName name="EngPrio_Text_4_7_3">NA()</definedName>
    <definedName name="EngPrio_Text_4_7_3_5">#REF!</definedName>
    <definedName name="EngPrio_Text_4_7_5">#REF!</definedName>
    <definedName name="EngPrio_Text_4_8">NA()</definedName>
    <definedName name="EngPrio_Text_4_8_3">NA()</definedName>
    <definedName name="EngPrio_Text_4_8_3_5">#REF!</definedName>
    <definedName name="EngPrio_Text_4_8_5">#REF!</definedName>
    <definedName name="EngPrio_Text_4_9">NA()</definedName>
    <definedName name="EngPrio_Text_4_9_3">NA()</definedName>
    <definedName name="EngPrio_Text_4_9_3_5">#REF!</definedName>
    <definedName name="EngPrio_Text_4_9_5">#REF!</definedName>
    <definedName name="EngPrio_Text_5">#REF!</definedName>
    <definedName name="EngPrio_Text_5_1">NA()</definedName>
    <definedName name="EngPrio_Text_5_17">NA()</definedName>
    <definedName name="EngPrio_Text_5_17_3">NA()</definedName>
    <definedName name="EngPrio_Text_5_17_3_5">#REF!</definedName>
    <definedName name="EngPrio_Text_5_17_5">#REF!</definedName>
    <definedName name="EngPrio_Text_5_28">NA()</definedName>
    <definedName name="EngPrio_Text_5_28_3">NA()</definedName>
    <definedName name="EngPrio_Text_5_28_3_5">#REF!</definedName>
    <definedName name="EngPrio_Text_5_28_5">#REF!</definedName>
    <definedName name="EngPrio_Text_5_3">NA()</definedName>
    <definedName name="EngPrio_Text_5_3_5">#REF!</definedName>
    <definedName name="EngPrio_Text_5_5">#REF!</definedName>
    <definedName name="EngPrio_Text_5_6">NA()</definedName>
    <definedName name="EngPrio_Text_5_6_3">NA()</definedName>
    <definedName name="EngPrio_Text_5_6_3_5">#REF!</definedName>
    <definedName name="EngPrio_Text_5_6_5">#REF!</definedName>
    <definedName name="EngPrio_Text_6">NA()</definedName>
    <definedName name="EngPrio_Text_6_1">NA()</definedName>
    <definedName name="EngPrio_Text_6_1_5">#REF!</definedName>
    <definedName name="EngPrio_Text_6_10">NA()</definedName>
    <definedName name="EngPrio_Text_6_10_3">NA()</definedName>
    <definedName name="EngPrio_Text_6_10_3_5">#REF!</definedName>
    <definedName name="EngPrio_Text_6_10_5">#REF!</definedName>
    <definedName name="EngPrio_Text_6_12">NA()</definedName>
    <definedName name="EngPrio_Text_6_12_3">NA()</definedName>
    <definedName name="EngPrio_Text_6_12_3_5">#REF!</definedName>
    <definedName name="EngPrio_Text_6_12_5">#REF!</definedName>
    <definedName name="EngPrio_Text_6_13">NA()</definedName>
    <definedName name="EngPrio_Text_6_13_3">NA()</definedName>
    <definedName name="EngPrio_Text_6_13_3_5">#REF!</definedName>
    <definedName name="EngPrio_Text_6_13_5">#REF!</definedName>
    <definedName name="EngPrio_Text_6_14">NA()</definedName>
    <definedName name="EngPrio_Text_6_14_3">NA()</definedName>
    <definedName name="EngPrio_Text_6_14_3_5">#REF!</definedName>
    <definedName name="EngPrio_Text_6_14_5">#REF!</definedName>
    <definedName name="EngPrio_Text_6_15">NA()</definedName>
    <definedName name="EngPrio_Text_6_15_3">NA()</definedName>
    <definedName name="EngPrio_Text_6_15_3_5">#REF!</definedName>
    <definedName name="EngPrio_Text_6_15_5">#REF!</definedName>
    <definedName name="EngPrio_Text_6_16">NA()</definedName>
    <definedName name="EngPrio_Text_6_16_3">NA()</definedName>
    <definedName name="EngPrio_Text_6_16_3_5">#REF!</definedName>
    <definedName name="EngPrio_Text_6_16_5">#REF!</definedName>
    <definedName name="EngPrio_Text_6_17">NA()</definedName>
    <definedName name="EngPrio_Text_6_17_3">NA()</definedName>
    <definedName name="EngPrio_Text_6_17_3_5">#REF!</definedName>
    <definedName name="EngPrio_Text_6_17_5">#REF!</definedName>
    <definedName name="EngPrio_Text_6_18">NA()</definedName>
    <definedName name="EngPrio_Text_6_18_1">NA()</definedName>
    <definedName name="EngPrio_Text_6_18_1_5">#REF!</definedName>
    <definedName name="EngPrio_Text_6_18_5">#REF!</definedName>
    <definedName name="EngPrio_Text_6_19">NA()</definedName>
    <definedName name="EngPrio_Text_6_19_5">#REF!</definedName>
    <definedName name="EngPrio_Text_6_20">NA()</definedName>
    <definedName name="EngPrio_Text_6_20_3">NA()</definedName>
    <definedName name="EngPrio_Text_6_20_3_5">#REF!</definedName>
    <definedName name="EngPrio_Text_6_20_5">#REF!</definedName>
    <definedName name="EngPrio_Text_6_21">NA()</definedName>
    <definedName name="EngPrio_Text_6_21_1">NA()</definedName>
    <definedName name="EngPrio_Text_6_21_1_3">NA()</definedName>
    <definedName name="EngPrio_Text_6_21_1_3_5">#REF!</definedName>
    <definedName name="EngPrio_Text_6_21_1_5">#REF!</definedName>
    <definedName name="EngPrio_Text_6_21_5">#REF!</definedName>
    <definedName name="EngPrio_Text_6_22">NA()</definedName>
    <definedName name="EngPrio_Text_6_22_3">NA()</definedName>
    <definedName name="EngPrio_Text_6_22_3_5">#REF!</definedName>
    <definedName name="EngPrio_Text_6_22_5">#REF!</definedName>
    <definedName name="EngPrio_Text_6_23">NA()</definedName>
    <definedName name="EngPrio_Text_6_23_3">NA()</definedName>
    <definedName name="EngPrio_Text_6_23_3_5">#REF!</definedName>
    <definedName name="EngPrio_Text_6_23_5">#REF!</definedName>
    <definedName name="EngPrio_Text_6_24">NA()</definedName>
    <definedName name="EngPrio_Text_6_24_3">NA()</definedName>
    <definedName name="EngPrio_Text_6_24_3_5">#REF!</definedName>
    <definedName name="EngPrio_Text_6_24_5">#REF!</definedName>
    <definedName name="EngPrio_Text_6_25">NA()</definedName>
    <definedName name="EngPrio_Text_6_25_3">NA()</definedName>
    <definedName name="EngPrio_Text_6_25_3_5">#REF!</definedName>
    <definedName name="EngPrio_Text_6_25_5">#REF!</definedName>
    <definedName name="EngPrio_Text_6_26">NA()</definedName>
    <definedName name="EngPrio_Text_6_26_3">NA()</definedName>
    <definedName name="EngPrio_Text_6_26_3_5">#REF!</definedName>
    <definedName name="EngPrio_Text_6_26_5">#REF!</definedName>
    <definedName name="EngPrio_Text_6_27">NA()</definedName>
    <definedName name="EngPrio_Text_6_27_3">NA()</definedName>
    <definedName name="EngPrio_Text_6_27_3_5">#REF!</definedName>
    <definedName name="EngPrio_Text_6_27_5">#REF!</definedName>
    <definedName name="EngPrio_Text_6_28">NA()</definedName>
    <definedName name="EngPrio_Text_6_28_3">NA()</definedName>
    <definedName name="EngPrio_Text_6_28_3_5">#REF!</definedName>
    <definedName name="EngPrio_Text_6_28_5">#REF!</definedName>
    <definedName name="EngPrio_Text_6_5">#REF!</definedName>
    <definedName name="EngPrio_Text_6_6">NA()</definedName>
    <definedName name="EngPrio_Text_6_6_3">NA()</definedName>
    <definedName name="EngPrio_Text_6_6_3_5">#REF!</definedName>
    <definedName name="EngPrio_Text_6_6_5">#REF!</definedName>
    <definedName name="EngPrio_Text_6_7">NA()</definedName>
    <definedName name="EngPrio_Text_6_7_3">NA()</definedName>
    <definedName name="EngPrio_Text_6_7_3_5">#REF!</definedName>
    <definedName name="EngPrio_Text_6_7_5">#REF!</definedName>
    <definedName name="EngPrio_Text_6_8">NA()</definedName>
    <definedName name="EngPrio_Text_6_8_3">NA()</definedName>
    <definedName name="EngPrio_Text_6_8_3_5">#REF!</definedName>
    <definedName name="EngPrio_Text_6_8_5">#REF!</definedName>
    <definedName name="EngPrio_Text_6_9">NA()</definedName>
    <definedName name="EngPrio_Text_6_9_1">NA()</definedName>
    <definedName name="EngPrio_Text_6_9_1_1">NA()</definedName>
    <definedName name="EngPrio_Text_6_9_1_1_3">NA()</definedName>
    <definedName name="EngPrio_Text_6_9_1_1_3_5">#REF!</definedName>
    <definedName name="EngPrio_Text_6_9_1_1_5">#REF!</definedName>
    <definedName name="EngPrio_Text_6_9_1_3">NA()</definedName>
    <definedName name="EngPrio_Text_6_9_1_3_5">#REF!</definedName>
    <definedName name="EngPrio_Text_6_9_1_5">#REF!</definedName>
    <definedName name="EngPrio_Text_6_9_5">#REF!</definedName>
    <definedName name="EngPrio_Text_7">NA()</definedName>
    <definedName name="EngPrio_Text_7_5">#REF!</definedName>
    <definedName name="EngPrio_Text_8">NA()</definedName>
    <definedName name="EngPrio_Text_8_3">NA()</definedName>
    <definedName name="EngPrio_Text_8_3_5">#REF!</definedName>
    <definedName name="EngPrio_Text_8_5">#REF!</definedName>
    <definedName name="EngPrio_Text_9">NA()</definedName>
    <definedName name="EngPrio_Text_9_3">NA()</definedName>
    <definedName name="EngPrio_Text_9_3_5">#REF!</definedName>
    <definedName name="EngPrio_Text_9_5">#REF!</definedName>
    <definedName name="EngState">NA()</definedName>
    <definedName name="EngState_1">NA()</definedName>
    <definedName name="EngState_1_3">NA()</definedName>
    <definedName name="EngState_1_3_5">#REF!</definedName>
    <definedName name="EngState_1_5">#REF!</definedName>
    <definedName name="EngState_10">NA()</definedName>
    <definedName name="EngState_10_1">NA()</definedName>
    <definedName name="EngState_10_1_3">NA()</definedName>
    <definedName name="EngState_10_1_3_5">#REF!</definedName>
    <definedName name="EngState_10_1_5">#REF!</definedName>
    <definedName name="EngState_10_17">NA()</definedName>
    <definedName name="EngState_10_17_3">NA()</definedName>
    <definedName name="EngState_10_17_3_5">#REF!</definedName>
    <definedName name="EngState_10_17_5">#REF!</definedName>
    <definedName name="EngState_10_5">#REF!</definedName>
    <definedName name="EngState_11">NA()</definedName>
    <definedName name="EngState_11_1">NA()</definedName>
    <definedName name="EngState_11_1_5">#REF!</definedName>
    <definedName name="EngState_11_5">#REF!</definedName>
    <definedName name="EngState_12">NA()</definedName>
    <definedName name="EngState_12_3">NA()</definedName>
    <definedName name="EngState_12_3_5">#REF!</definedName>
    <definedName name="EngState_12_5">#REF!</definedName>
    <definedName name="EngState_13">NA()</definedName>
    <definedName name="EngState_13_3">NA()</definedName>
    <definedName name="EngState_13_3_5">#REF!</definedName>
    <definedName name="EngState_13_5">#REF!</definedName>
    <definedName name="EngState_14">NA()</definedName>
    <definedName name="EngState_14_5">#REF!</definedName>
    <definedName name="EngState_15">NA()</definedName>
    <definedName name="EngState_15_1">NA()</definedName>
    <definedName name="EngState_15_1_3">NA()</definedName>
    <definedName name="EngState_15_1_3_5">#REF!</definedName>
    <definedName name="EngState_15_1_5">#REF!</definedName>
    <definedName name="EngState_15_3">NA()</definedName>
    <definedName name="EngState_15_3_5">#REF!</definedName>
    <definedName name="EngState_15_5">#REF!</definedName>
    <definedName name="EngState_16">NA()</definedName>
    <definedName name="EngState_16_1">NA()</definedName>
    <definedName name="EngState_16_1_3">NA()</definedName>
    <definedName name="EngState_16_1_3_5">#REF!</definedName>
    <definedName name="EngState_16_1_5">#REF!</definedName>
    <definedName name="EngState_16_3">NA()</definedName>
    <definedName name="EngState_16_3_5">#REF!</definedName>
    <definedName name="EngState_16_5">#REF!</definedName>
    <definedName name="EngState_17">NA()</definedName>
    <definedName name="EngState_17_1">NA()</definedName>
    <definedName name="EngState_17_1_5">#REF!</definedName>
    <definedName name="EngState_17_3">NA()</definedName>
    <definedName name="EngState_17_3_5">#REF!</definedName>
    <definedName name="EngState_17_5">#REF!</definedName>
    <definedName name="EngState_18">NA()</definedName>
    <definedName name="EngState_18_1">NA()</definedName>
    <definedName name="EngState_18_1_5">#REF!</definedName>
    <definedName name="EngState_18_5">#REF!</definedName>
    <definedName name="EngState_19">NA()</definedName>
    <definedName name="EngState_19_1">NA()</definedName>
    <definedName name="EngState_19_1_5">#REF!</definedName>
    <definedName name="EngState_19_5">#REF!</definedName>
    <definedName name="EngState_2">NA()</definedName>
    <definedName name="EngState_2_5">#REF!</definedName>
    <definedName name="EngState_20">NA()</definedName>
    <definedName name="EngState_20_1">NA()</definedName>
    <definedName name="EngState_20_1_3">NA()</definedName>
    <definedName name="EngState_20_1_3_5">#REF!</definedName>
    <definedName name="EngState_20_1_5">#REF!</definedName>
    <definedName name="EngState_20_5">#REF!</definedName>
    <definedName name="EngState_21">NA()</definedName>
    <definedName name="EngState_21_1">NA()</definedName>
    <definedName name="EngState_21_1_1">NA()</definedName>
    <definedName name="EngState_21_1_1_3">NA()</definedName>
    <definedName name="EngState_21_1_1_3_5">#REF!</definedName>
    <definedName name="EngState_21_1_1_5">#REF!</definedName>
    <definedName name="EngState_21_1_3">NA()</definedName>
    <definedName name="EngState_21_1_3_5">#REF!</definedName>
    <definedName name="EngState_21_1_5">#REF!</definedName>
    <definedName name="EngState_21_5">#REF!</definedName>
    <definedName name="EngState_22">NA()</definedName>
    <definedName name="EngState_22_3">NA()</definedName>
    <definedName name="EngState_22_3_5">#REF!</definedName>
    <definedName name="EngState_22_5">#REF!</definedName>
    <definedName name="EngState_23">NA()</definedName>
    <definedName name="EngState_23_3">NA()</definedName>
    <definedName name="EngState_23_3_5">#REF!</definedName>
    <definedName name="EngState_23_5">#REF!</definedName>
    <definedName name="EngState_24">NA()</definedName>
    <definedName name="EngState_24_3">NA()</definedName>
    <definedName name="EngState_24_3_5">#REF!</definedName>
    <definedName name="EngState_24_5">#REF!</definedName>
    <definedName name="EngState_25">NA()</definedName>
    <definedName name="EngState_25_3">NA()</definedName>
    <definedName name="EngState_25_3_5">#REF!</definedName>
    <definedName name="EngState_25_5">#REF!</definedName>
    <definedName name="EngState_26">NA()</definedName>
    <definedName name="EngState_26_1">NA()</definedName>
    <definedName name="EngState_26_1_3">NA()</definedName>
    <definedName name="EngState_26_1_3_5">#REF!</definedName>
    <definedName name="EngState_26_1_5">#REF!</definedName>
    <definedName name="EngState_26_3">NA()</definedName>
    <definedName name="EngState_26_3_5">#REF!</definedName>
    <definedName name="EngState_26_5">#REF!</definedName>
    <definedName name="EngState_27">NA()</definedName>
    <definedName name="EngState_27_1">NA()</definedName>
    <definedName name="EngState_27_1_3">NA()</definedName>
    <definedName name="EngState_27_1_3_5">#REF!</definedName>
    <definedName name="EngState_27_1_5">#REF!</definedName>
    <definedName name="EngState_27_3">NA()</definedName>
    <definedName name="EngState_27_3_5">#REF!</definedName>
    <definedName name="EngState_27_5">#REF!</definedName>
    <definedName name="EngState_28">NA()</definedName>
    <definedName name="EngState_28_1">NA()</definedName>
    <definedName name="EngState_28_1_3">NA()</definedName>
    <definedName name="EngState_28_1_3_5">#REF!</definedName>
    <definedName name="EngState_28_1_5">#REF!</definedName>
    <definedName name="EngState_28_3">NA()</definedName>
    <definedName name="EngState_28_3_5">#REF!</definedName>
    <definedName name="EngState_28_5">#REF!</definedName>
    <definedName name="EngState_29">NA()</definedName>
    <definedName name="EngState_29_3">NA()</definedName>
    <definedName name="EngState_29_3_5">#REF!</definedName>
    <definedName name="EngState_29_5">#REF!</definedName>
    <definedName name="EngState_3">NA()</definedName>
    <definedName name="EngState_3_5">#REF!</definedName>
    <definedName name="EngState_4">NA()</definedName>
    <definedName name="EngState_4_1">NA()</definedName>
    <definedName name="EngState_4_1_1">NA()</definedName>
    <definedName name="EngState_4_1_1_1">NA()</definedName>
    <definedName name="EngState_4_1_1_1_1">NA()</definedName>
    <definedName name="EngState_4_1_1_1_1_1">NA()</definedName>
    <definedName name="EngState_4_1_1_1_1_1_5">#REF!</definedName>
    <definedName name="EngState_4_1_1_1_1_3">NA()</definedName>
    <definedName name="EngState_4_1_1_1_1_3_5">#REF!</definedName>
    <definedName name="EngState_4_1_1_1_1_5">#REF!</definedName>
    <definedName name="EngState_4_1_1_1_3">NA()</definedName>
    <definedName name="EngState_4_1_1_1_3_1">NA()</definedName>
    <definedName name="EngState_4_1_1_1_3_1_5">#REF!</definedName>
    <definedName name="EngState_4_1_1_1_3_5">#REF!</definedName>
    <definedName name="EngState_4_1_1_1_5">#REF!</definedName>
    <definedName name="EngState_4_1_1_3">NA()</definedName>
    <definedName name="EngState_4_1_1_3_5">#REF!</definedName>
    <definedName name="EngState_4_1_1_5">#REF!</definedName>
    <definedName name="EngState_4_1_17">NA()</definedName>
    <definedName name="EngState_4_1_17_3">NA()</definedName>
    <definedName name="EngState_4_1_17_3_5">#REF!</definedName>
    <definedName name="EngState_4_1_17_5">#REF!</definedName>
    <definedName name="EngState_4_1_28">NA()</definedName>
    <definedName name="EngState_4_1_28_3">NA()</definedName>
    <definedName name="EngState_4_1_28_3_5">#REF!</definedName>
    <definedName name="EngState_4_1_28_5">#REF!</definedName>
    <definedName name="EngState_4_1_5">#REF!</definedName>
    <definedName name="EngState_4_1_6">NA()</definedName>
    <definedName name="EngState_4_1_6_3">NA()</definedName>
    <definedName name="EngState_4_1_6_3_5">#REF!</definedName>
    <definedName name="EngState_4_1_6_5">#REF!</definedName>
    <definedName name="EngState_4_10">NA()</definedName>
    <definedName name="EngState_4_10_3">NA()</definedName>
    <definedName name="EngState_4_10_3_5">#REF!</definedName>
    <definedName name="EngState_4_10_5">#REF!</definedName>
    <definedName name="EngState_4_12">NA()</definedName>
    <definedName name="EngState_4_12_3">NA()</definedName>
    <definedName name="EngState_4_12_3_5">#REF!</definedName>
    <definedName name="EngState_4_12_5">#REF!</definedName>
    <definedName name="EngState_4_13">NA()</definedName>
    <definedName name="EngState_4_13_3">NA()</definedName>
    <definedName name="EngState_4_13_3_5">#REF!</definedName>
    <definedName name="EngState_4_13_5">#REF!</definedName>
    <definedName name="EngState_4_14">NA()</definedName>
    <definedName name="EngState_4_14_3">NA()</definedName>
    <definedName name="EngState_4_14_3_5">#REF!</definedName>
    <definedName name="EngState_4_14_5">#REF!</definedName>
    <definedName name="EngState_4_15">NA()</definedName>
    <definedName name="EngState_4_15_3">NA()</definedName>
    <definedName name="EngState_4_15_3_5">#REF!</definedName>
    <definedName name="EngState_4_15_5">#REF!</definedName>
    <definedName name="EngState_4_16">NA()</definedName>
    <definedName name="EngState_4_16_3">NA()</definedName>
    <definedName name="EngState_4_16_3_5">#REF!</definedName>
    <definedName name="EngState_4_16_5">#REF!</definedName>
    <definedName name="EngState_4_17">NA()</definedName>
    <definedName name="EngState_4_17_3">NA()</definedName>
    <definedName name="EngState_4_17_3_5">#REF!</definedName>
    <definedName name="EngState_4_17_5">#REF!</definedName>
    <definedName name="EngState_4_18">NA()</definedName>
    <definedName name="EngState_4_18_1">NA()</definedName>
    <definedName name="EngState_4_18_1_5">#REF!</definedName>
    <definedName name="EngState_4_18_5">#REF!</definedName>
    <definedName name="EngState_4_19">NA()</definedName>
    <definedName name="EngState_4_19_5">#REF!</definedName>
    <definedName name="EngState_4_20">NA()</definedName>
    <definedName name="EngState_4_20_3">NA()</definedName>
    <definedName name="EngState_4_20_3_5">#REF!</definedName>
    <definedName name="EngState_4_20_5">#REF!</definedName>
    <definedName name="EngState_4_21">NA()</definedName>
    <definedName name="EngState_4_21_1">NA()</definedName>
    <definedName name="EngState_4_21_1_3">NA()</definedName>
    <definedName name="EngState_4_21_1_3_5">#REF!</definedName>
    <definedName name="EngState_4_21_1_5">#REF!</definedName>
    <definedName name="EngState_4_21_5">#REF!</definedName>
    <definedName name="EngState_4_22">NA()</definedName>
    <definedName name="EngState_4_22_3">NA()</definedName>
    <definedName name="EngState_4_22_3_5">#REF!</definedName>
    <definedName name="EngState_4_22_5">#REF!</definedName>
    <definedName name="EngState_4_23">NA()</definedName>
    <definedName name="EngState_4_23_3">NA()</definedName>
    <definedName name="EngState_4_23_3_5">#REF!</definedName>
    <definedName name="EngState_4_23_5">#REF!</definedName>
    <definedName name="EngState_4_24">NA()</definedName>
    <definedName name="EngState_4_24_3">NA()</definedName>
    <definedName name="EngState_4_24_3_5">#REF!</definedName>
    <definedName name="EngState_4_24_5">#REF!</definedName>
    <definedName name="EngState_4_25">NA()</definedName>
    <definedName name="EngState_4_25_3">NA()</definedName>
    <definedName name="EngState_4_25_3_5">#REF!</definedName>
    <definedName name="EngState_4_25_5">#REF!</definedName>
    <definedName name="EngState_4_26">NA()</definedName>
    <definedName name="EngState_4_26_3">NA()</definedName>
    <definedName name="EngState_4_26_3_5">#REF!</definedName>
    <definedName name="EngState_4_26_5">#REF!</definedName>
    <definedName name="EngState_4_27">NA()</definedName>
    <definedName name="EngState_4_27_3">NA()</definedName>
    <definedName name="EngState_4_27_3_5">#REF!</definedName>
    <definedName name="EngState_4_27_5">#REF!</definedName>
    <definedName name="EngState_4_28">NA()</definedName>
    <definedName name="EngState_4_28_3">NA()</definedName>
    <definedName name="EngState_4_28_3_5">#REF!</definedName>
    <definedName name="EngState_4_28_5">#REF!</definedName>
    <definedName name="EngState_4_5">#REF!</definedName>
    <definedName name="EngState_4_6">NA()</definedName>
    <definedName name="EngState_4_6_3">NA()</definedName>
    <definedName name="EngState_4_6_3_5">#REF!</definedName>
    <definedName name="EngState_4_6_5">#REF!</definedName>
    <definedName name="EngState_4_7">NA()</definedName>
    <definedName name="EngState_4_7_3">NA()</definedName>
    <definedName name="EngState_4_7_3_5">#REF!</definedName>
    <definedName name="EngState_4_7_5">#REF!</definedName>
    <definedName name="EngState_4_8">NA()</definedName>
    <definedName name="EngState_4_8_3">NA()</definedName>
    <definedName name="EngState_4_8_3_5">#REF!</definedName>
    <definedName name="EngState_4_8_5">#REF!</definedName>
    <definedName name="EngState_4_9">NA()</definedName>
    <definedName name="EngState_4_9_3">NA()</definedName>
    <definedName name="EngState_4_9_3_5">#REF!</definedName>
    <definedName name="EngState_4_9_5">#REF!</definedName>
    <definedName name="EngState_5">#REF!</definedName>
    <definedName name="EngState_5_1">NA()</definedName>
    <definedName name="EngState_5_17">NA()</definedName>
    <definedName name="EngState_5_17_3">NA()</definedName>
    <definedName name="EngState_5_17_3_5">#REF!</definedName>
    <definedName name="EngState_5_17_5">#REF!</definedName>
    <definedName name="EngState_5_28">NA()</definedName>
    <definedName name="EngState_5_28_3">NA()</definedName>
    <definedName name="EngState_5_28_3_5">#REF!</definedName>
    <definedName name="EngState_5_28_5">#REF!</definedName>
    <definedName name="EngState_5_3">NA()</definedName>
    <definedName name="EngState_5_3_5">#REF!</definedName>
    <definedName name="EngState_5_5">#REF!</definedName>
    <definedName name="EngState_5_6">NA()</definedName>
    <definedName name="EngState_5_6_3">NA()</definedName>
    <definedName name="EngState_5_6_3_5">#REF!</definedName>
    <definedName name="EngState_5_6_5">#REF!</definedName>
    <definedName name="EngState_6">NA()</definedName>
    <definedName name="EngState_6_1">NA()</definedName>
    <definedName name="EngState_6_1_5">#REF!</definedName>
    <definedName name="EngState_6_10">NA()</definedName>
    <definedName name="EngState_6_10_3">NA()</definedName>
    <definedName name="EngState_6_10_3_5">#REF!</definedName>
    <definedName name="EngState_6_10_5">#REF!</definedName>
    <definedName name="EngState_6_12">NA()</definedName>
    <definedName name="EngState_6_12_3">NA()</definedName>
    <definedName name="EngState_6_12_3_5">#REF!</definedName>
    <definedName name="EngState_6_12_5">#REF!</definedName>
    <definedName name="EngState_6_13">NA()</definedName>
    <definedName name="EngState_6_13_3">NA()</definedName>
    <definedName name="EngState_6_13_3_5">#REF!</definedName>
    <definedName name="EngState_6_13_5">#REF!</definedName>
    <definedName name="EngState_6_14">NA()</definedName>
    <definedName name="EngState_6_14_3">NA()</definedName>
    <definedName name="EngState_6_14_3_5">#REF!</definedName>
    <definedName name="EngState_6_14_5">#REF!</definedName>
    <definedName name="EngState_6_15">NA()</definedName>
    <definedName name="EngState_6_15_3">NA()</definedName>
    <definedName name="EngState_6_15_3_5">#REF!</definedName>
    <definedName name="EngState_6_15_5">#REF!</definedName>
    <definedName name="EngState_6_16">NA()</definedName>
    <definedName name="EngState_6_16_3">NA()</definedName>
    <definedName name="EngState_6_16_3_5">#REF!</definedName>
    <definedName name="EngState_6_16_5">#REF!</definedName>
    <definedName name="EngState_6_17">NA()</definedName>
    <definedName name="EngState_6_17_3">NA()</definedName>
    <definedName name="EngState_6_17_3_5">#REF!</definedName>
    <definedName name="EngState_6_17_5">#REF!</definedName>
    <definedName name="EngState_6_18">NA()</definedName>
    <definedName name="EngState_6_18_1">NA()</definedName>
    <definedName name="EngState_6_18_1_5">#REF!</definedName>
    <definedName name="EngState_6_18_5">#REF!</definedName>
    <definedName name="EngState_6_19">NA()</definedName>
    <definedName name="EngState_6_19_5">#REF!</definedName>
    <definedName name="EngState_6_20">NA()</definedName>
    <definedName name="EngState_6_20_3">NA()</definedName>
    <definedName name="EngState_6_20_3_5">#REF!</definedName>
    <definedName name="EngState_6_20_5">#REF!</definedName>
    <definedName name="EngState_6_21">NA()</definedName>
    <definedName name="EngState_6_21_1">NA()</definedName>
    <definedName name="EngState_6_21_1_3">NA()</definedName>
    <definedName name="EngState_6_21_1_3_5">#REF!</definedName>
    <definedName name="EngState_6_21_1_5">#REF!</definedName>
    <definedName name="EngState_6_21_5">#REF!</definedName>
    <definedName name="EngState_6_22">NA()</definedName>
    <definedName name="EngState_6_22_3">NA()</definedName>
    <definedName name="EngState_6_22_3_5">#REF!</definedName>
    <definedName name="EngState_6_22_5">#REF!</definedName>
    <definedName name="EngState_6_23">NA()</definedName>
    <definedName name="EngState_6_23_3">NA()</definedName>
    <definedName name="EngState_6_23_3_5">#REF!</definedName>
    <definedName name="EngState_6_23_5">#REF!</definedName>
    <definedName name="EngState_6_24">NA()</definedName>
    <definedName name="EngState_6_24_3">NA()</definedName>
    <definedName name="EngState_6_24_3_5">#REF!</definedName>
    <definedName name="EngState_6_24_5">#REF!</definedName>
    <definedName name="EngState_6_25">NA()</definedName>
    <definedName name="EngState_6_25_3">NA()</definedName>
    <definedName name="EngState_6_25_3_5">#REF!</definedName>
    <definedName name="EngState_6_25_5">#REF!</definedName>
    <definedName name="EngState_6_26">NA()</definedName>
    <definedName name="EngState_6_26_3">NA()</definedName>
    <definedName name="EngState_6_26_3_5">#REF!</definedName>
    <definedName name="EngState_6_26_5">#REF!</definedName>
    <definedName name="EngState_6_27">NA()</definedName>
    <definedName name="EngState_6_27_3">NA()</definedName>
    <definedName name="EngState_6_27_3_5">#REF!</definedName>
    <definedName name="EngState_6_27_5">#REF!</definedName>
    <definedName name="EngState_6_28">NA()</definedName>
    <definedName name="EngState_6_28_3">NA()</definedName>
    <definedName name="EngState_6_28_3_5">#REF!</definedName>
    <definedName name="EngState_6_28_5">#REF!</definedName>
    <definedName name="EngState_6_5">#REF!</definedName>
    <definedName name="EngState_6_6">NA()</definedName>
    <definedName name="EngState_6_6_3">NA()</definedName>
    <definedName name="EngState_6_6_3_5">#REF!</definedName>
    <definedName name="EngState_6_6_5">#REF!</definedName>
    <definedName name="EngState_6_7">NA()</definedName>
    <definedName name="EngState_6_7_3">NA()</definedName>
    <definedName name="EngState_6_7_3_5">#REF!</definedName>
    <definedName name="EngState_6_7_5">#REF!</definedName>
    <definedName name="EngState_6_8">NA()</definedName>
    <definedName name="EngState_6_8_3">NA()</definedName>
    <definedName name="EngState_6_8_3_5">#REF!</definedName>
    <definedName name="EngState_6_8_5">#REF!</definedName>
    <definedName name="EngState_6_9">NA()</definedName>
    <definedName name="EngState_6_9_1">NA()</definedName>
    <definedName name="EngState_6_9_1_1">NA()</definedName>
    <definedName name="EngState_6_9_1_1_3">NA()</definedName>
    <definedName name="EngState_6_9_1_1_3_5">#REF!</definedName>
    <definedName name="EngState_6_9_1_1_5">#REF!</definedName>
    <definedName name="EngState_6_9_1_3">NA()</definedName>
    <definedName name="EngState_6_9_1_3_5">#REF!</definedName>
    <definedName name="EngState_6_9_1_5">#REF!</definedName>
    <definedName name="EngState_6_9_5">#REF!</definedName>
    <definedName name="EngState_7">NA()</definedName>
    <definedName name="EngState_7_5">#REF!</definedName>
    <definedName name="EngState_8">NA()</definedName>
    <definedName name="EngState_8_3">NA()</definedName>
    <definedName name="EngState_8_3_5">#REF!</definedName>
    <definedName name="EngState_8_5">#REF!</definedName>
    <definedName name="EngState_9">NA()</definedName>
    <definedName name="EngState_9_3">NA()</definedName>
    <definedName name="EngState_9_3_5">#REF!</definedName>
    <definedName name="EngState_9_5">#REF!</definedName>
    <definedName name="EnqType">'[17]Frt-Breakup'!$AL$18:$AL$19</definedName>
    <definedName name="environmentalcost">#N/A</definedName>
    <definedName name="epoxy">#REF!</definedName>
    <definedName name="epressspray">#REF!</definedName>
    <definedName name="eqjwd">NA()</definedName>
    <definedName name="eqjwd_5">#REF!</definedName>
    <definedName name="ER">#REF!</definedName>
    <definedName name="ErrName162821590" hidden="1">[4]Cash2!$K$16:$K$36</definedName>
    <definedName name="ErrName646587132">"SQRT"</definedName>
    <definedName name="ertgtr">{#N/A,#N/A,TRUE,"Front";#N/A,#N/A,TRUE,"Simple Letter";#N/A,#N/A,TRUE,"Inside";#N/A,#N/A,TRUE,"Contents";#N/A,#N/A,TRUE,"Basis";#N/A,#N/A,TRUE,"Inclusions";#N/A,#N/A,TRUE,"Exclusions";#N/A,#N/A,TRUE,"Areas";#N/A,#N/A,TRUE,"Summary";#N/A,#N/A,TRUE,"Detail"}</definedName>
    <definedName name="Es">#REF!</definedName>
    <definedName name="Es___0">#REF!</definedName>
    <definedName name="Es___13">#REF!</definedName>
    <definedName name="essai">NA()</definedName>
    <definedName name="essai_5">#REF!</definedName>
    <definedName name="EssOptions">"1100000000010000_01000"</definedName>
    <definedName name="ESSR1">#REF!</definedName>
    <definedName name="ESSR10">#REF!</definedName>
    <definedName name="ESSR11">#REF!</definedName>
    <definedName name="ESSR12">#REF!</definedName>
    <definedName name="ESSR13">#REF!</definedName>
    <definedName name="ESSR2">#REF!</definedName>
    <definedName name="ESSR3">#REF!</definedName>
    <definedName name="ESSR4">#REF!</definedName>
    <definedName name="ESSR5">#REF!</definedName>
    <definedName name="ESSR6">#REF!</definedName>
    <definedName name="ESSR7">#REF!</definedName>
    <definedName name="ESSR8">#REF!</definedName>
    <definedName name="ESSR9">#REF!</definedName>
    <definedName name="EstCost">NA()</definedName>
    <definedName name="EstCost_1">NA()</definedName>
    <definedName name="EstCost_1_3">NA()</definedName>
    <definedName name="EstCost_1_3_5">#REF!</definedName>
    <definedName name="EstCost_1_5">#REF!</definedName>
    <definedName name="EstCost_10">NA()</definedName>
    <definedName name="EstCost_10_1">NA()</definedName>
    <definedName name="EstCost_10_1_3">NA()</definedName>
    <definedName name="EstCost_10_1_3_5">#REF!</definedName>
    <definedName name="EstCost_10_1_5">#REF!</definedName>
    <definedName name="EstCost_10_17">NA()</definedName>
    <definedName name="EstCost_10_17_3">NA()</definedName>
    <definedName name="EstCost_10_17_3_5">#REF!</definedName>
    <definedName name="EstCost_10_17_5">#REF!</definedName>
    <definedName name="EstCost_10_5">#REF!</definedName>
    <definedName name="EstCost_11">NA()</definedName>
    <definedName name="EstCost_11_1">NA()</definedName>
    <definedName name="EstCost_11_1_5">#REF!</definedName>
    <definedName name="EstCost_11_5">#REF!</definedName>
    <definedName name="EstCost_12">NA()</definedName>
    <definedName name="EstCost_12_3">NA()</definedName>
    <definedName name="EstCost_12_3_5">#REF!</definedName>
    <definedName name="EstCost_12_5">#REF!</definedName>
    <definedName name="EstCost_13">NA()</definedName>
    <definedName name="EstCost_13_3">NA()</definedName>
    <definedName name="EstCost_13_3_5">#REF!</definedName>
    <definedName name="EstCost_13_5">#REF!</definedName>
    <definedName name="EstCost_14">NA()</definedName>
    <definedName name="EstCost_14_5">#REF!</definedName>
    <definedName name="EstCost_15">NA()</definedName>
    <definedName name="EstCost_15_1">NA()</definedName>
    <definedName name="EstCost_15_1_3">NA()</definedName>
    <definedName name="EstCost_15_1_3_5">#REF!</definedName>
    <definedName name="EstCost_15_1_5">#REF!</definedName>
    <definedName name="EstCost_15_3">NA()</definedName>
    <definedName name="EstCost_15_3_5">#REF!</definedName>
    <definedName name="EstCost_15_5">#REF!</definedName>
    <definedName name="EstCost_16">NA()</definedName>
    <definedName name="EstCost_16_1">NA()</definedName>
    <definedName name="EstCost_16_1_3">NA()</definedName>
    <definedName name="EstCost_16_1_3_5">#REF!</definedName>
    <definedName name="EstCost_16_1_5">#REF!</definedName>
    <definedName name="EstCost_16_3">NA()</definedName>
    <definedName name="EstCost_16_3_5">#REF!</definedName>
    <definedName name="EstCost_16_5">#REF!</definedName>
    <definedName name="EstCost_17">NA()</definedName>
    <definedName name="EstCost_17_1">NA()</definedName>
    <definedName name="EstCost_17_1_5">#REF!</definedName>
    <definedName name="EstCost_17_3">NA()</definedName>
    <definedName name="EstCost_17_3_5">#REF!</definedName>
    <definedName name="EstCost_17_5">#REF!</definedName>
    <definedName name="EstCost_18">NA()</definedName>
    <definedName name="EstCost_18_1">NA()</definedName>
    <definedName name="EstCost_18_1_5">#REF!</definedName>
    <definedName name="EstCost_18_5">#REF!</definedName>
    <definedName name="EstCost_19">NA()</definedName>
    <definedName name="EstCost_19_1">NA()</definedName>
    <definedName name="EstCost_19_1_5">#REF!</definedName>
    <definedName name="EstCost_19_5">#REF!</definedName>
    <definedName name="EstCost_2">NA()</definedName>
    <definedName name="EstCost_2_5">#REF!</definedName>
    <definedName name="EstCost_20">NA()</definedName>
    <definedName name="EstCost_20_1">NA()</definedName>
    <definedName name="EstCost_20_1_3">NA()</definedName>
    <definedName name="EstCost_20_1_3_5">#REF!</definedName>
    <definedName name="EstCost_20_1_5">#REF!</definedName>
    <definedName name="EstCost_20_5">#REF!</definedName>
    <definedName name="EstCost_21">NA()</definedName>
    <definedName name="EstCost_21_1">NA()</definedName>
    <definedName name="EstCost_21_1_1">NA()</definedName>
    <definedName name="EstCost_21_1_1_3">NA()</definedName>
    <definedName name="EstCost_21_1_1_3_5">#REF!</definedName>
    <definedName name="EstCost_21_1_1_5">#REF!</definedName>
    <definedName name="EstCost_21_1_3">NA()</definedName>
    <definedName name="EstCost_21_1_3_5">#REF!</definedName>
    <definedName name="EstCost_21_1_5">#REF!</definedName>
    <definedName name="EstCost_21_5">#REF!</definedName>
    <definedName name="EstCost_22">NA()</definedName>
    <definedName name="EstCost_22_3">NA()</definedName>
    <definedName name="EstCost_22_3_5">#REF!</definedName>
    <definedName name="EstCost_22_5">#REF!</definedName>
    <definedName name="EstCost_23">NA()</definedName>
    <definedName name="EstCost_23_3">NA()</definedName>
    <definedName name="EstCost_23_3_5">#REF!</definedName>
    <definedName name="EstCost_23_5">#REF!</definedName>
    <definedName name="EstCost_24">NA()</definedName>
    <definedName name="EstCost_24_3">NA()</definedName>
    <definedName name="EstCost_24_3_5">#REF!</definedName>
    <definedName name="EstCost_24_5">#REF!</definedName>
    <definedName name="EstCost_25">NA()</definedName>
    <definedName name="EstCost_25_3">NA()</definedName>
    <definedName name="EstCost_25_3_5">#REF!</definedName>
    <definedName name="EstCost_25_5">#REF!</definedName>
    <definedName name="EstCost_26">NA()</definedName>
    <definedName name="EstCost_26_1">NA()</definedName>
    <definedName name="EstCost_26_1_3">NA()</definedName>
    <definedName name="EstCost_26_1_3_5">#REF!</definedName>
    <definedName name="EstCost_26_1_5">#REF!</definedName>
    <definedName name="EstCost_26_3">NA()</definedName>
    <definedName name="EstCost_26_3_5">#REF!</definedName>
    <definedName name="EstCost_26_5">#REF!</definedName>
    <definedName name="EstCost_27">NA()</definedName>
    <definedName name="EstCost_27_1">NA()</definedName>
    <definedName name="EstCost_27_1_3">NA()</definedName>
    <definedName name="EstCost_27_1_3_5">#REF!</definedName>
    <definedName name="EstCost_27_1_5">#REF!</definedName>
    <definedName name="EstCost_27_3">NA()</definedName>
    <definedName name="EstCost_27_3_5">#REF!</definedName>
    <definedName name="EstCost_27_5">#REF!</definedName>
    <definedName name="EstCost_28">NA()</definedName>
    <definedName name="EstCost_28_1">NA()</definedName>
    <definedName name="EstCost_28_1_3">NA()</definedName>
    <definedName name="EstCost_28_1_3_5">#REF!</definedName>
    <definedName name="EstCost_28_1_5">#REF!</definedName>
    <definedName name="EstCost_28_3">NA()</definedName>
    <definedName name="EstCost_28_3_5">#REF!</definedName>
    <definedName name="EstCost_28_5">#REF!</definedName>
    <definedName name="EstCost_29">NA()</definedName>
    <definedName name="EstCost_29_3">NA()</definedName>
    <definedName name="EstCost_29_3_5">#REF!</definedName>
    <definedName name="EstCost_29_5">#REF!</definedName>
    <definedName name="EstCost_3">NA()</definedName>
    <definedName name="EstCost_3_5">#REF!</definedName>
    <definedName name="EstCost_4">NA()</definedName>
    <definedName name="EstCost_4_1">NA()</definedName>
    <definedName name="EstCost_4_1_1">NA()</definedName>
    <definedName name="EstCost_4_1_1_1">NA()</definedName>
    <definedName name="EstCost_4_1_1_1_1">NA()</definedName>
    <definedName name="EstCost_4_1_1_1_1_1">NA()</definedName>
    <definedName name="EstCost_4_1_1_1_1_1_5">#REF!</definedName>
    <definedName name="EstCost_4_1_1_1_1_3">NA()</definedName>
    <definedName name="EstCost_4_1_1_1_1_3_5">#REF!</definedName>
    <definedName name="EstCost_4_1_1_1_1_5">#REF!</definedName>
    <definedName name="EstCost_4_1_1_1_3">NA()</definedName>
    <definedName name="EstCost_4_1_1_1_3_1">NA()</definedName>
    <definedName name="EstCost_4_1_1_1_3_1_5">#REF!</definedName>
    <definedName name="EstCost_4_1_1_1_3_5">#REF!</definedName>
    <definedName name="EstCost_4_1_1_1_5">#REF!</definedName>
    <definedName name="EstCost_4_1_1_3">NA()</definedName>
    <definedName name="EstCost_4_1_1_3_5">#REF!</definedName>
    <definedName name="EstCost_4_1_1_5">#REF!</definedName>
    <definedName name="EstCost_4_1_17">NA()</definedName>
    <definedName name="EstCost_4_1_17_3">NA()</definedName>
    <definedName name="EstCost_4_1_17_3_5">#REF!</definedName>
    <definedName name="EstCost_4_1_17_5">#REF!</definedName>
    <definedName name="EstCost_4_1_28">NA()</definedName>
    <definedName name="EstCost_4_1_28_3">NA()</definedName>
    <definedName name="EstCost_4_1_28_3_5">#REF!</definedName>
    <definedName name="EstCost_4_1_28_5">#REF!</definedName>
    <definedName name="EstCost_4_1_5">#REF!</definedName>
    <definedName name="EstCost_4_1_6">NA()</definedName>
    <definedName name="EstCost_4_1_6_3">NA()</definedName>
    <definedName name="EstCost_4_1_6_3_5">#REF!</definedName>
    <definedName name="EstCost_4_1_6_5">#REF!</definedName>
    <definedName name="EstCost_4_10">NA()</definedName>
    <definedName name="EstCost_4_10_3">NA()</definedName>
    <definedName name="EstCost_4_10_3_5">#REF!</definedName>
    <definedName name="EstCost_4_10_5">#REF!</definedName>
    <definedName name="EstCost_4_12">NA()</definedName>
    <definedName name="EstCost_4_12_3">NA()</definedName>
    <definedName name="EstCost_4_12_3_5">#REF!</definedName>
    <definedName name="EstCost_4_12_5">#REF!</definedName>
    <definedName name="EstCost_4_13">NA()</definedName>
    <definedName name="EstCost_4_13_3">NA()</definedName>
    <definedName name="EstCost_4_13_3_5">#REF!</definedName>
    <definedName name="EstCost_4_13_5">#REF!</definedName>
    <definedName name="EstCost_4_14">NA()</definedName>
    <definedName name="EstCost_4_14_3">NA()</definedName>
    <definedName name="EstCost_4_14_3_5">#REF!</definedName>
    <definedName name="EstCost_4_14_5">#REF!</definedName>
    <definedName name="EstCost_4_15">NA()</definedName>
    <definedName name="EstCost_4_15_3">NA()</definedName>
    <definedName name="EstCost_4_15_3_5">#REF!</definedName>
    <definedName name="EstCost_4_15_5">#REF!</definedName>
    <definedName name="EstCost_4_16">NA()</definedName>
    <definedName name="EstCost_4_16_3">NA()</definedName>
    <definedName name="EstCost_4_16_3_5">#REF!</definedName>
    <definedName name="EstCost_4_16_5">#REF!</definedName>
    <definedName name="EstCost_4_17">NA()</definedName>
    <definedName name="EstCost_4_17_3">NA()</definedName>
    <definedName name="EstCost_4_17_3_5">#REF!</definedName>
    <definedName name="EstCost_4_17_5">#REF!</definedName>
    <definedName name="EstCost_4_18">NA()</definedName>
    <definedName name="EstCost_4_18_1">NA()</definedName>
    <definedName name="EstCost_4_18_1_5">#REF!</definedName>
    <definedName name="EstCost_4_18_5">#REF!</definedName>
    <definedName name="EstCost_4_19">NA()</definedName>
    <definedName name="EstCost_4_19_5">#REF!</definedName>
    <definedName name="EstCost_4_20">NA()</definedName>
    <definedName name="EstCost_4_20_3">NA()</definedName>
    <definedName name="EstCost_4_20_3_5">#REF!</definedName>
    <definedName name="EstCost_4_20_5">#REF!</definedName>
    <definedName name="EstCost_4_21">NA()</definedName>
    <definedName name="EstCost_4_21_1">NA()</definedName>
    <definedName name="EstCost_4_21_1_3">NA()</definedName>
    <definedName name="EstCost_4_21_1_3_5">#REF!</definedName>
    <definedName name="EstCost_4_21_1_5">#REF!</definedName>
    <definedName name="EstCost_4_21_5">#REF!</definedName>
    <definedName name="EstCost_4_22">NA()</definedName>
    <definedName name="EstCost_4_22_3">NA()</definedName>
    <definedName name="EstCost_4_22_3_5">#REF!</definedName>
    <definedName name="EstCost_4_22_5">#REF!</definedName>
    <definedName name="EstCost_4_23">NA()</definedName>
    <definedName name="EstCost_4_23_3">NA()</definedName>
    <definedName name="EstCost_4_23_3_5">#REF!</definedName>
    <definedName name="EstCost_4_23_5">#REF!</definedName>
    <definedName name="EstCost_4_24">NA()</definedName>
    <definedName name="EstCost_4_24_3">NA()</definedName>
    <definedName name="EstCost_4_24_3_5">#REF!</definedName>
    <definedName name="EstCost_4_24_5">#REF!</definedName>
    <definedName name="EstCost_4_25">NA()</definedName>
    <definedName name="EstCost_4_25_3">NA()</definedName>
    <definedName name="EstCost_4_25_3_5">#REF!</definedName>
    <definedName name="EstCost_4_25_5">#REF!</definedName>
    <definedName name="EstCost_4_26">NA()</definedName>
    <definedName name="EstCost_4_26_3">NA()</definedName>
    <definedName name="EstCost_4_26_3_5">#REF!</definedName>
    <definedName name="EstCost_4_26_5">#REF!</definedName>
    <definedName name="EstCost_4_27">NA()</definedName>
    <definedName name="EstCost_4_27_3">NA()</definedName>
    <definedName name="EstCost_4_27_3_5">#REF!</definedName>
    <definedName name="EstCost_4_27_5">#REF!</definedName>
    <definedName name="EstCost_4_28">NA()</definedName>
    <definedName name="EstCost_4_28_3">NA()</definedName>
    <definedName name="EstCost_4_28_3_5">#REF!</definedName>
    <definedName name="EstCost_4_28_5">#REF!</definedName>
    <definedName name="EstCost_4_5">#REF!</definedName>
    <definedName name="EstCost_4_6">NA()</definedName>
    <definedName name="EstCost_4_6_3">NA()</definedName>
    <definedName name="EstCost_4_6_3_5">#REF!</definedName>
    <definedName name="EstCost_4_6_5">#REF!</definedName>
    <definedName name="EstCost_4_7">NA()</definedName>
    <definedName name="EstCost_4_7_3">NA()</definedName>
    <definedName name="EstCost_4_7_3_5">#REF!</definedName>
    <definedName name="EstCost_4_7_5">#REF!</definedName>
    <definedName name="EstCost_4_8">NA()</definedName>
    <definedName name="EstCost_4_8_3">NA()</definedName>
    <definedName name="EstCost_4_8_3_5">#REF!</definedName>
    <definedName name="EstCost_4_8_5">#REF!</definedName>
    <definedName name="EstCost_4_9">NA()</definedName>
    <definedName name="EstCost_4_9_3">NA()</definedName>
    <definedName name="EstCost_4_9_3_5">#REF!</definedName>
    <definedName name="EstCost_4_9_5">#REF!</definedName>
    <definedName name="EstCost_5">#REF!</definedName>
    <definedName name="EstCost_5_1">NA()</definedName>
    <definedName name="EstCost_5_17">NA()</definedName>
    <definedName name="EstCost_5_17_3">NA()</definedName>
    <definedName name="EstCost_5_17_3_5">#REF!</definedName>
    <definedName name="EstCost_5_17_5">#REF!</definedName>
    <definedName name="EstCost_5_28">NA()</definedName>
    <definedName name="EstCost_5_28_3">NA()</definedName>
    <definedName name="EstCost_5_28_3_5">#REF!</definedName>
    <definedName name="EstCost_5_28_5">#REF!</definedName>
    <definedName name="EstCost_5_3">NA()</definedName>
    <definedName name="EstCost_5_3_5">#REF!</definedName>
    <definedName name="EstCost_5_5">#REF!</definedName>
    <definedName name="EstCost_5_6">NA()</definedName>
    <definedName name="EstCost_5_6_3">NA()</definedName>
    <definedName name="EstCost_5_6_3_5">#REF!</definedName>
    <definedName name="EstCost_5_6_5">#REF!</definedName>
    <definedName name="EstCost_6">NA()</definedName>
    <definedName name="EstCost_6_1">NA()</definedName>
    <definedName name="EstCost_6_1_5">#REF!</definedName>
    <definedName name="EstCost_6_10">NA()</definedName>
    <definedName name="EstCost_6_10_3">NA()</definedName>
    <definedName name="EstCost_6_10_3_5">#REF!</definedName>
    <definedName name="EstCost_6_10_5">#REF!</definedName>
    <definedName name="EstCost_6_12">NA()</definedName>
    <definedName name="EstCost_6_12_3">NA()</definedName>
    <definedName name="EstCost_6_12_3_5">#REF!</definedName>
    <definedName name="EstCost_6_12_5">#REF!</definedName>
    <definedName name="EstCost_6_13">NA()</definedName>
    <definedName name="EstCost_6_13_3">NA()</definedName>
    <definedName name="EstCost_6_13_3_5">#REF!</definedName>
    <definedName name="EstCost_6_13_5">#REF!</definedName>
    <definedName name="EstCost_6_14">NA()</definedName>
    <definedName name="EstCost_6_14_3">NA()</definedName>
    <definedName name="EstCost_6_14_3_5">#REF!</definedName>
    <definedName name="EstCost_6_14_5">#REF!</definedName>
    <definedName name="EstCost_6_15">NA()</definedName>
    <definedName name="EstCost_6_15_3">NA()</definedName>
    <definedName name="EstCost_6_15_3_5">#REF!</definedName>
    <definedName name="EstCost_6_15_5">#REF!</definedName>
    <definedName name="EstCost_6_16">NA()</definedName>
    <definedName name="EstCost_6_16_3">NA()</definedName>
    <definedName name="EstCost_6_16_3_5">#REF!</definedName>
    <definedName name="EstCost_6_16_5">#REF!</definedName>
    <definedName name="EstCost_6_17">NA()</definedName>
    <definedName name="EstCost_6_17_3">NA()</definedName>
    <definedName name="EstCost_6_17_3_5">#REF!</definedName>
    <definedName name="EstCost_6_17_5">#REF!</definedName>
    <definedName name="EstCost_6_18">NA()</definedName>
    <definedName name="EstCost_6_18_1">NA()</definedName>
    <definedName name="EstCost_6_18_1_5">#REF!</definedName>
    <definedName name="EstCost_6_18_5">#REF!</definedName>
    <definedName name="EstCost_6_19">NA()</definedName>
    <definedName name="EstCost_6_19_5">#REF!</definedName>
    <definedName name="EstCost_6_20">NA()</definedName>
    <definedName name="EstCost_6_20_3">NA()</definedName>
    <definedName name="EstCost_6_20_3_5">#REF!</definedName>
    <definedName name="EstCost_6_20_5">#REF!</definedName>
    <definedName name="EstCost_6_21">NA()</definedName>
    <definedName name="EstCost_6_21_1">NA()</definedName>
    <definedName name="EstCost_6_21_1_3">NA()</definedName>
    <definedName name="EstCost_6_21_1_3_5">#REF!</definedName>
    <definedName name="EstCost_6_21_1_5">#REF!</definedName>
    <definedName name="EstCost_6_21_5">#REF!</definedName>
    <definedName name="EstCost_6_22">NA()</definedName>
    <definedName name="EstCost_6_22_3">NA()</definedName>
    <definedName name="EstCost_6_22_3_5">#REF!</definedName>
    <definedName name="EstCost_6_22_5">#REF!</definedName>
    <definedName name="EstCost_6_23">NA()</definedName>
    <definedName name="EstCost_6_23_3">NA()</definedName>
    <definedName name="EstCost_6_23_3_5">#REF!</definedName>
    <definedName name="EstCost_6_23_5">#REF!</definedName>
    <definedName name="EstCost_6_24">NA()</definedName>
    <definedName name="EstCost_6_24_3">NA()</definedName>
    <definedName name="EstCost_6_24_3_5">#REF!</definedName>
    <definedName name="EstCost_6_24_5">#REF!</definedName>
    <definedName name="EstCost_6_25">NA()</definedName>
    <definedName name="EstCost_6_25_3">NA()</definedName>
    <definedName name="EstCost_6_25_3_5">#REF!</definedName>
    <definedName name="EstCost_6_25_5">#REF!</definedName>
    <definedName name="EstCost_6_26">NA()</definedName>
    <definedName name="EstCost_6_26_3">NA()</definedName>
    <definedName name="EstCost_6_26_3_5">#REF!</definedName>
    <definedName name="EstCost_6_26_5">#REF!</definedName>
    <definedName name="EstCost_6_27">NA()</definedName>
    <definedName name="EstCost_6_27_3">NA()</definedName>
    <definedName name="EstCost_6_27_3_5">#REF!</definedName>
    <definedName name="EstCost_6_27_5">#REF!</definedName>
    <definedName name="EstCost_6_28">NA()</definedName>
    <definedName name="EstCost_6_28_3">NA()</definedName>
    <definedName name="EstCost_6_28_3_5">#REF!</definedName>
    <definedName name="EstCost_6_28_5">#REF!</definedName>
    <definedName name="EstCost_6_5">#REF!</definedName>
    <definedName name="EstCost_6_6">NA()</definedName>
    <definedName name="EstCost_6_6_3">NA()</definedName>
    <definedName name="EstCost_6_6_3_5">#REF!</definedName>
    <definedName name="EstCost_6_6_5">#REF!</definedName>
    <definedName name="EstCost_6_7">NA()</definedName>
    <definedName name="EstCost_6_7_3">NA()</definedName>
    <definedName name="EstCost_6_7_3_5">#REF!</definedName>
    <definedName name="EstCost_6_7_5">#REF!</definedName>
    <definedName name="EstCost_6_8">NA()</definedName>
    <definedName name="EstCost_6_8_3">NA()</definedName>
    <definedName name="EstCost_6_8_3_5">#REF!</definedName>
    <definedName name="EstCost_6_8_5">#REF!</definedName>
    <definedName name="EstCost_6_9">NA()</definedName>
    <definedName name="EstCost_6_9_1">NA()</definedName>
    <definedName name="EstCost_6_9_1_1">NA()</definedName>
    <definedName name="EstCost_6_9_1_1_3">NA()</definedName>
    <definedName name="EstCost_6_9_1_1_3_5">#REF!</definedName>
    <definedName name="EstCost_6_9_1_1_5">#REF!</definedName>
    <definedName name="EstCost_6_9_1_3">NA()</definedName>
    <definedName name="EstCost_6_9_1_3_5">#REF!</definedName>
    <definedName name="EstCost_6_9_1_5">#REF!</definedName>
    <definedName name="EstCost_6_9_5">#REF!</definedName>
    <definedName name="EstCost_7">NA()</definedName>
    <definedName name="EstCost_7_5">#REF!</definedName>
    <definedName name="EstCost_8">NA()</definedName>
    <definedName name="EstCost_8_3">NA()</definedName>
    <definedName name="EstCost_8_3_5">#REF!</definedName>
    <definedName name="EstCost_8_5">#REF!</definedName>
    <definedName name="EstCost_9">NA()</definedName>
    <definedName name="EstCost_9_3">NA()</definedName>
    <definedName name="EstCost_9_3_5">#REF!</definedName>
    <definedName name="EstCost_9_5">#REF!</definedName>
    <definedName name="estim">'[21]Cost summary'!#REF!</definedName>
    <definedName name="estimate">#REF!</definedName>
    <definedName name="Et">#REF!</definedName>
    <definedName name="Et___0">#REF!</definedName>
    <definedName name="Et___13">#REF!</definedName>
    <definedName name="eu">NA()</definedName>
    <definedName name="eu_1">NA()</definedName>
    <definedName name="eu_1_3">NA()</definedName>
    <definedName name="eu_1_3_5">#REF!</definedName>
    <definedName name="eu_1_5">#REF!</definedName>
    <definedName name="eu_10">NA()</definedName>
    <definedName name="eu_10_5">#REF!</definedName>
    <definedName name="eu_11">NA()</definedName>
    <definedName name="eu_11_1">NA()</definedName>
    <definedName name="eu_11_1_5">#REF!</definedName>
    <definedName name="eu_11_5">#REF!</definedName>
    <definedName name="eu_14">NA()</definedName>
    <definedName name="eu_14_5">#REF!</definedName>
    <definedName name="eu_15">NA()</definedName>
    <definedName name="eu_15_5">#REF!</definedName>
    <definedName name="eu_16">NA()</definedName>
    <definedName name="eu_16_5">#REF!</definedName>
    <definedName name="eu_17">NA()</definedName>
    <definedName name="eu_17_1">NA()</definedName>
    <definedName name="eu_17_1_5">#REF!</definedName>
    <definedName name="eu_17_5">#REF!</definedName>
    <definedName name="eu_18">NA()</definedName>
    <definedName name="eu_18_1">NA()</definedName>
    <definedName name="eu_18_1_5">#REF!</definedName>
    <definedName name="eu_18_5">#REF!</definedName>
    <definedName name="eu_19">NA()</definedName>
    <definedName name="eu_19_5">#REF!</definedName>
    <definedName name="eu_2">NA()</definedName>
    <definedName name="eu_2_5">#REF!</definedName>
    <definedName name="eu_20">NA()</definedName>
    <definedName name="eu_20_5">#REF!</definedName>
    <definedName name="eu_21">NA()</definedName>
    <definedName name="eu_21_1">NA()</definedName>
    <definedName name="eu_21_1_5">#REF!</definedName>
    <definedName name="eu_21_5">#REF!</definedName>
    <definedName name="eu_26">NA()</definedName>
    <definedName name="eu_26_5">#REF!</definedName>
    <definedName name="eu_27">NA()</definedName>
    <definedName name="eu_27_5">#REF!</definedName>
    <definedName name="eu_28">NA()</definedName>
    <definedName name="eu_28_5">#REF!</definedName>
    <definedName name="eu_29">NA()</definedName>
    <definedName name="eu_29_5">#REF!</definedName>
    <definedName name="eu_3">NA()</definedName>
    <definedName name="eu_3_5">#REF!</definedName>
    <definedName name="eu_4">NA()</definedName>
    <definedName name="eu_4_1">NA()</definedName>
    <definedName name="eu_4_1_1">NA()</definedName>
    <definedName name="eu_4_1_1_1">NA()</definedName>
    <definedName name="eu_4_1_1_1_1">NA()</definedName>
    <definedName name="eu_4_1_1_1_1_1">NA()</definedName>
    <definedName name="eu_4_1_1_1_1_1_5">#REF!</definedName>
    <definedName name="eu_4_1_1_1_1_5">#REF!</definedName>
    <definedName name="eu_4_1_1_1_5">#REF!</definedName>
    <definedName name="eu_4_1_1_5">#REF!</definedName>
    <definedName name="eu_4_1_5">#REF!</definedName>
    <definedName name="eu_4_18">NA()</definedName>
    <definedName name="eu_4_18_1">NA()</definedName>
    <definedName name="eu_4_18_1_5">#REF!</definedName>
    <definedName name="eu_4_18_5">#REF!</definedName>
    <definedName name="eu_4_21">NA()</definedName>
    <definedName name="eu_4_21_5">#REF!</definedName>
    <definedName name="eu_4_5">#REF!</definedName>
    <definedName name="eu_5">#REF!</definedName>
    <definedName name="eu_5_1">NA()</definedName>
    <definedName name="eu_5_5">#REF!</definedName>
    <definedName name="eu_6">NA()</definedName>
    <definedName name="eu_6_1">NA()</definedName>
    <definedName name="eu_6_1_5">#REF!</definedName>
    <definedName name="eu_6_18">NA()</definedName>
    <definedName name="eu_6_18_1">NA()</definedName>
    <definedName name="eu_6_18_1_5">#REF!</definedName>
    <definedName name="eu_6_18_5">#REF!</definedName>
    <definedName name="eu_6_21">NA()</definedName>
    <definedName name="eu_6_21_5">#REF!</definedName>
    <definedName name="eu_6_5">#REF!</definedName>
    <definedName name="eu_7">NA()</definedName>
    <definedName name="eu_7_5">#REF!</definedName>
    <definedName name="EUR">NA()</definedName>
    <definedName name="EUR_5">#REF!</definedName>
    <definedName name="euro" hidden="1">{#N/A,#N/A,TRUE,"Front";#N/A,#N/A,TRUE,"Simple Letter";#N/A,#N/A,TRUE,"Inside";#N/A,#N/A,TRUE,"Contents";#N/A,#N/A,TRUE,"Basis";#N/A,#N/A,TRUE,"Inclusions";#N/A,#N/A,TRUE,"Exclusions";#N/A,#N/A,TRUE,"Areas";#N/A,#N/A,TRUE,"Summary";#N/A,#N/A,TRUE,"Detail"}</definedName>
    <definedName name="euronet" hidden="1">{#N/A,#N/A,TRUE,"Front";#N/A,#N/A,TRUE,"Simple Letter";#N/A,#N/A,TRUE,"Inside";#N/A,#N/A,TRUE,"Contents";#N/A,#N/A,TRUE,"Basis";#N/A,#N/A,TRUE,"Inclusions";#N/A,#N/A,TRUE,"Exclusions";#N/A,#N/A,TRUE,"Areas";#N/A,#N/A,TRUE,"Summary";#N/A,#N/A,TRUE,"Detail"}</definedName>
    <definedName name="ew">#REF!</definedName>
    <definedName name="eweew">#REF!</definedName>
    <definedName name="ewexcavate_dewater">#REF!</definedName>
    <definedName name="ewfilling">#REF!</definedName>
    <definedName name="ewfillingO">#REF!</definedName>
    <definedName name="ex">#REF!</definedName>
    <definedName name="exc">[22]labour!$C$7</definedName>
    <definedName name="excav">#REF!</definedName>
    <definedName name="Excavation">#REF!</definedName>
    <definedName name="excavator">#REF!</definedName>
    <definedName name="excavnosculvert">#REF!</definedName>
    <definedName name="excel">#REF!</definedName>
    <definedName name="Excel_1">#REF!</definedName>
    <definedName name="Excel_BuiltIn__FilterDatabase">#REF!</definedName>
    <definedName name="Excel_BuiltIn__FilterDatabase_1">#REF!</definedName>
    <definedName name="Excel_BuiltIn__FilterDatabase_2">#REF!</definedName>
    <definedName name="Excel_BuiltIn__FilterDatabase_2_1">#REF!</definedName>
    <definedName name="Excel_BuiltIn__FilterDatabase_2_1_1">NA()</definedName>
    <definedName name="Excel_BuiltIn__FilterDatabase_2_5">#REF!</definedName>
    <definedName name="Excel_BuiltIn__FilterDatabase_2_6">#REF!</definedName>
    <definedName name="Excel_BuiltIn__FilterDatabase_3">#REF!</definedName>
    <definedName name="Excel_BuiltIn__FilterDatabase_4">#REF!</definedName>
    <definedName name="Excel_BuiltIn__FilterDatabase_4_1">NA()</definedName>
    <definedName name="Excel_BuiltIn__FilterDatabase_5">#REF!</definedName>
    <definedName name="Excel_BuiltIn__FilterDatabase_5_1">NA()</definedName>
    <definedName name="Excel_BuiltIn__FilterDatabase_7">"$#REF!.$H$5:$J$6"</definedName>
    <definedName name="Excel_BuiltIn__FilterDatabase_9">"$#REF!.$#REF!$#REF!:$#REF!$#REF!"</definedName>
    <definedName name="Excel_BuiltIn_Database">#REF!</definedName>
    <definedName name="Excel_BuiltIn_Database_5">#REF!</definedName>
    <definedName name="Excel_BuiltIn_Print_Area">#REF!</definedName>
    <definedName name="Excel_BuiltIn_Print_Area_1">#REF!</definedName>
    <definedName name="Excel_BuiltIn_Print_Area_1_1">NA()</definedName>
    <definedName name="Excel_BuiltIn_Print_Area_1_1_1">NA()</definedName>
    <definedName name="Excel_BuiltIn_Print_Area_1_1_1_1">NA()</definedName>
    <definedName name="Excel_BuiltIn_Print_Area_1_1_1_1_1">NA()</definedName>
    <definedName name="Excel_BuiltIn_Print_Area_1_1_1_1_1_1">NA()</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"$#REF!.$A$1:$G$90"</definedName>
    <definedName name="Excel_BuiltIn_Print_Area_1_1_1_1_1_1_1_1_1_1_1_1">"$#REF!.$A$1:$G$229"</definedName>
    <definedName name="Excel_BuiltIn_Print_Area_1_1_1_1_1_1_1_1_1_1_1_1_1">"$#REF!.$A$1:$G$154"</definedName>
    <definedName name="Excel_BuiltIn_Print_Area_1_1_1_1_1_1_1_1_1_1_1_1_1_1">"$#REF!.$A$1:$E$154"</definedName>
    <definedName name="Excel_BuiltIn_Print_Area_1_1_1_1_1_1_1_1_1_1_1_1_1_1_1">"$#REF!.$A$1:$E$154"</definedName>
    <definedName name="Excel_BuiltIn_Print_Area_1_1_1_1_1_1_1_1_1_1_1_1_1_1_1_1">"$#REF!.$A$1:$G$154"</definedName>
    <definedName name="Excel_BuiltIn_Print_Area_1_1_1_1_1_1_1_1_1_1_1_1_1_1_1_1_1">"$#REF!.$A$1:$E$154"</definedName>
    <definedName name="Excel_BuiltIn_Print_Area_1_1_1_1_1_1_1_1_1_1_1_2">"$#REF!.$A$1:$G$90"</definedName>
    <definedName name="Excel_BuiltIn_Print_Area_1_1_1_1_1_1_1_1_1_1_2">NA()</definedName>
    <definedName name="Excel_BuiltIn_Print_Area_1_1_1_1_1_1_1_1_1_1_3">#REF!</definedName>
    <definedName name="Excel_BuiltIn_Print_Area_1_1_1_1_1_1_1_1_1_1_3_1">NA()</definedName>
    <definedName name="Excel_BuiltIn_Print_Area_1_1_1_1_1_1_1_1_1_1_3_1_1">NA()</definedName>
    <definedName name="Excel_BuiltIn_Print_Area_1_1_1_1_1_1_1_1_1_1_3_4">#REF!</definedName>
    <definedName name="Excel_BuiltIn_Print_Area_1_1_1_1_1_1_1_1_1_1_3_5">#REF!</definedName>
    <definedName name="Excel_BuiltIn_Print_Area_1_1_1_1_1_1_1_1_1_1_3_5_1">#REF!</definedName>
    <definedName name="Excel_BuiltIn_Print_Area_1_1_1_1_1_1_1_1_1_1_3_5_4">#REF!</definedName>
    <definedName name="Excel_BuiltIn_Print_Area_1_1_1_1_1_1_1_1_1_1_3_5_5">#REF!</definedName>
    <definedName name="Excel_BuiltIn_Print_Area_1_1_1_1_1_1_1_1_1_1_4">#REF!</definedName>
    <definedName name="Excel_BuiltIn_Print_Area_1_1_1_1_1_1_1_1_1_1_4_1">#REF!</definedName>
    <definedName name="Excel_BuiltIn_Print_Area_1_1_1_1_1_1_1_1_1_1_4_1_1">NA()</definedName>
    <definedName name="Excel_BuiltIn_Print_Area_1_1_1_1_1_1_1_1_1_1_4_4">#REF!</definedName>
    <definedName name="Excel_BuiltIn_Print_Area_1_1_1_1_1_1_1_1_1_1_4_5">#REF!</definedName>
    <definedName name="Excel_BuiltIn_Print_Area_1_1_1_1_1_1_1_1_1_1_4_5_1">#REF!</definedName>
    <definedName name="Excel_BuiltIn_Print_Area_1_1_1_1_1_1_1_1_1_1_4_5_4">#REF!</definedName>
    <definedName name="Excel_BuiltIn_Print_Area_1_1_1_1_1_1_1_1_1_1_4_5_5">#REF!</definedName>
    <definedName name="Excel_BuiltIn_Print_Area_1_1_1_1_1_1_1_1_1_1_5">#REF!</definedName>
    <definedName name="Excel_BuiltIn_Print_Area_1_1_1_1_1_1_1_1_1_1_5_1">#REF!</definedName>
    <definedName name="Excel_BuiltIn_Print_Area_1_1_1_1_1_1_1_1_1_1_5_1_1">NA()</definedName>
    <definedName name="Excel_BuiltIn_Print_Area_1_1_1_1_1_1_1_1_1_1_5_1_2">NA()</definedName>
    <definedName name="Excel_BuiltIn_Print_Area_1_1_1_1_1_1_1_1_1_1_5_1_4">#REF!</definedName>
    <definedName name="Excel_BuiltIn_Print_Area_1_1_1_1_1_1_1_1_1_1_5_1_5">#REF!</definedName>
    <definedName name="Excel_BuiltIn_Print_Area_1_1_1_1_1_1_1_1_1_1_5_4">#REF!</definedName>
    <definedName name="Excel_BuiltIn_Print_Area_1_1_1_1_1_1_1_1_1_1_5_5">#REF!</definedName>
    <definedName name="Excel_BuiltIn_Print_Area_1_1_1_1_1_1_1_1_1_1_5_5_1">#REF!</definedName>
    <definedName name="Excel_BuiltIn_Print_Area_1_1_1_1_1_1_1_1_1_1_5_5_4">#REF!</definedName>
    <definedName name="Excel_BuiltIn_Print_Area_1_1_1_1_1_1_1_1_1_1_5_5_5">#REF!</definedName>
    <definedName name="Excel_BuiltIn_Print_Area_1_1_1_1_1_1_1_1_1_1_8">#REF!</definedName>
    <definedName name="Excel_BuiltIn_Print_Area_1_1_1_1_1_1_1_1_1_1_8_1">NA()</definedName>
    <definedName name="Excel_BuiltIn_Print_Area_1_1_1_1_1_1_1_1_1_1_8_1_1">NA()</definedName>
    <definedName name="Excel_BuiltIn_Print_Area_1_1_1_1_1_1_1_1_1_1_8_4">#REF!</definedName>
    <definedName name="Excel_BuiltIn_Print_Area_1_1_1_1_1_1_1_1_1_1_8_5">#REF!</definedName>
    <definedName name="Excel_BuiltIn_Print_Area_1_1_1_1_1_1_1_1_1_1_8_5_1">#REF!</definedName>
    <definedName name="Excel_BuiltIn_Print_Area_1_1_1_1_1_1_1_1_1_1_8_5_4">#REF!</definedName>
    <definedName name="Excel_BuiltIn_Print_Area_1_1_1_1_1_1_1_1_1_1_8_5_5">#REF!</definedName>
    <definedName name="Excel_BuiltIn_Print_Area_1_1_1_1_1_1_1_1_1_2">NA()</definedName>
    <definedName name="Excel_BuiltIn_Print_Area_1_1_1_1_1_1_1_1_1_3">#REF!</definedName>
    <definedName name="Excel_BuiltIn_Print_Area_1_1_1_1_1_1_1_1_1_3_1">NA()</definedName>
    <definedName name="Excel_BuiltIn_Print_Area_1_1_1_1_1_1_1_1_1_3_1_1">NA()</definedName>
    <definedName name="Excel_BuiltIn_Print_Area_1_1_1_1_1_1_1_1_1_3_4">#REF!</definedName>
    <definedName name="Excel_BuiltIn_Print_Area_1_1_1_1_1_1_1_1_1_3_5">#REF!</definedName>
    <definedName name="Excel_BuiltIn_Print_Area_1_1_1_1_1_1_1_1_1_3_5_1">#REF!</definedName>
    <definedName name="Excel_BuiltIn_Print_Area_1_1_1_1_1_1_1_1_1_3_5_4">#REF!</definedName>
    <definedName name="Excel_BuiltIn_Print_Area_1_1_1_1_1_1_1_1_1_3_5_5">#REF!</definedName>
    <definedName name="Excel_BuiltIn_Print_Area_1_1_1_1_1_1_1_1_1_4">#REF!</definedName>
    <definedName name="Excel_BuiltIn_Print_Area_1_1_1_1_1_1_1_1_1_4_1">#REF!</definedName>
    <definedName name="Excel_BuiltIn_Print_Area_1_1_1_1_1_1_1_1_1_4_1_1">NA()</definedName>
    <definedName name="Excel_BuiltIn_Print_Area_1_1_1_1_1_1_1_1_1_4_4">#REF!</definedName>
    <definedName name="Excel_BuiltIn_Print_Area_1_1_1_1_1_1_1_1_1_4_5">#REF!</definedName>
    <definedName name="Excel_BuiltIn_Print_Area_1_1_1_1_1_1_1_1_1_4_5_1">#REF!</definedName>
    <definedName name="Excel_BuiltIn_Print_Area_1_1_1_1_1_1_1_1_1_4_5_4">#REF!</definedName>
    <definedName name="Excel_BuiltIn_Print_Area_1_1_1_1_1_1_1_1_1_4_5_5">#REF!</definedName>
    <definedName name="Excel_BuiltIn_Print_Area_1_1_1_1_1_1_1_1_1_5">#REF!</definedName>
    <definedName name="Excel_BuiltIn_Print_Area_1_1_1_1_1_1_1_1_1_5_1">#REF!</definedName>
    <definedName name="Excel_BuiltIn_Print_Area_1_1_1_1_1_1_1_1_1_5_1_1">NA()</definedName>
    <definedName name="Excel_BuiltIn_Print_Area_1_1_1_1_1_1_1_1_1_5_1_2">NA()</definedName>
    <definedName name="Excel_BuiltIn_Print_Area_1_1_1_1_1_1_1_1_1_5_1_4">#REF!</definedName>
    <definedName name="Excel_BuiltIn_Print_Area_1_1_1_1_1_1_1_1_1_5_1_5">#REF!</definedName>
    <definedName name="Excel_BuiltIn_Print_Area_1_1_1_1_1_1_1_1_1_5_4">#REF!</definedName>
    <definedName name="Excel_BuiltIn_Print_Area_1_1_1_1_1_1_1_1_1_5_5">#REF!</definedName>
    <definedName name="Excel_BuiltIn_Print_Area_1_1_1_1_1_1_1_1_1_5_5_1">#REF!</definedName>
    <definedName name="Excel_BuiltIn_Print_Area_1_1_1_1_1_1_1_1_1_5_5_4">#REF!</definedName>
    <definedName name="Excel_BuiltIn_Print_Area_1_1_1_1_1_1_1_1_1_5_5_5">#REF!</definedName>
    <definedName name="Excel_BuiltIn_Print_Area_1_1_1_1_1_1_1_1_1_8">#REF!</definedName>
    <definedName name="Excel_BuiltIn_Print_Area_1_1_1_1_1_1_1_1_1_8_1">NA()</definedName>
    <definedName name="Excel_BuiltIn_Print_Area_1_1_1_1_1_1_1_1_1_8_1_1">NA()</definedName>
    <definedName name="Excel_BuiltIn_Print_Area_1_1_1_1_1_1_1_1_1_8_4">#REF!</definedName>
    <definedName name="Excel_BuiltIn_Print_Area_1_1_1_1_1_1_1_1_1_8_5">#REF!</definedName>
    <definedName name="Excel_BuiltIn_Print_Area_1_1_1_1_1_1_1_1_1_8_5_1">#REF!</definedName>
    <definedName name="Excel_BuiltIn_Print_Area_1_1_1_1_1_1_1_1_1_8_5_4">#REF!</definedName>
    <definedName name="Excel_BuiltIn_Print_Area_1_1_1_1_1_1_1_1_1_8_5_5">#REF!</definedName>
    <definedName name="Excel_BuiltIn_Print_Area_1_1_1_1_1_1_1_1_2">NA()</definedName>
    <definedName name="Excel_BuiltIn_Print_Area_1_1_1_1_1_1_1_2">NA()</definedName>
    <definedName name="Excel_BuiltIn_Print_Area_1_1_1_1_1_1_1_8">#REF!</definedName>
    <definedName name="Excel_BuiltIn_Print_Area_1_1_1_1_1_1_2">NA()</definedName>
    <definedName name="Excel_BuiltIn_Print_Area_1_1_1_1_1_1_3">"$#REF!.$A$1:$E$154"</definedName>
    <definedName name="Excel_BuiltIn_Print_Area_1_1_1_1_1_1_5">#REF!</definedName>
    <definedName name="Excel_BuiltIn_Print_Area_1_1_1_1_1_2">NA()</definedName>
    <definedName name="Excel_BuiltIn_Print_Area_1_1_1_1_1_2_1">NA()</definedName>
    <definedName name="Excel_BuiltIn_Print_Area_1_1_1_1_1_3">#REF!</definedName>
    <definedName name="Excel_BuiltIn_Print_Area_1_1_1_1_1_4">NA()</definedName>
    <definedName name="Excel_BuiltIn_Print_Area_1_1_1_1_1_5">#REF!</definedName>
    <definedName name="Excel_BuiltIn_Print_Area_1_1_1_1_2">NA()</definedName>
    <definedName name="Excel_BuiltIn_Print_Area_1_1_1_1_2_1">"$#REF!.$A$1:$G$229"</definedName>
    <definedName name="Excel_BuiltIn_Print_Area_1_1_1_1_2_1_1">NA()</definedName>
    <definedName name="Excel_BuiltIn_Print_Area_1_1_1_1_2_5">#REF!</definedName>
    <definedName name="Excel_BuiltIn_Print_Area_1_1_1_1_3">NA()</definedName>
    <definedName name="Excel_BuiltIn_Print_Area_1_1_1_1_4">"$#REF!.$A$1:$G$229"</definedName>
    <definedName name="Excel_BuiltIn_Print_Area_1_1_1_1_5">#REF!</definedName>
    <definedName name="Excel_BuiltIn_Print_Area_1_1_1_1_6">#REF!</definedName>
    <definedName name="Excel_BuiltIn_Print_Area_1_1_1_1_6_1">NA()</definedName>
    <definedName name="Excel_BuiltIn_Print_Area_1_1_1_1_8">"$#REF!.$A$1:$G$229"</definedName>
    <definedName name="Excel_BuiltIn_Print_Area_1_1_1_2">NA()</definedName>
    <definedName name="Excel_BuiltIn_Print_Area_1_1_1_2_1">#REF!</definedName>
    <definedName name="Excel_BuiltIn_Print_Area_1_1_1_2_1_1">#REF!</definedName>
    <definedName name="Excel_BuiltIn_Print_Area_1_1_1_2_2">NA()</definedName>
    <definedName name="Excel_BuiltIn_Print_Area_1_1_1_2_3">NA()</definedName>
    <definedName name="Excel_BuiltIn_Print_Area_1_1_1_2_3_5">#REF!</definedName>
    <definedName name="Excel_BuiltIn_Print_Area_1_1_1_2_5">#REF!</definedName>
    <definedName name="Excel_BuiltIn_Print_Area_1_1_1_3">NA()</definedName>
    <definedName name="Excel_BuiltIn_Print_Area_1_1_1_3_5">#REF!</definedName>
    <definedName name="Excel_BuiltIn_Print_Area_1_1_1_4">NA()</definedName>
    <definedName name="Excel_BuiltIn_Print_Area_1_1_1_4_1">NA()</definedName>
    <definedName name="Excel_BuiltIn_Print_Area_1_1_1_5">#N/A</definedName>
    <definedName name="Excel_BuiltIn_Print_Area_1_1_1_6">#N/A</definedName>
    <definedName name="Excel_BuiltIn_Print_Area_1_1_1_6_1">#REF!</definedName>
    <definedName name="Excel_BuiltIn_Print_Area_1_1_1_7">#N/A</definedName>
    <definedName name="Excel_BuiltIn_Print_Area_1_1_1_8">NA()</definedName>
    <definedName name="Excel_BuiltIn_Print_Area_1_1_1_9">#REF!</definedName>
    <definedName name="Excel_BuiltIn_Print_Area_1_1_10">NA()</definedName>
    <definedName name="Excel_BuiltIn_Print_Area_1_1_10_5">#REF!</definedName>
    <definedName name="Excel_BuiltIn_Print_Area_1_1_12">NA()</definedName>
    <definedName name="Excel_BuiltIn_Print_Area_1_1_12_5">#REF!</definedName>
    <definedName name="Excel_BuiltIn_Print_Area_1_1_13">NA()</definedName>
    <definedName name="Excel_BuiltIn_Print_Area_1_1_13_5">#REF!</definedName>
    <definedName name="Excel_BuiltIn_Print_Area_1_1_14">NA()</definedName>
    <definedName name="Excel_BuiltIn_Print_Area_1_1_14_5">#REF!</definedName>
    <definedName name="Excel_BuiltIn_Print_Area_1_1_15">NA()</definedName>
    <definedName name="Excel_BuiltIn_Print_Area_1_1_15_5">#REF!</definedName>
    <definedName name="Excel_BuiltIn_Print_Area_1_1_16">NA()</definedName>
    <definedName name="Excel_BuiltIn_Print_Area_1_1_16_5">#REF!</definedName>
    <definedName name="Excel_BuiltIn_Print_Area_1_1_17">NA()</definedName>
    <definedName name="Excel_BuiltIn_Print_Area_1_1_17_1">NA()</definedName>
    <definedName name="Excel_BuiltIn_Print_Area_1_1_17_1_5">#REF!</definedName>
    <definedName name="Excel_BuiltIn_Print_Area_1_1_17_5">#REF!</definedName>
    <definedName name="Excel_BuiltIn_Print_Area_1_1_18">NA()</definedName>
    <definedName name="Excel_BuiltIn_Print_Area_1_1_18_1">NA()</definedName>
    <definedName name="Excel_BuiltIn_Print_Area_1_1_18_1_5">#REF!</definedName>
    <definedName name="Excel_BuiltIn_Print_Area_1_1_18_5">#REF!</definedName>
    <definedName name="Excel_BuiltIn_Print_Area_1_1_19">NA()</definedName>
    <definedName name="Excel_BuiltIn_Print_Area_1_1_19_5">#REF!</definedName>
    <definedName name="Excel_BuiltIn_Print_Area_1_1_2">#REF!</definedName>
    <definedName name="Excel_BuiltIn_Print_Area_1_1_2_1">NA()</definedName>
    <definedName name="Excel_BuiltIn_Print_Area_1_1_2_1_1">NA()</definedName>
    <definedName name="Excel_BuiltIn_Print_Area_1_1_2_1_1_1">NA()</definedName>
    <definedName name="Excel_BuiltIn_Print_Area_1_1_2_1_1_1_1">NA()</definedName>
    <definedName name="Excel_BuiltIn_Print_Area_1_1_2_1_1_1_3">NA()</definedName>
    <definedName name="Excel_BuiltIn_Print_Area_1_1_2_1_1_1_3_1">NA()</definedName>
    <definedName name="Excel_BuiltIn_Print_Area_1_1_2_1_1_1_3_5">#REF!</definedName>
    <definedName name="Excel_BuiltIn_Print_Area_1_1_2_1_1_1_5">#REF!</definedName>
    <definedName name="Excel_BuiltIn_Print_Area_1_1_2_1_1_3">NA()</definedName>
    <definedName name="Excel_BuiltIn_Print_Area_1_1_2_1_2">NA()</definedName>
    <definedName name="Excel_BuiltIn_Print_Area_1_1_2_1_2_3">NA()</definedName>
    <definedName name="Excel_BuiltIn_Print_Area_1_1_2_1_3">NA()</definedName>
    <definedName name="Excel_BuiltIn_Print_Area_1_1_2_1_3_5">#REF!</definedName>
    <definedName name="Excel_BuiltIn_Print_Area_1_1_2_1_5">#REF!</definedName>
    <definedName name="Excel_BuiltIn_Print_Area_1_1_2_2">NA()</definedName>
    <definedName name="Excel_BuiltIn_Print_Area_1_1_2_2_3">NA()</definedName>
    <definedName name="Excel_BuiltIn_Print_Area_1_1_20">NA()</definedName>
    <definedName name="Excel_BuiltIn_Print_Area_1_1_20_5">#REF!</definedName>
    <definedName name="Excel_BuiltIn_Print_Area_1_1_21">NA()</definedName>
    <definedName name="Excel_BuiltIn_Print_Area_1_1_21_1">NA()</definedName>
    <definedName name="Excel_BuiltIn_Print_Area_1_1_21_1_5">#REF!</definedName>
    <definedName name="Excel_BuiltIn_Print_Area_1_1_21_5">#REF!</definedName>
    <definedName name="Excel_BuiltIn_Print_Area_1_1_22">NA()</definedName>
    <definedName name="Excel_BuiltIn_Print_Area_1_1_22_5">#REF!</definedName>
    <definedName name="Excel_BuiltIn_Print_Area_1_1_23">NA()</definedName>
    <definedName name="Excel_BuiltIn_Print_Area_1_1_23_5">#REF!</definedName>
    <definedName name="Excel_BuiltIn_Print_Area_1_1_24">NA()</definedName>
    <definedName name="Excel_BuiltIn_Print_Area_1_1_24_5">#REF!</definedName>
    <definedName name="Excel_BuiltIn_Print_Area_1_1_25">NA()</definedName>
    <definedName name="Excel_BuiltIn_Print_Area_1_1_25_5">#REF!</definedName>
    <definedName name="Excel_BuiltIn_Print_Area_1_1_26">NA()</definedName>
    <definedName name="Excel_BuiltIn_Print_Area_1_1_26_5">#REF!</definedName>
    <definedName name="Excel_BuiltIn_Print_Area_1_1_27">NA()</definedName>
    <definedName name="Excel_BuiltIn_Print_Area_1_1_27_5">#REF!</definedName>
    <definedName name="Excel_BuiltIn_Print_Area_1_1_28">NA()</definedName>
    <definedName name="Excel_BuiltIn_Print_Area_1_1_28_1">NA()</definedName>
    <definedName name="Excel_BuiltIn_Print_Area_1_1_28_1_5">#REF!</definedName>
    <definedName name="Excel_BuiltIn_Print_Area_1_1_28_5">#REF!</definedName>
    <definedName name="Excel_BuiltIn_Print_Area_1_1_3">(#REF!,#REF!)</definedName>
    <definedName name="Excel_BuiltIn_Print_Area_1_1_4">NA()</definedName>
    <definedName name="Excel_BuiltIn_Print_Area_1_1_4_1">NA()</definedName>
    <definedName name="Excel_BuiltIn_Print_Area_1_1_5">#N/A</definedName>
    <definedName name="Excel_BuiltIn_Print_Area_1_1_6">NA()</definedName>
    <definedName name="Excel_BuiltIn_Print_Area_1_1_6_1">NA()</definedName>
    <definedName name="Excel_BuiltIn_Print_Area_1_1_6_1_5">#REF!</definedName>
    <definedName name="Excel_BuiltIn_Print_Area_1_1_6_5">#REF!</definedName>
    <definedName name="Excel_BuiltIn_Print_Area_1_1_7">NA()</definedName>
    <definedName name="Excel_BuiltIn_Print_Area_1_1_7_5">#REF!</definedName>
    <definedName name="Excel_BuiltIn_Print_Area_1_1_8">NA()</definedName>
    <definedName name="Excel_BuiltIn_Print_Area_1_1_8_5">#REF!</definedName>
    <definedName name="Excel_BuiltIn_Print_Area_1_1_9">NA()</definedName>
    <definedName name="Excel_BuiltIn_Print_Area_1_1_9_1">NA()</definedName>
    <definedName name="Excel_BuiltIn_Print_Area_1_1_9_1_1">NA()</definedName>
    <definedName name="Excel_BuiltIn_Print_Area_1_1_9_1_1_5">#REF!</definedName>
    <definedName name="Excel_BuiltIn_Print_Area_1_1_9_1_5">#REF!</definedName>
    <definedName name="Excel_BuiltIn_Print_Area_1_1_9_5">#REF!</definedName>
    <definedName name="Excel_BuiltIn_Print_Area_1_2">NA()</definedName>
    <definedName name="Excel_BuiltIn_Print_Area_1_2_1">NA()</definedName>
    <definedName name="Excel_BuiltIn_Print_Area_1_2_1_1">NA()</definedName>
    <definedName name="Excel_BuiltIn_Print_Area_1_2_1_1_1">#REF!</definedName>
    <definedName name="Excel_BuiltIn_Print_Area_1_2_1_1_1_1">NA()</definedName>
    <definedName name="Excel_BuiltIn_Print_Area_1_2_1_1_5">#REF!</definedName>
    <definedName name="Excel_BuiltIn_Print_Area_1_2_1_5">#REF!</definedName>
    <definedName name="Excel_BuiltIn_Print_Area_1_2_2">NA()</definedName>
    <definedName name="Excel_BuiltIn_Print_Area_1_2_5">#REF!</definedName>
    <definedName name="Excel_BuiltIn_Print_Area_1_3">#REF!</definedName>
    <definedName name="Excel_BuiltIn_Print_Area_1_4">NA()</definedName>
    <definedName name="Excel_BuiltIn_Print_Area_1_5">#REF!</definedName>
    <definedName name="Excel_BuiltIn_Print_Area_1_6">#REF!</definedName>
    <definedName name="Excel_BuiltIn_Print_Area_1_8">NA()</definedName>
    <definedName name="Excel_BuiltIn_Print_Area_1_9">NA()</definedName>
    <definedName name="Excel_BuiltIn_Print_Area_1_9_5">#REF!</definedName>
    <definedName name="Excel_BuiltIn_Print_Area_10">#REF!</definedName>
    <definedName name="Excel_BuiltIn_Print_Area_10_1">#REF!</definedName>
    <definedName name="Excel_BuiltIn_Print_Area_10_1_1">NA()</definedName>
    <definedName name="Excel_BuiltIn_Print_Area_10_1_1_1">NA()</definedName>
    <definedName name="Excel_BuiltIn_Print_Area_10_1_1_1_1">#REF!</definedName>
    <definedName name="Excel_BuiltIn_Print_Area_10_1_1_1_1_1_1">#REF!</definedName>
    <definedName name="Excel_BuiltIn_Print_Area_10_1_1_1_1_1_1_1">#REF!</definedName>
    <definedName name="Excel_BuiltIn_Print_Area_10_1_1_1_1_1_1_1_1">#REF!</definedName>
    <definedName name="Excel_BuiltIn_Print_Area_10_1_1_1_1_1_1_1_1_1">#REF!</definedName>
    <definedName name="Excel_BuiltIn_Print_Area_10_1_5">#REF!</definedName>
    <definedName name="Excel_BuiltIn_Print_Area_11">NA()</definedName>
    <definedName name="Excel_BuiltIn_Print_Area_11_1">#REF!</definedName>
    <definedName name="Excel_BuiltIn_Print_Area_11_1_1">#REF!</definedName>
    <definedName name="Excel_BuiltIn_Print_Area_11_1_1_1">#REF!</definedName>
    <definedName name="Excel_BuiltIn_Print_Area_11_1_1_1_1">#REF!</definedName>
    <definedName name="Excel_BuiltIn_Print_Area_11_1_1_1_1_1">#REF!</definedName>
    <definedName name="Excel_BuiltIn_Print_Area_11_1_1_1_1_1_1_1">#REF!</definedName>
    <definedName name="Excel_BuiltIn_Print_Area_11_1_1_1_1_1_1_1_1">#REF!</definedName>
    <definedName name="Excel_BuiltIn_Print_Area_11_1_8">#REF!</definedName>
    <definedName name="Excel_BuiltIn_Print_Area_11_5">#REF!</definedName>
    <definedName name="Excel_BuiltIn_Print_Area_12">NA()</definedName>
    <definedName name="Excel_BuiltIn_Print_Area_12_1">NA()</definedName>
    <definedName name="Excel_BuiltIn_Print_Area_12_1_1">#REF!</definedName>
    <definedName name="Excel_BuiltIn_Print_Area_12_1_1_1">#REF!</definedName>
    <definedName name="Excel_BuiltIn_Print_Area_12_1_1_1_1_1_1">#REF!</definedName>
    <definedName name="Excel_BuiltIn_Print_Area_12_1_1_1_1_1_1_1">#REF!</definedName>
    <definedName name="Excel_BuiltIn_Print_Area_12_1_5">#REF!</definedName>
    <definedName name="Excel_BuiltIn_Print_Area_12_5">#REF!</definedName>
    <definedName name="Excel_BuiltIn_Print_Area_12_8">#REF!</definedName>
    <definedName name="Excel_BuiltIn_Print_Area_13">NA()</definedName>
    <definedName name="Excel_BuiltIn_Print_Area_13_1">#REF!</definedName>
    <definedName name="Excel_BuiltIn_Print_Area_13_1_1">#REF!</definedName>
    <definedName name="Excel_BuiltIn_Print_Area_13_1_1_1">#REF!</definedName>
    <definedName name="Excel_BuiltIn_Print_Area_13_1_1_1_1">#REF!</definedName>
    <definedName name="Excel_BuiltIn_Print_Area_13_1_1_1_1_1_1_1_1_1_1">#REF!</definedName>
    <definedName name="Excel_BuiltIn_Print_Area_13_1_8">#REF!</definedName>
    <definedName name="Excel_BuiltIn_Print_Area_13_5">#REF!</definedName>
    <definedName name="Excel_BuiltIn_Print_Area_13_8">#REF!</definedName>
    <definedName name="Excel_BuiltIn_Print_Area_14">NA()</definedName>
    <definedName name="Excel_BuiltIn_Print_Area_14_1">NA()</definedName>
    <definedName name="Excel_BuiltIn_Print_Area_14_1_1">#REF!</definedName>
    <definedName name="Excel_BuiltIn_Print_Area_14_1_1_1">#REF!</definedName>
    <definedName name="Excel_BuiltIn_Print_Area_14_1_1_1_8">#REF!</definedName>
    <definedName name="Excel_BuiltIn_Print_Area_14_1_1_8">#REF!</definedName>
    <definedName name="Excel_BuiltIn_Print_Area_14_1_5">#REF!</definedName>
    <definedName name="Excel_BuiltIn_Print_Area_14_5">#REF!</definedName>
    <definedName name="Excel_BuiltIn_Print_Area_14_8">#REF!</definedName>
    <definedName name="Excel_BuiltIn_Print_Area_15">NA()</definedName>
    <definedName name="Excel_BuiltIn_Print_Area_15_1">#REF!</definedName>
    <definedName name="Excel_BuiltIn_Print_Area_15_1_1">#REF!</definedName>
    <definedName name="Excel_BuiltIn_Print_Area_15_1_1_1">#REF!</definedName>
    <definedName name="Excel_BuiltIn_Print_Area_15_1_1_1_1">#REF!</definedName>
    <definedName name="Excel_BuiltIn_Print_Area_15_1_8">#REF!</definedName>
    <definedName name="Excel_BuiltIn_Print_Area_15_5">#REF!</definedName>
    <definedName name="Excel_BuiltIn_Print_Area_16">NA()</definedName>
    <definedName name="Excel_BuiltIn_Print_Area_16_1">#REF!</definedName>
    <definedName name="Excel_BuiltIn_Print_Area_16_1_1">#REF!</definedName>
    <definedName name="Excel_BuiltIn_Print_Area_16_1_1_1">#REF!</definedName>
    <definedName name="Excel_BuiltIn_Print_Area_16_1_8">#REF!</definedName>
    <definedName name="Excel_BuiltIn_Print_Area_16_5">#REF!</definedName>
    <definedName name="Excel_BuiltIn_Print_Area_16_8">#REF!</definedName>
    <definedName name="Excel_BuiltIn_Print_Area_17">NA()</definedName>
    <definedName name="Excel_BuiltIn_Print_Area_17_1">NA()</definedName>
    <definedName name="Excel_BuiltIn_Print_Area_17_1_1">#REF!</definedName>
    <definedName name="Excel_BuiltIn_Print_Area_17_1_5">#REF!</definedName>
    <definedName name="Excel_BuiltIn_Print_Area_17_1_8">#REF!</definedName>
    <definedName name="Excel_BuiltIn_Print_Area_17_5">#REF!</definedName>
    <definedName name="Excel_BuiltIn_Print_Area_17_8">#REF!</definedName>
    <definedName name="Excel_BuiltIn_Print_Area_18">NA()</definedName>
    <definedName name="Excel_BuiltIn_Print_Area_18_1">NA()</definedName>
    <definedName name="Excel_BuiltIn_Print_Area_18_1_1">NA()</definedName>
    <definedName name="Excel_BuiltIn_Print_Area_18_1_1_1">#REF!</definedName>
    <definedName name="Excel_BuiltIn_Print_Area_18_1_1_1_8">#REF!</definedName>
    <definedName name="Excel_BuiltIn_Print_Area_18_1_1_5">#REF!</definedName>
    <definedName name="Excel_BuiltIn_Print_Area_18_1_1_8">#REF!</definedName>
    <definedName name="Excel_BuiltIn_Print_Area_18_1_5">#REF!</definedName>
    <definedName name="Excel_BuiltIn_Print_Area_18_1_8">#REF!</definedName>
    <definedName name="Excel_BuiltIn_Print_Area_18_2">NA()</definedName>
    <definedName name="Excel_BuiltIn_Print_Area_18_2_5">#REF!</definedName>
    <definedName name="Excel_BuiltIn_Print_Area_18_5">#REF!</definedName>
    <definedName name="Excel_BuiltIn_Print_Area_19">NA()</definedName>
    <definedName name="Excel_BuiltIn_Print_Area_19_1">#REF!</definedName>
    <definedName name="Excel_BuiltIn_Print_Area_19_1_1">#REF!</definedName>
    <definedName name="Excel_BuiltIn_Print_Area_19_1_1_1">#REF!</definedName>
    <definedName name="Excel_BuiltIn_Print_Area_19_1_1_1_8">#REF!</definedName>
    <definedName name="Excel_BuiltIn_Print_Area_19_1_1_8">#REF!</definedName>
    <definedName name="Excel_BuiltIn_Print_Area_19_1_8">#REF!</definedName>
    <definedName name="Excel_BuiltIn_Print_Area_19_5">#REF!</definedName>
    <definedName name="Excel_BuiltIn_Print_Area_19_8">#REF!</definedName>
    <definedName name="Excel_BuiltIn_Print_Area_2">#REF!</definedName>
    <definedName name="Excel_BuiltIn_Print_Area_2_1">#REF!</definedName>
    <definedName name="Excel_BuiltIn_Print_Area_2_1_1">NA()</definedName>
    <definedName name="Excel_BuiltIn_Print_Area_2_1_1_1">#REF!</definedName>
    <definedName name="Excel_BuiltIn_Print_Area_2_1_1_1_1">NA()</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_1_1_1_1_1">#REF!</definedName>
    <definedName name="Excel_BuiltIn_Print_Area_2_1_1_1_1_1_1_1_1_1_1_1_1_1">#REF!</definedName>
    <definedName name="Excel_BuiltIn_Print_Area_2_1_1_1_1_1_1_1_1_1_1_1_1_1_1">#REF!</definedName>
    <definedName name="Excel_BuiltIn_Print_Area_2_1_1_1_1_1_1_1_1_1_1_1_1_1_1_1">#REF!</definedName>
    <definedName name="Excel_BuiltIn_Print_Area_2_1_1_1_1_1_1_1_1_1_1_1_1_1_1_1_1">#REF!</definedName>
    <definedName name="Excel_BuiltIn_Print_Area_2_1_1_1_1_1_1_1_1_1_1_1_1_1_1_1_1_1">#REF!</definedName>
    <definedName name="Excel_BuiltIn_Print_Area_2_1_1_1_1_1_1_1_1_1_1_1_1_1_1_1_1_1_1">#REF!</definedName>
    <definedName name="Excel_BuiltIn_Print_Area_2_1_1_1_1_1_1_1_1_1_1_1_1_1_1_1_1_1_1_1">#REF!</definedName>
    <definedName name="Excel_BuiltIn_Print_Area_2_1_1_1_1_1_1_1_1_1_1_1_1_1_1_1_1_1_1_1_1">#REF!</definedName>
    <definedName name="Excel_BuiltIn_Print_Area_2_1_1_1_1_1_1_1_1_1_1_1_1_1_1_1_1_1_1_1_1_1">"$#REF!.$A$1:$G$15"</definedName>
    <definedName name="Excel_BuiltIn_Print_Area_2_1_1_1_1_1_1_1_1_1_1_1_1_1_1_1_1_1_1_1_1_1_1">"$#REF!.$A$1:$G$15"</definedName>
    <definedName name="Excel_BuiltIn_Print_Area_2_1_1_1_1_1_1_1_1_1_1_1_1_1_1_1_1_1_1_1_1_1_1_1">NA()</definedName>
    <definedName name="Excel_BuiltIn_Print_Area_2_1_1_1_1_1_1_1_1_1_1_1_1_1_1_1_1_1_1_1_1_1_1_1_1">NA()</definedName>
    <definedName name="Excel_BuiltIn_Print_Area_2_1_1_1_1_1_1_1_1_1_1_1_1_1_1_1_1_1_1_1_1_1_1_1_1_1">"$#REF!.$A$1:$G$15"</definedName>
    <definedName name="Excel_BuiltIn_Print_Area_2_1_1_1_1_1_1_1_1_1_1_1_1_1_1_1_1_1_1_1_1_1_1_1_1_1_1">NA()</definedName>
    <definedName name="Excel_BuiltIn_Print_Area_2_1_1_1_1_1_1_1_1_1_1_1_1_1_1_1_1_1_1_1_1_1_1_1_1_1_1_1">"$#REF!.$A$1:$E$9"</definedName>
    <definedName name="Excel_BuiltIn_Print_Area_2_1_1_1_1_1_1_1_1_1_1_1_1_1_1_1_1_1_1_1_1_2">NA()</definedName>
    <definedName name="Excel_BuiltIn_Print_Area_2_1_1_1_1_1_1_1_1_1_1_1_1_1_1_1_1_1_1_5">#REF!</definedName>
    <definedName name="Excel_BuiltIn_Print_Area_2_1_1_1_1_1_1_1_1_1_1_1_1_1_1_1_1_1_4">#REF!</definedName>
    <definedName name="Excel_BuiltIn_Print_Area_2_1_1_1_1_1_1_1_1_1_1_1_1_1_1_1_2">"$#REF!.$A$1:$G$15"</definedName>
    <definedName name="Excel_BuiltIn_Print_Area_2_1_1_1_1_1_1_1_1_1_1_1_1_1_1_2">NA()</definedName>
    <definedName name="Excel_BuiltIn_Print_Area_2_1_1_1_1_1_1_1_1_1_1_1_1_1_1_5">#REF!</definedName>
    <definedName name="Excel_BuiltIn_Print_Area_2_1_1_1_1_1_1_1_1_1_1_1_1_1_1_5_4">#REF!</definedName>
    <definedName name="Excel_BuiltIn_Print_Area_2_1_1_1_1_1_1_1_1_1_1_1_1_1_1_5_5">#REF!</definedName>
    <definedName name="Excel_BuiltIn_Print_Area_2_1_1_1_1_1_1_1_1_1_1_1_1_1_2">NA()</definedName>
    <definedName name="Excel_BuiltIn_Print_Area_2_1_1_1_1_1_1_1_1_1_1_1_1_2">NA()</definedName>
    <definedName name="Excel_BuiltIn_Print_Area_2_1_1_1_1_1_1_1_1_1_1_3">#REF!</definedName>
    <definedName name="Excel_BuiltIn_Print_Area_2_1_1_1_1_1_1_1_1_1_1_3_1">NA()</definedName>
    <definedName name="Excel_BuiltIn_Print_Area_2_1_1_1_1_1_1_1_1_1_1_3_1_1">NA()</definedName>
    <definedName name="Excel_BuiltIn_Print_Area_2_1_1_1_1_1_1_1_1_1_1_3_4">#REF!</definedName>
    <definedName name="Excel_BuiltIn_Print_Area_2_1_1_1_1_1_1_1_1_1_1_3_5">#REF!</definedName>
    <definedName name="Excel_BuiltIn_Print_Area_2_1_1_1_1_1_1_1_1_1_1_3_5_1">#REF!</definedName>
    <definedName name="Excel_BuiltIn_Print_Area_2_1_1_1_1_1_1_1_1_1_1_3_5_4">#REF!</definedName>
    <definedName name="Excel_BuiltIn_Print_Area_2_1_1_1_1_1_1_1_1_1_1_3_5_5">#REF!</definedName>
    <definedName name="Excel_BuiltIn_Print_Area_2_1_1_1_1_1_1_1_1_1_1_4">#REF!</definedName>
    <definedName name="Excel_BuiltIn_Print_Area_2_1_1_1_1_1_1_1_1_1_1_4_1">NA()</definedName>
    <definedName name="Excel_BuiltIn_Print_Area_2_1_1_1_1_1_1_1_1_1_1_4_1_1">NA()</definedName>
    <definedName name="Excel_BuiltIn_Print_Area_2_1_1_1_1_1_1_1_1_1_1_4_4">#REF!</definedName>
    <definedName name="Excel_BuiltIn_Print_Area_2_1_1_1_1_1_1_1_1_1_1_4_5">#REF!</definedName>
    <definedName name="Excel_BuiltIn_Print_Area_2_1_1_1_1_1_1_1_1_1_1_4_5_1">#REF!</definedName>
    <definedName name="Excel_BuiltIn_Print_Area_2_1_1_1_1_1_1_1_1_1_1_4_5_4">#REF!</definedName>
    <definedName name="Excel_BuiltIn_Print_Area_2_1_1_1_1_1_1_1_1_1_1_4_5_5">#REF!</definedName>
    <definedName name="Excel_BuiltIn_Print_Area_2_1_1_1_1_1_1_1_1_1_1_5">#REF!</definedName>
    <definedName name="Excel_BuiltIn_Print_Area_2_1_1_1_1_1_1_1_1_1_1_5_1">NA()</definedName>
    <definedName name="Excel_BuiltIn_Print_Area_2_1_1_1_1_1_1_1_1_1_1_5_1_1">NA()</definedName>
    <definedName name="Excel_BuiltIn_Print_Area_2_1_1_1_1_1_1_1_1_1_1_5_4">#REF!</definedName>
    <definedName name="Excel_BuiltIn_Print_Area_2_1_1_1_1_1_1_1_1_1_1_5_5">#REF!</definedName>
    <definedName name="Excel_BuiltIn_Print_Area_2_1_1_1_1_1_1_1_1_1_1_5_5_1">#REF!</definedName>
    <definedName name="Excel_BuiltIn_Print_Area_2_1_1_1_1_1_1_1_1_1_1_5_5_4">#REF!</definedName>
    <definedName name="Excel_BuiltIn_Print_Area_2_1_1_1_1_1_1_1_1_1_1_5_5_5">#REF!</definedName>
    <definedName name="Excel_BuiltIn_Print_Area_2_1_1_1_1_1_1_1_1_1_1_8">#REF!</definedName>
    <definedName name="Excel_BuiltIn_Print_Area_2_1_1_1_1_1_1_1_1_1_1_8_1">NA()</definedName>
    <definedName name="Excel_BuiltIn_Print_Area_2_1_1_1_1_1_1_1_1_1_1_8_1_1">NA()</definedName>
    <definedName name="Excel_BuiltIn_Print_Area_2_1_1_1_1_1_1_1_1_1_1_8_4">#REF!</definedName>
    <definedName name="Excel_BuiltIn_Print_Area_2_1_1_1_1_1_1_1_1_1_1_8_5">#REF!</definedName>
    <definedName name="Excel_BuiltIn_Print_Area_2_1_1_1_1_1_1_1_1_1_1_8_5_1">#REF!</definedName>
    <definedName name="Excel_BuiltIn_Print_Area_2_1_1_1_1_1_1_1_1_1_1_8_5_4">#REF!</definedName>
    <definedName name="Excel_BuiltIn_Print_Area_2_1_1_1_1_1_1_1_1_1_1_8_5_5">#REF!</definedName>
    <definedName name="Excel_BuiltIn_Print_Area_2_1_1_1_1_1_1_1_1_1_2">NA()</definedName>
    <definedName name="Excel_BuiltIn_Print_Area_2_1_1_1_1_1_1_1_1_2">"$#REF!.$A$1:$E$9"</definedName>
    <definedName name="Excel_BuiltIn_Print_Area_2_1_1_1_1_1_1_1_2">NA()</definedName>
    <definedName name="Excel_BuiltIn_Print_Area_2_1_1_1_1_1_1_1_3">NA()</definedName>
    <definedName name="Excel_BuiltIn_Print_Area_2_1_1_1_1_1_1_2">"$#REF!.$A$1:$G$15"</definedName>
    <definedName name="Excel_BuiltIn_Print_Area_2_1_1_1_1_1_2">NA()</definedName>
    <definedName name="Excel_BuiltIn_Print_Area_2_1_1_1_1_1_2_1">NA()</definedName>
    <definedName name="Excel_BuiltIn_Print_Area_2_1_1_1_1_1_4">NA()</definedName>
    <definedName name="Excel_BuiltIn_Print_Area_2_1_1_1_1_2">NA()</definedName>
    <definedName name="Excel_BuiltIn_Print_Area_2_1_1_1_1_3">NA()</definedName>
    <definedName name="Excel_BuiltIn_Print_Area_2_1_1_1_2">#N/A</definedName>
    <definedName name="Excel_BuiltIn_Print_Area_2_1_1_1_2_1">NA()</definedName>
    <definedName name="Excel_BuiltIn_Print_Area_2_1_1_1_3">#REF!</definedName>
    <definedName name="Excel_BuiltIn_Print_Area_2_1_1_1_3_1">#REF!</definedName>
    <definedName name="Excel_BuiltIn_Print_Area_2_1_1_1_3_1_1">NA()</definedName>
    <definedName name="Excel_BuiltIn_Print_Area_2_1_1_1_3_1_1_1">NA()</definedName>
    <definedName name="Excel_BuiltIn_Print_Area_2_1_1_1_3_1_1_1_1">NA()</definedName>
    <definedName name="Excel_BuiltIn_Print_Area_2_1_1_1_4">#REF!</definedName>
    <definedName name="Excel_BuiltIn_Print_Area_2_1_1_1_4_1">NA()</definedName>
    <definedName name="Excel_BuiltIn_Print_Area_2_1_1_1_4_1_1">NA()</definedName>
    <definedName name="Excel_BuiltIn_Print_Area_2_1_1_1_4_1_1_1">NA()</definedName>
    <definedName name="Excel_BuiltIn_Print_Area_2_1_1_1_4_1_2">NA()</definedName>
    <definedName name="Excel_BuiltIn_Print_Area_2_1_1_1_5">#REF!</definedName>
    <definedName name="Excel_BuiltIn_Print_Area_2_1_1_1_5_1">"$#REF!.$A$1:$G$9"</definedName>
    <definedName name="Excel_BuiltIn_Print_Area_2_1_1_1_5_1_1">NA()</definedName>
    <definedName name="Excel_BuiltIn_Print_Area_2_1_1_1_5_1_2">"$#REF!.$A$1:$G$9"</definedName>
    <definedName name="Excel_BuiltIn_Print_Area_2_1_1_1_6">#N/A</definedName>
    <definedName name="Excel_BuiltIn_Print_Area_2_1_1_1_7">#N/A</definedName>
    <definedName name="Excel_BuiltIn_Print_Area_2_1_1_1_8">NA()</definedName>
    <definedName name="Excel_BuiltIn_Print_Area_2_1_1_2">#N/A</definedName>
    <definedName name="Excel_BuiltIn_Print_Area_2_1_1_2_1">NA()</definedName>
    <definedName name="Excel_BuiltIn_Print_Area_2_1_1_2_1_1">#REF!</definedName>
    <definedName name="Excel_BuiltIn_Print_Area_2_1_1_3">NA()</definedName>
    <definedName name="Excel_BuiltIn_Print_Area_2_1_1_3_1">NA()</definedName>
    <definedName name="Excel_BuiltIn_Print_Area_2_1_1_3_1_1">NA()</definedName>
    <definedName name="Excel_BuiltIn_Print_Area_2_1_1_3_1_1_1">NA()</definedName>
    <definedName name="Excel_BuiltIn_Print_Area_2_1_1_4">#REF!</definedName>
    <definedName name="Excel_BuiltIn_Print_Area_2_1_1_4_1">NA()</definedName>
    <definedName name="Excel_BuiltIn_Print_Area_2_1_1_4_1_1">NA()</definedName>
    <definedName name="Excel_BuiltIn_Print_Area_2_1_1_4_1_1_1">NA()</definedName>
    <definedName name="Excel_BuiltIn_Print_Area_2_1_1_5">#REF!</definedName>
    <definedName name="Excel_BuiltIn_Print_Area_2_1_1_5_1">NA()</definedName>
    <definedName name="Excel_BuiltIn_Print_Area_2_1_1_5_1_1">NA()</definedName>
    <definedName name="Excel_BuiltIn_Print_Area_2_1_1_6">#N/A</definedName>
    <definedName name="Excel_BuiltIn_Print_Area_2_1_1_7">#N/A</definedName>
    <definedName name="Excel_BuiltIn_Print_Area_2_1_1_8">NA()</definedName>
    <definedName name="Excel_BuiltIn_Print_Area_2_1_2">NA()</definedName>
    <definedName name="Excel_BuiltIn_Print_Area_2_1_2_3">NA()</definedName>
    <definedName name="Excel_BuiltIn_Print_Area_2_1_3">#REF!</definedName>
    <definedName name="Excel_BuiltIn_Print_Area_2_1_3_1">NA()</definedName>
    <definedName name="Excel_BuiltIn_Print_Area_2_1_3_1_1">NA()</definedName>
    <definedName name="Excel_BuiltIn_Print_Area_2_1_4">#REF!</definedName>
    <definedName name="Excel_BuiltIn_Print_Area_2_1_4_1">NA()</definedName>
    <definedName name="Excel_BuiltIn_Print_Area_2_1_4_1_1">NA()</definedName>
    <definedName name="Excel_BuiltIn_Print_Area_2_1_5">#REF!</definedName>
    <definedName name="Excel_BuiltIn_Print_Area_2_1_5_1">NA()</definedName>
    <definedName name="Excel_BuiltIn_Print_Area_2_1_5_1_1">NA()</definedName>
    <definedName name="Excel_BuiltIn_Print_Area_2_1_6">#N/A</definedName>
    <definedName name="Excel_BuiltIn_Print_Area_2_1_7">#N/A</definedName>
    <definedName name="Excel_BuiltIn_Print_Area_2_1_8">NA()</definedName>
    <definedName name="Excel_BuiltIn_Print_Area_2_2">NA()</definedName>
    <definedName name="Excel_BuiltIn_Print_Area_2_2_1">#N/A</definedName>
    <definedName name="Excel_BuiltIn_Print_Area_2_2_1_1">#REF!</definedName>
    <definedName name="Excel_BuiltIn_Print_Area_2_2_1_1_1">NA()</definedName>
    <definedName name="Excel_BuiltIn_Print_Area_2_2_2">#N/A</definedName>
    <definedName name="Excel_BuiltIn_Print_Area_2_2_3">#REF!</definedName>
    <definedName name="Excel_BuiltIn_Print_Area_2_2_4">NA()</definedName>
    <definedName name="Excel_BuiltIn_Print_Area_2_2_4_1">NA()</definedName>
    <definedName name="Excel_BuiltIn_Print_Area_2_2_5">#N/A</definedName>
    <definedName name="Excel_BuiltIn_Print_Area_2_2_6">#N/A</definedName>
    <definedName name="Excel_BuiltIn_Print_Area_2_2_7">#N/A</definedName>
    <definedName name="Excel_BuiltIn_Print_Area_2_2_8">NA()</definedName>
    <definedName name="Excel_BuiltIn_Print_Area_2_3">#REF!</definedName>
    <definedName name="Excel_BuiltIn_Print_Area_2_3_1">NA()</definedName>
    <definedName name="Excel_BuiltIn_Print_Area_2_3_8">NA()</definedName>
    <definedName name="Excel_BuiltIn_Print_Area_2_4">#REF!</definedName>
    <definedName name="Excel_BuiltIn_Print_Area_2_4_1">NA()</definedName>
    <definedName name="Excel_BuiltIn_Print_Area_2_4_1_1">NA()</definedName>
    <definedName name="Excel_BuiltIn_Print_Area_2_4_8">NA()</definedName>
    <definedName name="Excel_BuiltIn_Print_Area_2_5">#REF!</definedName>
    <definedName name="Excel_BuiltIn_Print_Area_2_5_1">NA()</definedName>
    <definedName name="Excel_BuiltIn_Print_Area_2_5_1_1">NA()</definedName>
    <definedName name="Excel_BuiltIn_Print_Area_2_5_2">"$#REF!.$A$1:$G$45"</definedName>
    <definedName name="Excel_BuiltIn_Print_Area_2_6">#REF!</definedName>
    <definedName name="Excel_BuiltIn_Print_Area_2_6_1">NA()</definedName>
    <definedName name="Excel_BuiltIn_Print_Area_2_7">#REF!</definedName>
    <definedName name="Excel_BuiltIn_Print_Area_2_7_1">NA()</definedName>
    <definedName name="Excel_BuiltIn_Print_Area_2_8">NA()</definedName>
    <definedName name="Excel_BuiltIn_Print_Area_20">NA()</definedName>
    <definedName name="Excel_BuiltIn_Print_Area_20_1">NA()</definedName>
    <definedName name="Excel_BuiltIn_Print_Area_20_1_5">#REF!</definedName>
    <definedName name="Excel_BuiltIn_Print_Area_20_1_8">#REF!</definedName>
    <definedName name="Excel_BuiltIn_Print_Area_20_5">#REF!</definedName>
    <definedName name="Excel_BuiltIn_Print_Area_21">NA()</definedName>
    <definedName name="Excel_BuiltIn_Print_Area_21_1">NA()</definedName>
    <definedName name="Excel_BuiltIn_Print_Area_21_1_1">#REF!</definedName>
    <definedName name="Excel_BuiltIn_Print_Area_21_1_1_8">#REF!</definedName>
    <definedName name="Excel_BuiltIn_Print_Area_21_1_5">#REF!</definedName>
    <definedName name="Excel_BuiltIn_Print_Area_21_1_8">#REF!</definedName>
    <definedName name="Excel_BuiltIn_Print_Area_21_5">#REF!</definedName>
    <definedName name="Excel_BuiltIn_Print_Area_22">NA()</definedName>
    <definedName name="Excel_BuiltIn_Print_Area_22_1">#REF!</definedName>
    <definedName name="Excel_BuiltIn_Print_Area_22_1_8">#REF!</definedName>
    <definedName name="Excel_BuiltIn_Print_Area_22_5">#REF!</definedName>
    <definedName name="Excel_BuiltIn_Print_Area_23">NA()</definedName>
    <definedName name="Excel_BuiltIn_Print_Area_23_1">NA()</definedName>
    <definedName name="Excel_BuiltIn_Print_Area_23_1_5">#REF!</definedName>
    <definedName name="Excel_BuiltIn_Print_Area_23_5">#REF!</definedName>
    <definedName name="Excel_BuiltIn_Print_Area_24">NA()</definedName>
    <definedName name="Excel_BuiltIn_Print_Area_24_5">#REF!</definedName>
    <definedName name="Excel_BuiltIn_Print_Area_24_8">#REF!</definedName>
    <definedName name="Excel_BuiltIn_Print_Area_25">NA()</definedName>
    <definedName name="Excel_BuiltIn_Print_Area_25_5">#REF!</definedName>
    <definedName name="Excel_BuiltIn_Print_Area_26">NA()</definedName>
    <definedName name="Excel_BuiltIn_Print_Area_26_1">NA()</definedName>
    <definedName name="Excel_BuiltIn_Print_Area_26_1_5">#REF!</definedName>
    <definedName name="Excel_BuiltIn_Print_Area_26_5">#REF!</definedName>
    <definedName name="Excel_BuiltIn_Print_Area_26_8">#REF!</definedName>
    <definedName name="Excel_BuiltIn_Print_Area_27">NA()</definedName>
    <definedName name="Excel_BuiltIn_Print_Area_27_1">#REF!</definedName>
    <definedName name="Excel_BuiltIn_Print_Area_27_1_8">#REF!</definedName>
    <definedName name="Excel_BuiltIn_Print_Area_27_5">#REF!</definedName>
    <definedName name="Excel_BuiltIn_Print_Area_28">NA()</definedName>
    <definedName name="Excel_BuiltIn_Print_Area_28_5">#REF!</definedName>
    <definedName name="Excel_BuiltIn_Print_Area_29">#REF!</definedName>
    <definedName name="Excel_BuiltIn_Print_Area_29_8">#REF!</definedName>
    <definedName name="Excel_BuiltIn_Print_Area_3">#REF!</definedName>
    <definedName name="Excel_BuiltIn_Print_Area_3_1">#REF!</definedName>
    <definedName name="Excel_BuiltIn_Print_Area_3_1_1">NA()</definedName>
    <definedName name="Excel_BuiltIn_Print_Area_3_1_1_1">#REF!</definedName>
    <definedName name="Excel_BuiltIn_Print_Area_3_1_1_1_1">NA()</definedName>
    <definedName name="Excel_BuiltIn_Print_Area_3_1_1_1_1_1">NA()</definedName>
    <definedName name="Excel_BuiltIn_Print_Area_3_1_1_1_1_1_1">NA()</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"$#REF!.$A$1:$E$15"</definedName>
    <definedName name="Excel_BuiltIn_Print_Area_3_1_1_1_1_1_1_1_1_1_1_1">#REF!</definedName>
    <definedName name="Excel_BuiltIn_Print_Area_3_1_1_1_1_1_1_1_1_1_1_1_1">"$#REF!.$A$1:$E$15"</definedName>
    <definedName name="Excel_BuiltIn_Print_Area_3_1_1_1_1_1_1_1_1_1_1_1_1_1">"$#REF!.$A$1:$E$15"</definedName>
    <definedName name="Excel_BuiltIn_Print_Area_3_1_1_1_1_1_1_1_1_1_1_1_1_1_1">#REF!</definedName>
    <definedName name="Excel_BuiltIn_Print_Area_3_1_1_1_1_1_1_1_1_1_1_1_1_1_1_1">NA()</definedName>
    <definedName name="Excel_BuiltIn_Print_Area_3_1_1_1_1_1_1_1_1_1_1_1_1_2">"$#REF!.$A$1:$E$15"</definedName>
    <definedName name="Excel_BuiltIn_Print_Area_3_1_1_1_1_1_1_1_1_1_1_1_2">NA()</definedName>
    <definedName name="Excel_BuiltIn_Print_Area_3_1_1_1_1_1_1_1_1_1_1_2">NA()</definedName>
    <definedName name="Excel_BuiltIn_Print_Area_3_1_1_1_1_1_1_1_1_1_2">NA()</definedName>
    <definedName name="Excel_BuiltIn_Print_Area_3_1_1_1_1_1_1_1_1_1_3">NA()</definedName>
    <definedName name="Excel_BuiltIn_Print_Area_3_1_1_1_1_1_1_1_1_2">NA()</definedName>
    <definedName name="Excel_BuiltIn_Print_Area_3_1_1_1_1_1_1_1_1_3">"$#REF!.$A$1:$G$9"</definedName>
    <definedName name="Excel_BuiltIn_Print_Area_3_1_1_1_1_1_1_1_1_4">#REF!</definedName>
    <definedName name="Excel_BuiltIn_Print_Area_3_1_1_1_1_1_1_1_1_5">#REF!</definedName>
    <definedName name="Excel_BuiltIn_Print_Area_3_1_1_1_1_1_1_1_2">NA()</definedName>
    <definedName name="Excel_BuiltIn_Print_Area_3_1_1_1_1_1_1_1_3">NA()</definedName>
    <definedName name="Excel_BuiltIn_Print_Area_3_1_1_1_1_1_1_1_5">#REF!</definedName>
    <definedName name="Excel_BuiltIn_Print_Area_3_1_1_1_1_1_1_1_5_4">#REF!</definedName>
    <definedName name="Excel_BuiltIn_Print_Area_3_1_1_1_1_1_1_1_5_5">#REF!</definedName>
    <definedName name="Excel_BuiltIn_Print_Area_3_1_1_1_1_1_1_2">NA()</definedName>
    <definedName name="Excel_BuiltIn_Print_Area_3_1_1_1_1_1_1_2_1">NA()</definedName>
    <definedName name="Excel_BuiltIn_Print_Area_3_1_1_1_1_1_1_3">NA()</definedName>
    <definedName name="Excel_BuiltIn_Print_Area_3_1_1_1_1_1_1_4">NA()</definedName>
    <definedName name="Excel_BuiltIn_Print_Area_3_1_1_1_1_1_2">NA()</definedName>
    <definedName name="Excel_BuiltIn_Print_Area_3_1_1_1_1_1_3">#REF!</definedName>
    <definedName name="Excel_BuiltIn_Print_Area_3_1_1_1_1_1_3_1">NA()</definedName>
    <definedName name="Excel_BuiltIn_Print_Area_3_1_1_1_1_1_3_1_1">NA()</definedName>
    <definedName name="Excel_BuiltIn_Print_Area_3_1_1_1_1_1_3_4">#REF!</definedName>
    <definedName name="Excel_BuiltIn_Print_Area_3_1_1_1_1_1_3_5">#REF!</definedName>
    <definedName name="Excel_BuiltIn_Print_Area_3_1_1_1_1_1_3_5_1">#REF!</definedName>
    <definedName name="Excel_BuiltIn_Print_Area_3_1_1_1_1_1_3_5_4">#REF!</definedName>
    <definedName name="Excel_BuiltIn_Print_Area_3_1_1_1_1_1_3_5_5">#REF!</definedName>
    <definedName name="Excel_BuiltIn_Print_Area_3_1_1_1_1_1_4">#REF!</definedName>
    <definedName name="Excel_BuiltIn_Print_Area_3_1_1_1_1_1_4_1">NA()</definedName>
    <definedName name="Excel_BuiltIn_Print_Area_3_1_1_1_1_1_4_1_1">NA()</definedName>
    <definedName name="Excel_BuiltIn_Print_Area_3_1_1_1_1_1_4_1_2">NA()</definedName>
    <definedName name="Excel_BuiltIn_Print_Area_3_1_1_1_1_1_4_4">#REF!</definedName>
    <definedName name="Excel_BuiltIn_Print_Area_3_1_1_1_1_1_4_5">#REF!</definedName>
    <definedName name="Excel_BuiltIn_Print_Area_3_1_1_1_1_1_4_5_1">#REF!</definedName>
    <definedName name="Excel_BuiltIn_Print_Area_3_1_1_1_1_1_4_5_4">#REF!</definedName>
    <definedName name="Excel_BuiltIn_Print_Area_3_1_1_1_1_1_4_5_5">#REF!</definedName>
    <definedName name="Excel_BuiltIn_Print_Area_3_1_1_1_1_1_5">#REF!</definedName>
    <definedName name="Excel_BuiltIn_Print_Area_3_1_1_1_1_1_5_1">NA()</definedName>
    <definedName name="Excel_BuiltIn_Print_Area_3_1_1_1_1_1_5_1_1">NA()</definedName>
    <definedName name="Excel_BuiltIn_Print_Area_3_1_1_1_1_1_5_4">#REF!</definedName>
    <definedName name="Excel_BuiltIn_Print_Area_3_1_1_1_1_1_5_5">#REF!</definedName>
    <definedName name="Excel_BuiltIn_Print_Area_3_1_1_1_1_1_5_5_1">#REF!</definedName>
    <definedName name="Excel_BuiltIn_Print_Area_3_1_1_1_1_1_5_5_4">#REF!</definedName>
    <definedName name="Excel_BuiltIn_Print_Area_3_1_1_1_1_1_5_5_5">#REF!</definedName>
    <definedName name="Excel_BuiltIn_Print_Area_3_1_1_1_1_1_8">#REF!</definedName>
    <definedName name="Excel_BuiltIn_Print_Area_3_1_1_1_1_1_8_1">NA()</definedName>
    <definedName name="Excel_BuiltIn_Print_Area_3_1_1_1_1_1_8_1_1">NA()</definedName>
    <definedName name="Excel_BuiltIn_Print_Area_3_1_1_1_1_1_8_1_1_1">NA()</definedName>
    <definedName name="Excel_BuiltIn_Print_Area_3_1_1_1_1_1_8_4">#REF!</definedName>
    <definedName name="Excel_BuiltIn_Print_Area_3_1_1_1_1_1_8_5">#REF!</definedName>
    <definedName name="Excel_BuiltIn_Print_Area_3_1_1_1_1_1_8_5_1">#REF!</definedName>
    <definedName name="Excel_BuiltIn_Print_Area_3_1_1_1_1_1_8_5_4">#REF!</definedName>
    <definedName name="Excel_BuiltIn_Print_Area_3_1_1_1_1_1_8_5_5">#REF!</definedName>
    <definedName name="Excel_BuiltIn_Print_Area_3_1_1_1_1_2">NA()</definedName>
    <definedName name="Excel_BuiltIn_Print_Area_3_1_1_1_1_2_1">"$#REF!.$A$1:$E$15"</definedName>
    <definedName name="Excel_BuiltIn_Print_Area_3_1_1_1_1_3">NA()</definedName>
    <definedName name="Excel_BuiltIn_Print_Area_3_1_1_1_1_4">NA()</definedName>
    <definedName name="Excel_BuiltIn_Print_Area_3_1_1_1_1_4_1">NA()</definedName>
    <definedName name="Excel_BuiltIn_Print_Area_3_1_1_1_1_4_1_1">NA()</definedName>
    <definedName name="Excel_BuiltIn_Print_Area_3_1_1_1_1_5">"$#REF!.$A$1:$G$9"</definedName>
    <definedName name="Excel_BuiltIn_Print_Area_3_1_1_1_1_5_1">#REF!</definedName>
    <definedName name="Excel_BuiltIn_Print_Area_3_1_1_1_1_8">"$#REF!.$A$1:$E$15"</definedName>
    <definedName name="Excel_BuiltIn_Print_Area_3_1_1_1_2">#N/A</definedName>
    <definedName name="Excel_BuiltIn_Print_Area_3_1_1_1_2_1">#REF!</definedName>
    <definedName name="Excel_BuiltIn_Print_Area_3_1_1_1_3">#N/A</definedName>
    <definedName name="Excel_BuiltIn_Print_Area_3_1_1_1_4">NA()</definedName>
    <definedName name="Excel_BuiltIn_Print_Area_3_1_1_1_4_1">NA()</definedName>
    <definedName name="Excel_BuiltIn_Print_Area_3_1_1_1_5">#N/A</definedName>
    <definedName name="Excel_BuiltIn_Print_Area_3_1_1_1_5_1">"$#REF!.$A$1:$G$20"</definedName>
    <definedName name="Excel_BuiltIn_Print_Area_3_1_1_1_6">#N/A</definedName>
    <definedName name="Excel_BuiltIn_Print_Area_3_1_1_1_7">#N/A</definedName>
    <definedName name="Excel_BuiltIn_Print_Area_3_1_1_1_8">NA()</definedName>
    <definedName name="Excel_BuiltIn_Print_Area_3_1_1_2">#N/A</definedName>
    <definedName name="Excel_BuiltIn_Print_Area_3_1_1_2_1">#REF!</definedName>
    <definedName name="Excel_BuiltIn_Print_Area_3_1_1_3">#N/A</definedName>
    <definedName name="Excel_BuiltIn_Print_Area_3_1_1_4">NA()</definedName>
    <definedName name="Excel_BuiltIn_Print_Area_3_1_1_5">#N/A</definedName>
    <definedName name="Excel_BuiltIn_Print_Area_3_1_1_6">#N/A</definedName>
    <definedName name="Excel_BuiltIn_Print_Area_3_1_1_7">#N/A</definedName>
    <definedName name="Excel_BuiltIn_Print_Area_3_1_1_8">NA()</definedName>
    <definedName name="Excel_BuiltIn_Print_Area_3_1_2">#N/A</definedName>
    <definedName name="Excel_BuiltIn_Print_Area_3_1_2_1">(#REF!,#REF!)</definedName>
    <definedName name="Excel_BuiltIn_Print_Area_3_1_3">(#REF!,#REF!)</definedName>
    <definedName name="Excel_BuiltIn_Print_Area_3_1_4">NA()</definedName>
    <definedName name="Excel_BuiltIn_Print_Area_3_1_4_1">NA()</definedName>
    <definedName name="Excel_BuiltIn_Print_Area_3_1_5">#N/A</definedName>
    <definedName name="Excel_BuiltIn_Print_Area_3_1_6">#N/A</definedName>
    <definedName name="Excel_BuiltIn_Print_Area_3_1_7">#N/A</definedName>
    <definedName name="Excel_BuiltIn_Print_Area_3_1_8">#REF!</definedName>
    <definedName name="Excel_BuiltIn_Print_Area_3_2">NA()</definedName>
    <definedName name="Excel_BuiltIn_Print_Area_3_4">NA()</definedName>
    <definedName name="Excel_BuiltIn_Print_Area_3_4_1">NA()</definedName>
    <definedName name="Excel_BuiltIn_Print_Area_3_5">"$#REF!.$A$1:$G$287"</definedName>
    <definedName name="Excel_BuiltIn_Print_Area_30">#REF!</definedName>
    <definedName name="Excel_BuiltIn_Print_Area_30_8">#REF!</definedName>
    <definedName name="Excel_BuiltIn_Print_Area_31">#REF!</definedName>
    <definedName name="Excel_BuiltIn_Print_Area_31_8">#REF!</definedName>
    <definedName name="Excel_BuiltIn_Print_Area_32">#REF!</definedName>
    <definedName name="Excel_BuiltIn_Print_Area_32_8">#REF!</definedName>
    <definedName name="Excel_BuiltIn_Print_Area_33">#REF!</definedName>
    <definedName name="Excel_BuiltIn_Print_Area_33_8">#REF!</definedName>
    <definedName name="Excel_BuiltIn_Print_Area_34">#REF!</definedName>
    <definedName name="Excel_BuiltIn_Print_Area_34_8">#REF!</definedName>
    <definedName name="Excel_BuiltIn_Print_Area_35">#REF!</definedName>
    <definedName name="Excel_BuiltIn_Print_Area_35_8">#REF!</definedName>
    <definedName name="Excel_BuiltIn_Print_Area_4">NA()</definedName>
    <definedName name="Excel_BuiltIn_Print_Area_4_1">NA()</definedName>
    <definedName name="Excel_BuiltIn_Print_Area_4_1_1">NA()</definedName>
    <definedName name="Excel_BuiltIn_Print_Area_4_1_1_1">NA()</definedName>
    <definedName name="Excel_BuiltIn_Print_Area_4_1_1_1_1">#REF!</definedName>
    <definedName name="Excel_BuiltIn_Print_Area_4_1_1_1_1_1">"$#REF!.$A$1:$K$60"</definedName>
    <definedName name="Excel_BuiltIn_Print_Area_4_1_1_1_1_1_1">"$#REF!.$A$1:$J$131"</definedName>
    <definedName name="Excel_BuiltIn_Print_Area_4_1_1_1_1_1_1_1">"$#REF!.$A$1:$G$9"</definedName>
    <definedName name="Excel_BuiltIn_Print_Area_4_1_1_1_1_1_1_1_1">#REF!</definedName>
    <definedName name="Excel_BuiltIn_Print_Area_4_1_1_1_1_1_1_1_1_1">#REF!</definedName>
    <definedName name="Excel_BuiltIn_Print_Area_4_1_1_1_1_1_1_1_1_1_1">"$#REF!.$A$1:$G$9"</definedName>
    <definedName name="Excel_BuiltIn_Print_Area_4_1_1_1_1_1_1_1_1_1_1_1">NA()</definedName>
    <definedName name="Excel_BuiltIn_Print_Area_4_1_1_1_1_1_1_1_1_1_1_1_1">"$#REF!.$A$1:$G$9"</definedName>
    <definedName name="Excel_BuiltIn_Print_Area_4_1_1_1_1_1_1_1_1_1_1_1_1_1">NA()</definedName>
    <definedName name="Excel_BuiltIn_Print_Area_4_1_1_1_1_1_1_1_1_1_2">NA()</definedName>
    <definedName name="Excel_BuiltIn_Print_Area_4_1_1_1_1_2">NA()</definedName>
    <definedName name="Excel_BuiltIn_Print_Area_4_1_1_1_1_3">NA()</definedName>
    <definedName name="Excel_BuiltIn_Print_Area_4_1_1_1_2">NA()</definedName>
    <definedName name="Excel_BuiltIn_Print_Area_4_1_1_1_2_1">NA()</definedName>
    <definedName name="Excel_BuiltIn_Print_Area_4_1_1_1_3">NA()</definedName>
    <definedName name="Excel_BuiltIn_Print_Area_4_1_1_1_4">NA()</definedName>
    <definedName name="Excel_BuiltIn_Print_Area_4_1_1_1_4_1">NA()</definedName>
    <definedName name="Excel_BuiltIn_Print_Area_4_1_1_1_4_1_1">NA()</definedName>
    <definedName name="Excel_BuiltIn_Print_Area_4_1_1_1_5">NA()</definedName>
    <definedName name="Excel_BuiltIn_Print_Area_4_1_1_1_8">NA()</definedName>
    <definedName name="Excel_BuiltIn_Print_Area_4_1_1_2">NA()</definedName>
    <definedName name="Excel_BuiltIn_Print_Area_4_1_1_2_1">NA()</definedName>
    <definedName name="Excel_BuiltIn_Print_Area_4_1_1_3">#REF!</definedName>
    <definedName name="Excel_BuiltIn_Print_Area_4_1_1_4">NA()</definedName>
    <definedName name="Excel_BuiltIn_Print_Area_4_1_1_4_1">NA()</definedName>
    <definedName name="Excel_BuiltIn_Print_Area_4_1_1_5">"$#REF!.$A$1:$G$9"</definedName>
    <definedName name="Excel_BuiltIn_Print_Area_4_1_1_8">#REF!</definedName>
    <definedName name="Excel_BuiltIn_Print_Area_4_1_2">NA()</definedName>
    <definedName name="Excel_BuiltIn_Print_Area_4_1_2_1">NA()</definedName>
    <definedName name="Excel_BuiltIn_Print_Area_4_1_2_2">NA()</definedName>
    <definedName name="Excel_BuiltIn_Print_Area_4_1_3">NA()</definedName>
    <definedName name="Excel_BuiltIn_Print_Area_4_1_4">NA()</definedName>
    <definedName name="Excel_BuiltIn_Print_Area_4_1_4_1">NA()</definedName>
    <definedName name="Excel_BuiltIn_Print_Area_4_1_5">#N/A</definedName>
    <definedName name="Excel_BuiltIn_Print_Area_4_1_6">#N/A</definedName>
    <definedName name="Excel_BuiltIn_Print_Area_4_1_7">#N/A</definedName>
    <definedName name="Excel_BuiltIn_Print_Area_4_1_8">#REF!</definedName>
    <definedName name="Excel_BuiltIn_Print_Area_4_10">NA()</definedName>
    <definedName name="Excel_BuiltIn_Print_Area_4_10_5">#REF!</definedName>
    <definedName name="Excel_BuiltIn_Print_Area_4_12">NA()</definedName>
    <definedName name="Excel_BuiltIn_Print_Area_4_12_5">#REF!</definedName>
    <definedName name="Excel_BuiltIn_Print_Area_4_13">NA()</definedName>
    <definedName name="Excel_BuiltIn_Print_Area_4_13_5">#REF!</definedName>
    <definedName name="Excel_BuiltIn_Print_Area_4_14">NA()</definedName>
    <definedName name="Excel_BuiltIn_Print_Area_4_14_5">#REF!</definedName>
    <definedName name="Excel_BuiltIn_Print_Area_4_15">NA()</definedName>
    <definedName name="Excel_BuiltIn_Print_Area_4_15_5">#REF!</definedName>
    <definedName name="Excel_BuiltIn_Print_Area_4_16">NA()</definedName>
    <definedName name="Excel_BuiltIn_Print_Area_4_16_5">#REF!</definedName>
    <definedName name="Excel_BuiltIn_Print_Area_4_17">NA()</definedName>
    <definedName name="Excel_BuiltIn_Print_Area_4_17_5">#REF!</definedName>
    <definedName name="Excel_BuiltIn_Print_Area_4_18">NA()</definedName>
    <definedName name="Excel_BuiltIn_Print_Area_4_18_1">NA()</definedName>
    <definedName name="Excel_BuiltIn_Print_Area_4_18_1_5">#REF!</definedName>
    <definedName name="Excel_BuiltIn_Print_Area_4_18_5">#REF!</definedName>
    <definedName name="Excel_BuiltIn_Print_Area_4_19">NA()</definedName>
    <definedName name="Excel_BuiltIn_Print_Area_4_19_5">#REF!</definedName>
    <definedName name="Excel_BuiltIn_Print_Area_4_2">NA()</definedName>
    <definedName name="Excel_BuiltIn_Print_Area_4_20">NA()</definedName>
    <definedName name="Excel_BuiltIn_Print_Area_4_20_5">#REF!</definedName>
    <definedName name="Excel_BuiltIn_Print_Area_4_21">NA()</definedName>
    <definedName name="Excel_BuiltIn_Print_Area_4_21_1">NA()</definedName>
    <definedName name="Excel_BuiltIn_Print_Area_4_21_1_5">#REF!</definedName>
    <definedName name="Excel_BuiltIn_Print_Area_4_21_5">#REF!</definedName>
    <definedName name="Excel_BuiltIn_Print_Area_4_22">NA()</definedName>
    <definedName name="Excel_BuiltIn_Print_Area_4_22_5">#REF!</definedName>
    <definedName name="Excel_BuiltIn_Print_Area_4_23">NA()</definedName>
    <definedName name="Excel_BuiltIn_Print_Area_4_23_5">#REF!</definedName>
    <definedName name="Excel_BuiltIn_Print_Area_4_24">NA()</definedName>
    <definedName name="Excel_BuiltIn_Print_Area_4_24_5">#REF!</definedName>
    <definedName name="Excel_BuiltIn_Print_Area_4_25">NA()</definedName>
    <definedName name="Excel_BuiltIn_Print_Area_4_25_5">#REF!</definedName>
    <definedName name="Excel_BuiltIn_Print_Area_4_26">NA()</definedName>
    <definedName name="Excel_BuiltIn_Print_Area_4_26_5">#REF!</definedName>
    <definedName name="Excel_BuiltIn_Print_Area_4_27">NA()</definedName>
    <definedName name="Excel_BuiltIn_Print_Area_4_27_5">#REF!</definedName>
    <definedName name="Excel_BuiltIn_Print_Area_4_28">NA()</definedName>
    <definedName name="Excel_BuiltIn_Print_Area_4_28_5">#REF!</definedName>
    <definedName name="Excel_BuiltIn_Print_Area_4_3">#REF!</definedName>
    <definedName name="Excel_BuiltIn_Print_Area_4_4">NA()</definedName>
    <definedName name="Excel_BuiltIn_Print_Area_4_4_1">NA()</definedName>
    <definedName name="Excel_BuiltIn_Print_Area_4_5">NA()</definedName>
    <definedName name="Excel_BuiltIn_Print_Area_4_6">NA()</definedName>
    <definedName name="Excel_BuiltIn_Print_Area_4_6_5">#REF!</definedName>
    <definedName name="Excel_BuiltIn_Print_Area_4_7">NA()</definedName>
    <definedName name="Excel_BuiltIn_Print_Area_4_7_5">#REF!</definedName>
    <definedName name="Excel_BuiltIn_Print_Area_4_8">NA()</definedName>
    <definedName name="Excel_BuiltIn_Print_Area_4_8_5">#REF!</definedName>
    <definedName name="Excel_BuiltIn_Print_Area_4_9">NA()</definedName>
    <definedName name="Excel_BuiltIn_Print_Area_4_9_5">#REF!</definedName>
    <definedName name="Excel_BuiltIn_Print_Area_5">#REF!</definedName>
    <definedName name="Excel_BuiltIn_Print_Area_5_1">NA()</definedName>
    <definedName name="Excel_BuiltIn_Print_Area_5_1_1">NA()</definedName>
    <definedName name="Excel_BuiltIn_Print_Area_5_1_1_1">NA()</definedName>
    <definedName name="Excel_BuiltIn_Print_Area_5_1_1_1_1">#REF!</definedName>
    <definedName name="Excel_BuiltIn_Print_Area_5_1_1_1_1_1">NA()</definedName>
    <definedName name="Excel_BuiltIn_Print_Area_5_1_1_1_1_1_1">NA()</definedName>
    <definedName name="Excel_BuiltIn_Print_Area_5_1_1_1_1_1_1_1">NA()</definedName>
    <definedName name="Excel_BuiltIn_Print_Area_5_1_1_1_1_5">#REF!</definedName>
    <definedName name="Excel_BuiltIn_Print_Area_5_1_1_1_2">NA()</definedName>
    <definedName name="Excel_BuiltIn_Print_Area_5_1_1_1_5">#REF!</definedName>
    <definedName name="Excel_BuiltIn_Print_Area_5_1_1_2">#N/A</definedName>
    <definedName name="Excel_BuiltIn_Print_Area_5_1_1_2_1">#REF!</definedName>
    <definedName name="Excel_BuiltIn_Print_Area_5_1_1_3">#REF!</definedName>
    <definedName name="Excel_BuiltIn_Print_Area_5_1_1_3_1">NA()</definedName>
    <definedName name="Excel_BuiltIn_Print_Area_5_1_1_3_1_1">NA()</definedName>
    <definedName name="Excel_BuiltIn_Print_Area_5_1_1_3_1_1_1">NA()</definedName>
    <definedName name="Excel_BuiltIn_Print_Area_5_1_1_3_4">#REF!</definedName>
    <definedName name="Excel_BuiltIn_Print_Area_5_1_1_3_5">#REF!</definedName>
    <definedName name="Excel_BuiltIn_Print_Area_5_1_1_3_5_1">#REF!</definedName>
    <definedName name="Excel_BuiltIn_Print_Area_5_1_1_3_5_4">#REF!</definedName>
    <definedName name="Excel_BuiltIn_Print_Area_5_1_1_3_5_5">#REF!</definedName>
    <definedName name="Excel_BuiltIn_Print_Area_5_1_1_4">#REF!</definedName>
    <definedName name="Excel_BuiltIn_Print_Area_5_1_1_4_1">#REF!</definedName>
    <definedName name="Excel_BuiltIn_Print_Area_5_1_1_4_1_1">NA()</definedName>
    <definedName name="Excel_BuiltIn_Print_Area_5_1_1_4_1_1_1">NA()</definedName>
    <definedName name="Excel_BuiltIn_Print_Area_5_1_1_4_4">#REF!</definedName>
    <definedName name="Excel_BuiltIn_Print_Area_5_1_1_4_5">#REF!</definedName>
    <definedName name="Excel_BuiltIn_Print_Area_5_1_1_4_5_1">#REF!</definedName>
    <definedName name="Excel_BuiltIn_Print_Area_5_1_1_4_5_4">#REF!</definedName>
    <definedName name="Excel_BuiltIn_Print_Area_5_1_1_4_5_5">#REF!</definedName>
    <definedName name="Excel_BuiltIn_Print_Area_5_1_1_5">#REF!</definedName>
    <definedName name="Excel_BuiltIn_Print_Area_5_1_1_5_1">#REF!</definedName>
    <definedName name="Excel_BuiltIn_Print_Area_5_1_1_5_1_1">NA()</definedName>
    <definedName name="Excel_BuiltIn_Print_Area_5_1_1_5_1_2">NA()</definedName>
    <definedName name="Excel_BuiltIn_Print_Area_5_1_1_5_1_4">#REF!</definedName>
    <definedName name="Excel_BuiltIn_Print_Area_5_1_1_5_1_5">#REF!</definedName>
    <definedName name="Excel_BuiltIn_Print_Area_5_1_1_5_4">#REF!</definedName>
    <definedName name="Excel_BuiltIn_Print_Area_5_1_1_5_5">#REF!</definedName>
    <definedName name="Excel_BuiltIn_Print_Area_5_1_1_5_5_1">#REF!</definedName>
    <definedName name="Excel_BuiltIn_Print_Area_5_1_1_5_5_4">#REF!</definedName>
    <definedName name="Excel_BuiltIn_Print_Area_5_1_1_5_5_5">#REF!</definedName>
    <definedName name="Excel_BuiltIn_Print_Area_5_1_1_6">#N/A</definedName>
    <definedName name="Excel_BuiltIn_Print_Area_5_1_1_7">#N/A</definedName>
    <definedName name="Excel_BuiltIn_Print_Area_5_1_1_8">#REF!</definedName>
    <definedName name="Excel_BuiltIn_Print_Area_5_1_1_8_1">NA()</definedName>
    <definedName name="Excel_BuiltIn_Print_Area_5_1_1_8_1_1">NA()</definedName>
    <definedName name="Excel_BuiltIn_Print_Area_5_1_1_8_1_1_1">NA()</definedName>
    <definedName name="Excel_BuiltIn_Print_Area_5_1_1_8_4">#REF!</definedName>
    <definedName name="Excel_BuiltIn_Print_Area_5_1_1_8_5">#REF!</definedName>
    <definedName name="Excel_BuiltIn_Print_Area_5_1_1_8_5_1">#REF!</definedName>
    <definedName name="Excel_BuiltIn_Print_Area_5_1_1_8_5_4">#REF!</definedName>
    <definedName name="Excel_BuiltIn_Print_Area_5_1_1_8_5_5">#REF!</definedName>
    <definedName name="Excel_BuiltIn_Print_Area_5_1_2">NA()</definedName>
    <definedName name="Excel_BuiltIn_Print_Area_5_1_4">NA()</definedName>
    <definedName name="Excel_BuiltIn_Print_Area_5_1_5">"$#REF!.$A$1:$G$9"</definedName>
    <definedName name="Excel_BuiltIn_Print_Area_5_1_8">#REF!</definedName>
    <definedName name="Excel_BuiltIn_Print_Area_5_10">NA()</definedName>
    <definedName name="Excel_BuiltIn_Print_Area_5_10_5">#REF!</definedName>
    <definedName name="Excel_BuiltIn_Print_Area_5_12">NA()</definedName>
    <definedName name="Excel_BuiltIn_Print_Area_5_12_5">#REF!</definedName>
    <definedName name="Excel_BuiltIn_Print_Area_5_13">NA()</definedName>
    <definedName name="Excel_BuiltIn_Print_Area_5_13_5">#REF!</definedName>
    <definedName name="Excel_BuiltIn_Print_Area_5_14">NA()</definedName>
    <definedName name="Excel_BuiltIn_Print_Area_5_14_5">#REF!</definedName>
    <definedName name="Excel_BuiltIn_Print_Area_5_15">NA()</definedName>
    <definedName name="Excel_BuiltIn_Print_Area_5_15_5">#REF!</definedName>
    <definedName name="Excel_BuiltIn_Print_Area_5_16">NA()</definedName>
    <definedName name="Excel_BuiltIn_Print_Area_5_16_5">#REF!</definedName>
    <definedName name="Excel_BuiltIn_Print_Area_5_17">NA()</definedName>
    <definedName name="Excel_BuiltIn_Print_Area_5_17_5">#REF!</definedName>
    <definedName name="Excel_BuiltIn_Print_Area_5_18">NA()</definedName>
    <definedName name="Excel_BuiltIn_Print_Area_5_18_1">NA()</definedName>
    <definedName name="Excel_BuiltIn_Print_Area_5_18_1_5">#REF!</definedName>
    <definedName name="Excel_BuiltIn_Print_Area_5_18_5">#REF!</definedName>
    <definedName name="Excel_BuiltIn_Print_Area_5_19">NA()</definedName>
    <definedName name="Excel_BuiltIn_Print_Area_5_19_5">#REF!</definedName>
    <definedName name="Excel_BuiltIn_Print_Area_5_20">NA()</definedName>
    <definedName name="Excel_BuiltIn_Print_Area_5_20_5">#REF!</definedName>
    <definedName name="Excel_BuiltIn_Print_Area_5_21">NA()</definedName>
    <definedName name="Excel_BuiltIn_Print_Area_5_21_1">NA()</definedName>
    <definedName name="Excel_BuiltIn_Print_Area_5_21_1_5">#REF!</definedName>
    <definedName name="Excel_BuiltIn_Print_Area_5_21_5">#REF!</definedName>
    <definedName name="Excel_BuiltIn_Print_Area_5_22">NA()</definedName>
    <definedName name="Excel_BuiltIn_Print_Area_5_22_5">#REF!</definedName>
    <definedName name="Excel_BuiltIn_Print_Area_5_23">NA()</definedName>
    <definedName name="Excel_BuiltIn_Print_Area_5_23_5">#REF!</definedName>
    <definedName name="Excel_BuiltIn_Print_Area_5_24">NA()</definedName>
    <definedName name="Excel_BuiltIn_Print_Area_5_24_5">#REF!</definedName>
    <definedName name="Excel_BuiltIn_Print_Area_5_25">NA()</definedName>
    <definedName name="Excel_BuiltIn_Print_Area_5_25_5">#REF!</definedName>
    <definedName name="Excel_BuiltIn_Print_Area_5_26">NA()</definedName>
    <definedName name="Excel_BuiltIn_Print_Area_5_26_5">#REF!</definedName>
    <definedName name="Excel_BuiltIn_Print_Area_5_27">NA()</definedName>
    <definedName name="Excel_BuiltIn_Print_Area_5_27_5">#REF!</definedName>
    <definedName name="Excel_BuiltIn_Print_Area_5_28">NA()</definedName>
    <definedName name="Excel_BuiltIn_Print_Area_5_28_5">#REF!</definedName>
    <definedName name="Excel_BuiltIn_Print_Area_5_6">NA()</definedName>
    <definedName name="Excel_BuiltIn_Print_Area_5_6_5">#REF!</definedName>
    <definedName name="Excel_BuiltIn_Print_Area_5_7">NA()</definedName>
    <definedName name="Excel_BuiltIn_Print_Area_5_7_5">#REF!</definedName>
    <definedName name="Excel_BuiltIn_Print_Area_5_8">NA()</definedName>
    <definedName name="Excel_BuiltIn_Print_Area_5_8_5">#REF!</definedName>
    <definedName name="Excel_BuiltIn_Print_Area_5_9">NA()</definedName>
    <definedName name="Excel_BuiltIn_Print_Area_5_9_5">#REF!</definedName>
    <definedName name="Excel_BuiltIn_Print_Area_6">#REF!</definedName>
    <definedName name="Excel_BuiltIn_Print_Area_6_1">"$#REF!.$A$1:$C$14"</definedName>
    <definedName name="Excel_BuiltIn_Print_Area_6_1_1">#REF!</definedName>
    <definedName name="Excel_BuiltIn_Print_Area_6_1_1_1">#REF!</definedName>
    <definedName name="Excel_BuiltIn_Print_Area_6_1_1_1_1">#REF!</definedName>
    <definedName name="Excel_BuiltIn_Print_Area_6_1_1_1_1_1">NA()</definedName>
    <definedName name="Excel_BuiltIn_Print_Area_6_1_1_1_1_1_1">NA()</definedName>
    <definedName name="Excel_BuiltIn_Print_Area_6_1_1_1_1_1_1_1">NA()</definedName>
    <definedName name="Excel_BuiltIn_Print_Area_6_1_1_1_2">NA()</definedName>
    <definedName name="Excel_BuiltIn_Print_Area_6_1_1_2">NA()</definedName>
    <definedName name="Excel_BuiltIn_Print_Area_6_2">NA()</definedName>
    <definedName name="Excel_BuiltIn_Print_Area_6_4">NA()</definedName>
    <definedName name="Excel_BuiltIn_Print_Area_7">#REF!</definedName>
    <definedName name="Excel_BuiltIn_Print_Area_7_1">NA()</definedName>
    <definedName name="Excel_BuiltIn_Print_Area_7_1_1">#REF!</definedName>
    <definedName name="Excel_BuiltIn_Print_Area_7_1_1_1">#REF!</definedName>
    <definedName name="Excel_BuiltIn_Print_Area_7_1_1_1_1">#REF!</definedName>
    <definedName name="Excel_BuiltIn_Print_Area_7_1_1_1_1_1">NA()</definedName>
    <definedName name="Excel_BuiltIn_Print_Area_7_1_1_1_1_1_1">NA()</definedName>
    <definedName name="Excel_BuiltIn_Print_Area_7_1_1_1_1_1_1_1">NA()</definedName>
    <definedName name="Excel_BuiltIn_Print_Area_7_1_1_1_1_1_1_1_1">NA()</definedName>
    <definedName name="Excel_BuiltIn_Print_Area_7_1_1_1_1_1_1_1_1_1">#REF!</definedName>
    <definedName name="Excel_BuiltIn_Print_Area_7_1_2">NA()</definedName>
    <definedName name="Excel_BuiltIn_Print_Area_7_1_5">#REF!</definedName>
    <definedName name="Excel_BuiltIn_Print_Area_7_2">NA()</definedName>
    <definedName name="Excel_BuiltIn_Print_Area_7_3">#REF!</definedName>
    <definedName name="Excel_BuiltIn_Print_Area_7_4">#REF!</definedName>
    <definedName name="Excel_BuiltIn_Print_Area_7_5">#N/A</definedName>
    <definedName name="Excel_BuiltIn_Print_Area_7_6">#N/A</definedName>
    <definedName name="Excel_BuiltIn_Print_Area_7_7">#N/A</definedName>
    <definedName name="Excel_BuiltIn_Print_Area_7_8">NA()</definedName>
    <definedName name="Excel_BuiltIn_Print_Area_8">NA()</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_1">#REF!</definedName>
    <definedName name="Excel_BuiltIn_Print_Area_8_1_1_1_1_1_1_1">#REF!</definedName>
    <definedName name="Excel_BuiltIn_Print_Area_8_5">#REF!</definedName>
    <definedName name="Excel_BuiltIn_Print_Area_9">#REF!</definedName>
    <definedName name="Excel_BuiltIn_Print_Area_9_1">NA()</definedName>
    <definedName name="Excel_BuiltIn_Print_Area_9_1_1">NA()</definedName>
    <definedName name="Excel_BuiltIn_Print_Area_9_1_1_1">"#REF!"</definedName>
    <definedName name="Excel_BuiltIn_Print_Area_9_1_1_1_1">"#REF!"</definedName>
    <definedName name="Excel_BuiltIn_Print_Area_9_1_1_1_1_1">#REF!</definedName>
    <definedName name="Excel_BuiltIn_Print_Area_9_1_1_1_1_1_1">#REF!</definedName>
    <definedName name="Excel_BuiltIn_Print_Area_9_1_1_1_1_1_1_1">#REF!</definedName>
    <definedName name="Excel_BuiltIn_Print_Area_9_1_1_1_1_1_1_1_1">#REF!</definedName>
    <definedName name="Excel_BuiltIn_Print_Area_9_1_1_1_1_1_1_1_1_1">#REF!</definedName>
    <definedName name="Excel_BuiltIn_Print_Area_9_1_1_1_1_1_1_1_1_1_1">#REF!</definedName>
    <definedName name="Excel_BuiltIn_Print_Area_9_1_1_1_1_1_1_1_1_1_1_1">#REF!</definedName>
    <definedName name="Excel_BuiltIn_Print_Area_9_1_1_5">#REF!</definedName>
    <definedName name="Excel_BuiltIn_Print_Area_9_1_5">#REF!</definedName>
    <definedName name="Excel_BuiltIn_Print_Area_9_1_8">#REF!</definedName>
    <definedName name="Excel_BuiltIn_Print_Titles">NA()</definedName>
    <definedName name="Excel_BuiltIn_Print_Titles_1">#REF!</definedName>
    <definedName name="Excel_BuiltIn_Print_Titles_1_1">#REF!</definedName>
    <definedName name="Excel_BuiltIn_Print_Titles_1_1_1">#REF!</definedName>
    <definedName name="Excel_BuiltIn_Print_Titles_1_1_1_1">NA()</definedName>
    <definedName name="Excel_BuiltIn_Print_Titles_1_1_1_1_1">#REF!</definedName>
    <definedName name="Excel_BuiltIn_Print_Titles_1_1_1_1_1_1">#REF!</definedName>
    <definedName name="Excel_BuiltIn_Print_Titles_1_1_1_1_1_1_1">#REF!</definedName>
    <definedName name="Excel_BuiltIn_Print_Titles_1_1_1_1_1_1_1_1">#REF!</definedName>
    <definedName name="Excel_BuiltIn_Print_Titles_1_1_1_1_1_1_1_1_1">#REF!</definedName>
    <definedName name="Excel_BuiltIn_Print_Titles_1_1_1_1_1_1_1_1_1_1">#REF!</definedName>
    <definedName name="Excel_BuiltIn_Print_Titles_1_1_1_1_1_1_1_1_1_1_1">#REF!</definedName>
    <definedName name="Excel_BuiltIn_Print_Titles_1_1_1_1_1_1_1_1_1_1_1_1">#REF!</definedName>
    <definedName name="Excel_BuiltIn_Print_Titles_1_1_1_1_1_1_1_1_1_1_1_1_1">#REF!</definedName>
    <definedName name="Excel_BuiltIn_Print_Titles_1_1_1_1_1_1_1_1_1_1_1_1_1_1">#REF!</definedName>
    <definedName name="Excel_BuiltIn_Print_Titles_1_1_1_1_1_1_1_1_1_1_1_1_1_1_1">(#REF!,#REF!)</definedName>
    <definedName name="Excel_BuiltIn_Print_Titles_1_1_1_1_5">#REF!</definedName>
    <definedName name="Excel_BuiltIn_Print_Titles_1_1_1_3">NA()</definedName>
    <definedName name="Excel_BuiltIn_Print_Titles_1_1_1_3_5">#REF!</definedName>
    <definedName name="Excel_BuiltIn_Print_Titles_1_1_1_5">#REF!</definedName>
    <definedName name="Excel_BuiltIn_Print_Titles_1_1_3">NA()</definedName>
    <definedName name="Excel_BuiltIn_Print_Titles_1_1_3_5">#REF!</definedName>
    <definedName name="Excel_BuiltIn_Print_Titles_1_1_5">#REF!</definedName>
    <definedName name="Excel_BuiltIn_Print_Titles_1_1_8">#REF!</definedName>
    <definedName name="Excel_BuiltIn_Print_Titles_1_2">NA()</definedName>
    <definedName name="Excel_BuiltIn_Print_Titles_1_2_1">NA()</definedName>
    <definedName name="Excel_BuiltIn_Print_Titles_1_3">#REF!</definedName>
    <definedName name="Excel_BuiltIn_Print_Titles_1_3_1">NA()</definedName>
    <definedName name="Excel_BuiltIn_Print_Titles_1_3_8">NA()</definedName>
    <definedName name="Excel_BuiltIn_Print_Titles_1_4">#REF!</definedName>
    <definedName name="Excel_BuiltIn_Print_Titles_1_4_1">NA()</definedName>
    <definedName name="Excel_BuiltIn_Print_Titles_1_4_1_1">NA()</definedName>
    <definedName name="Excel_BuiltIn_Print_Titles_1_4_8">NA()</definedName>
    <definedName name="Excel_BuiltIn_Print_Titles_1_5">#REF!</definedName>
    <definedName name="Excel_BuiltIn_Print_Titles_1_5_1">NA()</definedName>
    <definedName name="Excel_BuiltIn_Print_Titles_1_5_1_1">NA()</definedName>
    <definedName name="Excel_BuiltIn_Print_Titles_1_6">#N/A</definedName>
    <definedName name="Excel_BuiltIn_Print_Titles_1_6_1">NA()</definedName>
    <definedName name="Excel_BuiltIn_Print_Titles_1_7">#REF!</definedName>
    <definedName name="Excel_BuiltIn_Print_Titles_1_7_1">NA()</definedName>
    <definedName name="Excel_BuiltIn_Print_Titles_10">#REF!</definedName>
    <definedName name="Excel_BuiltIn_Print_Titles_10_1">NA()</definedName>
    <definedName name="Excel_BuiltIn_Print_Titles_10_1_1">NA()</definedName>
    <definedName name="Excel_BuiltIn_Print_Titles_10_1_1_1">#REF!</definedName>
    <definedName name="Excel_BuiltIn_Print_Titles_10_2">NA()</definedName>
    <definedName name="Excel_BuiltIn_Print_Titles_10_4">NA()</definedName>
    <definedName name="Excel_BuiltIn_Print_Titles_11">#REF!</definedName>
    <definedName name="Excel_BuiltIn_Print_Titles_11_1">#REF!</definedName>
    <definedName name="Excel_BuiltIn_Print_Titles_11_1_1">NA()</definedName>
    <definedName name="Excel_BuiltIn_Print_Titles_11_1_1_1">#REF!</definedName>
    <definedName name="Excel_BuiltIn_Print_Titles_11_1_8">#REF!</definedName>
    <definedName name="Excel_BuiltIn_Print_Titles_11_2">NA()</definedName>
    <definedName name="Excel_BuiltIn_Print_Titles_11_4">NA()</definedName>
    <definedName name="Excel_BuiltIn_Print_Titles_12">#REF!</definedName>
    <definedName name="Excel_BuiltIn_Print_Titles_12_1">#REF!</definedName>
    <definedName name="Excel_BuiltIn_Print_Titles_12_1_1">#REF!</definedName>
    <definedName name="Excel_BuiltIn_Print_Titles_12_8">#REF!</definedName>
    <definedName name="Excel_BuiltIn_Print_Titles_13">#REF!</definedName>
    <definedName name="Excel_BuiltIn_Print_Titles_13_1">#REF!</definedName>
    <definedName name="Excel_BuiltIn_Print_Titles_13_1_8">#REF!</definedName>
    <definedName name="Excel_BuiltIn_Print_Titles_13_8">#REF!</definedName>
    <definedName name="Excel_BuiltIn_Print_Titles_14">#REF!</definedName>
    <definedName name="Excel_BuiltIn_Print_Titles_14_1">#REF!</definedName>
    <definedName name="Excel_BuiltIn_Print_Titles_14_8">#REF!</definedName>
    <definedName name="Excel_BuiltIn_Print_Titles_15">#REF!</definedName>
    <definedName name="Excel_BuiltIn_Print_Titles_15_1">#REF!</definedName>
    <definedName name="Excel_BuiltIn_Print_Titles_15_1_8">#REF!</definedName>
    <definedName name="Excel_BuiltIn_Print_Titles_16">#REF!</definedName>
    <definedName name="Excel_BuiltIn_Print_Titles_16_8">#REF!</definedName>
    <definedName name="Excel_BuiltIn_Print_Titles_17">#REF!</definedName>
    <definedName name="Excel_BuiltIn_Print_Titles_17_1">#REF!</definedName>
    <definedName name="Excel_BuiltIn_Print_Titles_17_1_8">#REF!</definedName>
    <definedName name="Excel_BuiltIn_Print_Titles_17_8">#REF!</definedName>
    <definedName name="Excel_BuiltIn_Print_Titles_18">#REF!</definedName>
    <definedName name="Excel_BuiltIn_Print_Titles_18_8">#REF!</definedName>
    <definedName name="Excel_BuiltIn_Print_Titles_19">#REF!</definedName>
    <definedName name="Excel_BuiltIn_Print_Titles_19_1">#REF!</definedName>
    <definedName name="Excel_BuiltIn_Print_Titles_19_1_8">#REF!</definedName>
    <definedName name="Excel_BuiltIn_Print_Titles_19_8">#REF!</definedName>
    <definedName name="Excel_BuiltIn_Print_Titles_2">#REF!</definedName>
    <definedName name="Excel_BuiltIn_Print_Titles_2_1">#REF!</definedName>
    <definedName name="Excel_BuiltIn_Print_Titles_2_1_1">NA()</definedName>
    <definedName name="Excel_BuiltIn_Print_Titles_2_1_1_1">NA()</definedName>
    <definedName name="Excel_BuiltIn_Print_Titles_2_1_1_1_1">NA()</definedName>
    <definedName name="Excel_BuiltIn_Print_Titles_2_1_1_1_1_1">NA()</definedName>
    <definedName name="Excel_BuiltIn_Print_Titles_2_1_1_1_1_1_1">NA()</definedName>
    <definedName name="Excel_BuiltIn_Print_Titles_2_1_1_2">NA()</definedName>
    <definedName name="Excel_BuiltIn_Print_Titles_2_1_1_3">NA()</definedName>
    <definedName name="Excel_BuiltIn_Print_Titles_2_1_2">NA()</definedName>
    <definedName name="Excel_BuiltIn_Print_Titles_2_1_2_3">NA()</definedName>
    <definedName name="Excel_BuiltIn_Print_Titles_2_1_3">NA()</definedName>
    <definedName name="Excel_BuiltIn_Print_Titles_2_1_4">NA()</definedName>
    <definedName name="Excel_BuiltIn_Print_Titles_2_1_5">#REF!</definedName>
    <definedName name="Excel_BuiltIn_Print_Titles_2_1_6">#REF!</definedName>
    <definedName name="Excel_BuiltIn_Print_Titles_2_2">NA()</definedName>
    <definedName name="Excel_BuiltIn_Print_Titles_2_2_1">NA()</definedName>
    <definedName name="Excel_BuiltIn_Print_Titles_2_2_1_3">NA()</definedName>
    <definedName name="Excel_BuiltIn_Print_Titles_2_2_2">NA()</definedName>
    <definedName name="Excel_BuiltIn_Print_Titles_2_2_2_3">NA()</definedName>
    <definedName name="Excel_BuiltIn_Print_Titles_2_2_3">NA()</definedName>
    <definedName name="Excel_BuiltIn_Print_Titles_2_2_3_5">#REF!</definedName>
    <definedName name="Excel_BuiltIn_Print_Titles_2_2_5">#REF!</definedName>
    <definedName name="Excel_BuiltIn_Print_Titles_2_3">#REF!</definedName>
    <definedName name="Excel_BuiltIn_Print_Titles_2_3_1">NA()</definedName>
    <definedName name="Excel_BuiltIn_Print_Titles_2_3_8">NA()</definedName>
    <definedName name="Excel_BuiltIn_Print_Titles_2_4">#REF!</definedName>
    <definedName name="Excel_BuiltIn_Print_Titles_2_4_1">NA()</definedName>
    <definedName name="Excel_BuiltIn_Print_Titles_2_4_1_1">NA()</definedName>
    <definedName name="Excel_BuiltIn_Print_Titles_2_4_8">NA()</definedName>
    <definedName name="Excel_BuiltIn_Print_Titles_2_5">#REF!</definedName>
    <definedName name="Excel_BuiltIn_Print_Titles_2_5_1">NA()</definedName>
    <definedName name="Excel_BuiltIn_Print_Titles_2_5_1_1">NA()</definedName>
    <definedName name="Excel_BuiltIn_Print_Titles_2_6">#REF!</definedName>
    <definedName name="Excel_BuiltIn_Print_Titles_2_6_1">NA()</definedName>
    <definedName name="Excel_BuiltIn_Print_Titles_2_6_1_1">NA()</definedName>
    <definedName name="Excel_BuiltIn_Print_Titles_2_7">#REF!</definedName>
    <definedName name="Excel_BuiltIn_Print_Titles_2_7_1">NA()</definedName>
    <definedName name="Excel_BuiltIn_Print_Titles_2_8">NA()</definedName>
    <definedName name="Excel_BuiltIn_Print_Titles_21_1">#REF!</definedName>
    <definedName name="Excel_BuiltIn_Print_Titles_21_1_8">#REF!</definedName>
    <definedName name="Excel_BuiltIn_Print_Titles_22_1">#REF!</definedName>
    <definedName name="Excel_BuiltIn_Print_Titles_22_1_8">#REF!</definedName>
    <definedName name="Excel_BuiltIn_Print_Titles_24">#REF!</definedName>
    <definedName name="Excel_BuiltIn_Print_Titles_24_8">#REF!</definedName>
    <definedName name="Excel_BuiltIn_Print_Titles_26">#REF!</definedName>
    <definedName name="Excel_BuiltIn_Print_Titles_26_8">#REF!</definedName>
    <definedName name="Excel_BuiltIn_Print_Titles_27">#REF!</definedName>
    <definedName name="Excel_BuiltIn_Print_Titles_27_8">#REF!</definedName>
    <definedName name="Excel_BuiltIn_Print_Titles_29">#REF!</definedName>
    <definedName name="Excel_BuiltIn_Print_Titles_29_8">#REF!</definedName>
    <definedName name="Excel_BuiltIn_Print_Titles_3">NA()</definedName>
    <definedName name="Excel_BuiltIn_Print_Titles_3_1">NA()</definedName>
    <definedName name="Excel_BuiltIn_Print_Titles_3_1_1">NA()</definedName>
    <definedName name="Excel_BuiltIn_Print_Titles_3_1_1_1">NA()</definedName>
    <definedName name="Excel_BuiltIn_Print_Titles_3_1_1_1_1">NA()</definedName>
    <definedName name="Excel_BuiltIn_Print_Titles_3_1_1_1_1_1">NA()</definedName>
    <definedName name="Excel_BuiltIn_Print_Titles_3_1_1_1_1_1_1">(#REF!,#REF!)</definedName>
    <definedName name="Excel_BuiltIn_Print_Titles_3_1_1_1_1_1_1_1">(#REF!,#REF!)</definedName>
    <definedName name="Excel_BuiltIn_Print_Titles_3_1_1_1_1_1_1_1_1">(#REF!,#REF!)</definedName>
    <definedName name="Excel_BuiltIn_Print_Titles_3_1_1_1_1_1_1_1_1_1">(#REF!,#REF!)</definedName>
    <definedName name="Excel_BuiltIn_Print_Titles_3_1_1_1_1_1_1_1_1_1_1">(#REF!,#REF!)</definedName>
    <definedName name="Excel_BuiltIn_Print_Titles_3_1_1_3">NA()</definedName>
    <definedName name="Excel_BuiltIn_Print_Titles_3_1_1_3_1">NA()</definedName>
    <definedName name="Excel_BuiltIn_Print_Titles_3_1_1_3_5">#REF!</definedName>
    <definedName name="Excel_BuiltIn_Print_Titles_3_1_1_5">#REF!</definedName>
    <definedName name="Excel_BuiltIn_Print_Titles_3_1_2">NA()</definedName>
    <definedName name="Excel_BuiltIn_Print_Titles_3_1_2_3">NA()</definedName>
    <definedName name="Excel_BuiltIn_Print_Titles_3_1_28">NA()</definedName>
    <definedName name="Excel_BuiltIn_Print_Titles_3_1_28_3">NA()</definedName>
    <definedName name="Excel_BuiltIn_Print_Titles_3_1_3">NA()</definedName>
    <definedName name="Excel_BuiltIn_Print_Titles_3_1_3_1">NA()</definedName>
    <definedName name="Excel_BuiltIn_Print_Titles_3_1_4">NA()</definedName>
    <definedName name="Excel_BuiltIn_Print_Titles_3_1_5">#REF!</definedName>
    <definedName name="Excel_BuiltIn_Print_Titles_3_1_6">NA()</definedName>
    <definedName name="Excel_BuiltIn_Print_Titles_3_1_6_3">NA()</definedName>
    <definedName name="Excel_BuiltIn_Print_Titles_3_1_7">#REF!</definedName>
    <definedName name="Excel_BuiltIn_Print_Titles_3_1_8">#REF!</definedName>
    <definedName name="Excel_BuiltIn_Print_Titles_3_10_1">NA()</definedName>
    <definedName name="Excel_BuiltIn_Print_Titles_3_10_1_3">NA()</definedName>
    <definedName name="Excel_BuiltIn_Print_Titles_3_10_17">NA()</definedName>
    <definedName name="Excel_BuiltIn_Print_Titles_3_10_17_3">NA()</definedName>
    <definedName name="Excel_BuiltIn_Print_Titles_3_10_28">NA()</definedName>
    <definedName name="Excel_BuiltIn_Print_Titles_3_10_28_3">NA()</definedName>
    <definedName name="Excel_BuiltIn_Print_Titles_3_10_6">NA()</definedName>
    <definedName name="Excel_BuiltIn_Print_Titles_3_10_6_3">NA()</definedName>
    <definedName name="Excel_BuiltIn_Print_Titles_3_11">NA()</definedName>
    <definedName name="Excel_BuiltIn_Print_Titles_3_11_1">NA()</definedName>
    <definedName name="Excel_BuiltIn_Print_Titles_3_11_1_1">NA()</definedName>
    <definedName name="Excel_BuiltIn_Print_Titles_3_11_1_1_3">NA()</definedName>
    <definedName name="Excel_BuiltIn_Print_Titles_3_11_1_3">NA()</definedName>
    <definedName name="Excel_BuiltIn_Print_Titles_3_11_17">NA()</definedName>
    <definedName name="Excel_BuiltIn_Print_Titles_3_11_17_3">NA()</definedName>
    <definedName name="Excel_BuiltIn_Print_Titles_3_11_28">NA()</definedName>
    <definedName name="Excel_BuiltIn_Print_Titles_3_11_28_3">NA()</definedName>
    <definedName name="Excel_BuiltIn_Print_Titles_3_11_3">NA()</definedName>
    <definedName name="Excel_BuiltIn_Print_Titles_3_11_6">NA()</definedName>
    <definedName name="Excel_BuiltIn_Print_Titles_3_11_6_3">NA()</definedName>
    <definedName name="Excel_BuiltIn_Print_Titles_3_12">NA()</definedName>
    <definedName name="Excel_BuiltIn_Print_Titles_3_12_17">NA()</definedName>
    <definedName name="Excel_BuiltIn_Print_Titles_3_12_17_3">NA()</definedName>
    <definedName name="Excel_BuiltIn_Print_Titles_3_12_28">NA()</definedName>
    <definedName name="Excel_BuiltIn_Print_Titles_3_12_28_3">NA()</definedName>
    <definedName name="Excel_BuiltIn_Print_Titles_3_12_3">NA()</definedName>
    <definedName name="Excel_BuiltIn_Print_Titles_3_12_6">NA()</definedName>
    <definedName name="Excel_BuiltIn_Print_Titles_3_12_6_3">NA()</definedName>
    <definedName name="Excel_BuiltIn_Print_Titles_3_13">NA()</definedName>
    <definedName name="Excel_BuiltIn_Print_Titles_3_13_17">NA()</definedName>
    <definedName name="Excel_BuiltIn_Print_Titles_3_13_17_3">NA()</definedName>
    <definedName name="Excel_BuiltIn_Print_Titles_3_13_28">NA()</definedName>
    <definedName name="Excel_BuiltIn_Print_Titles_3_13_28_3">NA()</definedName>
    <definedName name="Excel_BuiltIn_Print_Titles_3_13_3">NA()</definedName>
    <definedName name="Excel_BuiltIn_Print_Titles_3_13_6">NA()</definedName>
    <definedName name="Excel_BuiltIn_Print_Titles_3_13_6_3">NA()</definedName>
    <definedName name="Excel_BuiltIn_Print_Titles_3_14">NA()</definedName>
    <definedName name="Excel_BuiltIn_Print_Titles_3_14_17">NA()</definedName>
    <definedName name="Excel_BuiltIn_Print_Titles_3_14_17_3">NA()</definedName>
    <definedName name="Excel_BuiltIn_Print_Titles_3_14_28">NA()</definedName>
    <definedName name="Excel_BuiltIn_Print_Titles_3_14_28_3">NA()</definedName>
    <definedName name="Excel_BuiltIn_Print_Titles_3_14_3">NA()</definedName>
    <definedName name="Excel_BuiltIn_Print_Titles_3_14_6">NA()</definedName>
    <definedName name="Excel_BuiltIn_Print_Titles_3_14_6_3">NA()</definedName>
    <definedName name="Excel_BuiltIn_Print_Titles_3_15">NA()</definedName>
    <definedName name="Excel_BuiltIn_Print_Titles_3_15_17">NA()</definedName>
    <definedName name="Excel_BuiltIn_Print_Titles_3_15_17_3">NA()</definedName>
    <definedName name="Excel_BuiltIn_Print_Titles_3_15_28">NA()</definedName>
    <definedName name="Excel_BuiltIn_Print_Titles_3_15_28_3">NA()</definedName>
    <definedName name="Excel_BuiltIn_Print_Titles_3_15_3">NA()</definedName>
    <definedName name="Excel_BuiltIn_Print_Titles_3_15_6">NA()</definedName>
    <definedName name="Excel_BuiltIn_Print_Titles_3_15_6_3">NA()</definedName>
    <definedName name="Excel_BuiltIn_Print_Titles_3_16">NA()</definedName>
    <definedName name="Excel_BuiltIn_Print_Titles_3_16_1">NA()</definedName>
    <definedName name="Excel_BuiltIn_Print_Titles_3_16_1_17">NA()</definedName>
    <definedName name="Excel_BuiltIn_Print_Titles_3_16_1_17_3">NA()</definedName>
    <definedName name="Excel_BuiltIn_Print_Titles_3_16_1_28">NA()</definedName>
    <definedName name="Excel_BuiltIn_Print_Titles_3_16_1_28_3">NA()</definedName>
    <definedName name="Excel_BuiltIn_Print_Titles_3_16_1_3">NA()</definedName>
    <definedName name="Excel_BuiltIn_Print_Titles_3_16_1_6">NA()</definedName>
    <definedName name="Excel_BuiltIn_Print_Titles_3_16_1_6_3">NA()</definedName>
    <definedName name="Excel_BuiltIn_Print_Titles_3_16_10">NA()</definedName>
    <definedName name="Excel_BuiltIn_Print_Titles_3_16_10_1">NA()</definedName>
    <definedName name="Excel_BuiltIn_Print_Titles_3_16_10_1_3">NA()</definedName>
    <definedName name="Excel_BuiltIn_Print_Titles_3_16_10_3">NA()</definedName>
    <definedName name="Excel_BuiltIn_Print_Titles_3_16_11">NA()</definedName>
    <definedName name="Excel_BuiltIn_Print_Titles_3_16_11_1">NA()</definedName>
    <definedName name="Excel_BuiltIn_Print_Titles_3_16_11_1_3">NA()</definedName>
    <definedName name="Excel_BuiltIn_Print_Titles_3_16_11_3">NA()</definedName>
    <definedName name="Excel_BuiltIn_Print_Titles_3_16_12">NA()</definedName>
    <definedName name="Excel_BuiltIn_Print_Titles_3_16_12_1">NA()</definedName>
    <definedName name="Excel_BuiltIn_Print_Titles_3_16_12_1_3">NA()</definedName>
    <definedName name="Excel_BuiltIn_Print_Titles_3_16_12_3">NA()</definedName>
    <definedName name="Excel_BuiltIn_Print_Titles_3_16_13">NA()</definedName>
    <definedName name="Excel_BuiltIn_Print_Titles_3_16_13_3">NA()</definedName>
    <definedName name="Excel_BuiltIn_Print_Titles_3_16_14">NA()</definedName>
    <definedName name="Excel_BuiltIn_Print_Titles_3_16_14_1">NA()</definedName>
    <definedName name="Excel_BuiltIn_Print_Titles_3_16_14_1_3">NA()</definedName>
    <definedName name="Excel_BuiltIn_Print_Titles_3_16_14_3">NA()</definedName>
    <definedName name="Excel_BuiltIn_Print_Titles_3_16_15">NA()</definedName>
    <definedName name="Excel_BuiltIn_Print_Titles_3_16_15_1">NA()</definedName>
    <definedName name="Excel_BuiltIn_Print_Titles_3_16_15_1_3">NA()</definedName>
    <definedName name="Excel_BuiltIn_Print_Titles_3_16_15_3">NA()</definedName>
    <definedName name="Excel_BuiltIn_Print_Titles_3_16_16">NA()</definedName>
    <definedName name="Excel_BuiltIn_Print_Titles_3_16_16_3">NA()</definedName>
    <definedName name="Excel_BuiltIn_Print_Titles_3_16_17">NA()</definedName>
    <definedName name="Excel_BuiltIn_Print_Titles_3_16_17_1">NA()</definedName>
    <definedName name="Excel_BuiltIn_Print_Titles_3_16_17_1_3">NA()</definedName>
    <definedName name="Excel_BuiltIn_Print_Titles_3_16_17_17">NA()</definedName>
    <definedName name="Excel_BuiltIn_Print_Titles_3_16_17_17_3">NA()</definedName>
    <definedName name="Excel_BuiltIn_Print_Titles_3_16_17_28">NA()</definedName>
    <definedName name="Excel_BuiltIn_Print_Titles_3_16_17_28_3">NA()</definedName>
    <definedName name="Excel_BuiltIn_Print_Titles_3_16_17_3">NA()</definedName>
    <definedName name="Excel_BuiltIn_Print_Titles_3_16_17_6">NA()</definedName>
    <definedName name="Excel_BuiltIn_Print_Titles_3_16_17_6_3">NA()</definedName>
    <definedName name="Excel_BuiltIn_Print_Titles_3_16_18_1">NA()</definedName>
    <definedName name="Excel_BuiltIn_Print_Titles_3_16_18_1_1">NA()</definedName>
    <definedName name="Excel_BuiltIn_Print_Titles_3_16_18_1_1_3">NA()</definedName>
    <definedName name="Excel_BuiltIn_Print_Titles_3_16_18_1_3">NA()</definedName>
    <definedName name="Excel_BuiltIn_Print_Titles_3_16_19">NA()</definedName>
    <definedName name="Excel_BuiltIn_Print_Titles_3_16_19_1">NA()</definedName>
    <definedName name="Excel_BuiltIn_Print_Titles_3_16_19_1_3">NA()</definedName>
    <definedName name="Excel_BuiltIn_Print_Titles_3_16_19_3">NA()</definedName>
    <definedName name="Excel_BuiltIn_Print_Titles_3_16_2">NA()</definedName>
    <definedName name="Excel_BuiltIn_Print_Titles_3_16_2_3">NA()</definedName>
    <definedName name="Excel_BuiltIn_Print_Titles_3_16_20">NA()</definedName>
    <definedName name="Excel_BuiltIn_Print_Titles_3_16_20_1">NA()</definedName>
    <definedName name="Excel_BuiltIn_Print_Titles_3_16_20_1_3">NA()</definedName>
    <definedName name="Excel_BuiltIn_Print_Titles_3_16_20_17">NA()</definedName>
    <definedName name="Excel_BuiltIn_Print_Titles_3_16_20_17_3">NA()</definedName>
    <definedName name="Excel_BuiltIn_Print_Titles_3_16_20_28">NA()</definedName>
    <definedName name="Excel_BuiltIn_Print_Titles_3_16_20_28_3">NA()</definedName>
    <definedName name="Excel_BuiltIn_Print_Titles_3_16_20_3">NA()</definedName>
    <definedName name="Excel_BuiltIn_Print_Titles_3_16_20_6">NA()</definedName>
    <definedName name="Excel_BuiltIn_Print_Titles_3_16_20_6_3">NA()</definedName>
    <definedName name="Excel_BuiltIn_Print_Titles_3_16_21_1">NA()</definedName>
    <definedName name="Excel_BuiltIn_Print_Titles_3_16_21_1_3">NA()</definedName>
    <definedName name="Excel_BuiltIn_Print_Titles_3_16_22">NA()</definedName>
    <definedName name="Excel_BuiltIn_Print_Titles_3_16_22_1">NA()</definedName>
    <definedName name="Excel_BuiltIn_Print_Titles_3_16_22_1_3">NA()</definedName>
    <definedName name="Excel_BuiltIn_Print_Titles_3_16_22_3">NA()</definedName>
    <definedName name="Excel_BuiltIn_Print_Titles_3_16_23">NA()</definedName>
    <definedName name="Excel_BuiltIn_Print_Titles_3_16_23_3">NA()</definedName>
    <definedName name="Excel_BuiltIn_Print_Titles_3_16_24">NA()</definedName>
    <definedName name="Excel_BuiltIn_Print_Titles_3_16_24_1">NA()</definedName>
    <definedName name="Excel_BuiltIn_Print_Titles_3_16_24_1_3">NA()</definedName>
    <definedName name="Excel_BuiltIn_Print_Titles_3_16_24_3">NA()</definedName>
    <definedName name="Excel_BuiltIn_Print_Titles_3_16_25">NA()</definedName>
    <definedName name="Excel_BuiltIn_Print_Titles_3_16_25_1">NA()</definedName>
    <definedName name="Excel_BuiltIn_Print_Titles_3_16_25_1_3">NA()</definedName>
    <definedName name="Excel_BuiltIn_Print_Titles_3_16_25_3">NA()</definedName>
    <definedName name="Excel_BuiltIn_Print_Titles_3_16_26">NA()</definedName>
    <definedName name="Excel_BuiltIn_Print_Titles_3_16_26_3">NA()</definedName>
    <definedName name="Excel_BuiltIn_Print_Titles_3_16_27">NA()</definedName>
    <definedName name="Excel_BuiltIn_Print_Titles_3_16_27_3">NA()</definedName>
    <definedName name="Excel_BuiltIn_Print_Titles_3_16_28">NA()</definedName>
    <definedName name="Excel_BuiltIn_Print_Titles_3_16_28_3">NA()</definedName>
    <definedName name="Excel_BuiltIn_Print_Titles_3_16_3">NA()</definedName>
    <definedName name="Excel_BuiltIn_Print_Titles_3_16_4">NA()</definedName>
    <definedName name="Excel_BuiltIn_Print_Titles_3_16_4_3">NA()</definedName>
    <definedName name="Excel_BuiltIn_Print_Titles_3_16_5_1">NA()</definedName>
    <definedName name="Excel_BuiltIn_Print_Titles_3_16_5_3">NA()</definedName>
    <definedName name="Excel_BuiltIn_Print_Titles_3_16_6">NA()</definedName>
    <definedName name="Excel_BuiltIn_Print_Titles_3_16_6_3">NA()</definedName>
    <definedName name="Excel_BuiltIn_Print_Titles_3_16_7">NA()</definedName>
    <definedName name="Excel_BuiltIn_Print_Titles_3_16_7_1">NA()</definedName>
    <definedName name="Excel_BuiltIn_Print_Titles_3_16_7_1_3">NA()</definedName>
    <definedName name="Excel_BuiltIn_Print_Titles_3_16_7_3">NA()</definedName>
    <definedName name="Excel_BuiltIn_Print_Titles_3_16_8">NA()</definedName>
    <definedName name="Excel_BuiltIn_Print_Titles_3_16_8_1">NA()</definedName>
    <definedName name="Excel_BuiltIn_Print_Titles_3_16_8_1_3">NA()</definedName>
    <definedName name="Excel_BuiltIn_Print_Titles_3_16_8_3">NA()</definedName>
    <definedName name="Excel_BuiltIn_Print_Titles_3_16_9">NA()</definedName>
    <definedName name="Excel_BuiltIn_Print_Titles_3_16_9_1">NA()</definedName>
    <definedName name="Excel_BuiltIn_Print_Titles_3_16_9_1_1">NA()</definedName>
    <definedName name="Excel_BuiltIn_Print_Titles_3_16_9_1_1_1">NA()</definedName>
    <definedName name="Excel_BuiltIn_Print_Titles_3_16_9_1_1_3">NA()</definedName>
    <definedName name="Excel_BuiltIn_Print_Titles_3_16_9_1_1_3_1">NA()</definedName>
    <definedName name="Excel_BuiltIn_Print_Titles_3_16_9_3">NA()</definedName>
    <definedName name="Excel_BuiltIn_Print_Titles_3_17">NA()</definedName>
    <definedName name="Excel_BuiltIn_Print_Titles_3_17_1">NA()</definedName>
    <definedName name="Excel_BuiltIn_Print_Titles_3_17_1_1">NA()</definedName>
    <definedName name="Excel_BuiltIn_Print_Titles_3_17_1_1_3">NA()</definedName>
    <definedName name="Excel_BuiltIn_Print_Titles_3_17_1_3">NA()</definedName>
    <definedName name="Excel_BuiltIn_Print_Titles_3_17_17">NA()</definedName>
    <definedName name="Excel_BuiltIn_Print_Titles_3_17_17_3">NA()</definedName>
    <definedName name="Excel_BuiltIn_Print_Titles_3_17_28">NA()</definedName>
    <definedName name="Excel_BuiltIn_Print_Titles_3_17_28_3">NA()</definedName>
    <definedName name="Excel_BuiltIn_Print_Titles_3_17_3">NA()</definedName>
    <definedName name="Excel_BuiltIn_Print_Titles_3_17_6">NA()</definedName>
    <definedName name="Excel_BuiltIn_Print_Titles_3_17_6_3">NA()</definedName>
    <definedName name="Excel_BuiltIn_Print_Titles_3_18_1">NA()</definedName>
    <definedName name="Excel_BuiltIn_Print_Titles_3_18_1_3">NA()</definedName>
    <definedName name="Excel_BuiltIn_Print_Titles_3_19_1">NA()</definedName>
    <definedName name="Excel_BuiltIn_Print_Titles_3_19_1_3">NA()</definedName>
    <definedName name="Excel_BuiltIn_Print_Titles_3_2">NA()</definedName>
    <definedName name="Excel_BuiltIn_Print_Titles_3_2_3">NA()</definedName>
    <definedName name="Excel_BuiltIn_Print_Titles_3_20">NA()</definedName>
    <definedName name="Excel_BuiltIn_Print_Titles_3_20_1">NA()</definedName>
    <definedName name="Excel_BuiltIn_Print_Titles_3_20_1_3">NA()</definedName>
    <definedName name="Excel_BuiltIn_Print_Titles_3_20_17">NA()</definedName>
    <definedName name="Excel_BuiltIn_Print_Titles_3_20_17_3">NA()</definedName>
    <definedName name="Excel_BuiltIn_Print_Titles_3_20_28">NA()</definedName>
    <definedName name="Excel_BuiltIn_Print_Titles_3_20_28_3">NA()</definedName>
    <definedName name="Excel_BuiltIn_Print_Titles_3_20_3">NA()</definedName>
    <definedName name="Excel_BuiltIn_Print_Titles_3_20_6">NA()</definedName>
    <definedName name="Excel_BuiltIn_Print_Titles_3_20_6_3">NA()</definedName>
    <definedName name="Excel_BuiltIn_Print_Titles_3_21_1">NA()</definedName>
    <definedName name="Excel_BuiltIn_Print_Titles_3_21_1_3">NA()</definedName>
    <definedName name="Excel_BuiltIn_Print_Titles_3_21_17">NA()</definedName>
    <definedName name="Excel_BuiltIn_Print_Titles_3_21_17_3">NA()</definedName>
    <definedName name="Excel_BuiltIn_Print_Titles_3_21_28">NA()</definedName>
    <definedName name="Excel_BuiltIn_Print_Titles_3_21_28_3">NA()</definedName>
    <definedName name="Excel_BuiltIn_Print_Titles_3_21_6">NA()</definedName>
    <definedName name="Excel_BuiltIn_Print_Titles_3_21_6_3">NA()</definedName>
    <definedName name="Excel_BuiltIn_Print_Titles_3_22">NA()</definedName>
    <definedName name="Excel_BuiltIn_Print_Titles_3_22_17">NA()</definedName>
    <definedName name="Excel_BuiltIn_Print_Titles_3_22_17_3">NA()</definedName>
    <definedName name="Excel_BuiltIn_Print_Titles_3_22_28">NA()</definedName>
    <definedName name="Excel_BuiltIn_Print_Titles_3_22_28_3">NA()</definedName>
    <definedName name="Excel_BuiltIn_Print_Titles_3_22_3">NA()</definedName>
    <definedName name="Excel_BuiltIn_Print_Titles_3_22_6">NA()</definedName>
    <definedName name="Excel_BuiltIn_Print_Titles_3_22_6_3">NA()</definedName>
    <definedName name="Excel_BuiltIn_Print_Titles_3_23">NA()</definedName>
    <definedName name="Excel_BuiltIn_Print_Titles_3_23_3">NA()</definedName>
    <definedName name="Excel_BuiltIn_Print_Titles_3_24">NA()</definedName>
    <definedName name="Excel_BuiltIn_Print_Titles_3_24_3">NA()</definedName>
    <definedName name="Excel_BuiltIn_Print_Titles_3_25">NA()</definedName>
    <definedName name="Excel_BuiltIn_Print_Titles_3_25_3">NA()</definedName>
    <definedName name="Excel_BuiltIn_Print_Titles_3_26">NA()</definedName>
    <definedName name="Excel_BuiltIn_Print_Titles_3_26_3">NA()</definedName>
    <definedName name="Excel_BuiltIn_Print_Titles_3_27">NA()</definedName>
    <definedName name="Excel_BuiltIn_Print_Titles_3_27_3">NA()</definedName>
    <definedName name="Excel_BuiltIn_Print_Titles_3_28">NA()</definedName>
    <definedName name="Excel_BuiltIn_Print_Titles_3_28_3">NA()</definedName>
    <definedName name="Excel_BuiltIn_Print_Titles_3_29">NA()</definedName>
    <definedName name="Excel_BuiltIn_Print_Titles_3_29_3">NA()</definedName>
    <definedName name="Excel_BuiltIn_Print_Titles_3_3">NA()</definedName>
    <definedName name="Excel_BuiltIn_Print_Titles_3_3_1">NA()</definedName>
    <definedName name="Excel_BuiltIn_Print_Titles_3_3_10">NA()</definedName>
    <definedName name="Excel_BuiltIn_Print_Titles_3_3_10_1">NA()</definedName>
    <definedName name="Excel_BuiltIn_Print_Titles_3_3_10_1_3">NA()</definedName>
    <definedName name="Excel_BuiltIn_Print_Titles_3_3_10_3">NA()</definedName>
    <definedName name="Excel_BuiltIn_Print_Titles_3_3_11">NA()</definedName>
    <definedName name="Excel_BuiltIn_Print_Titles_3_3_11_1">NA()</definedName>
    <definedName name="Excel_BuiltIn_Print_Titles_3_3_11_1_3">NA()</definedName>
    <definedName name="Excel_BuiltIn_Print_Titles_3_3_11_3">NA()</definedName>
    <definedName name="Excel_BuiltIn_Print_Titles_3_3_12">NA()</definedName>
    <definedName name="Excel_BuiltIn_Print_Titles_3_3_12_1">NA()</definedName>
    <definedName name="Excel_BuiltIn_Print_Titles_3_3_12_1_3">NA()</definedName>
    <definedName name="Excel_BuiltIn_Print_Titles_3_3_12_3">NA()</definedName>
    <definedName name="Excel_BuiltIn_Print_Titles_3_3_13">NA()</definedName>
    <definedName name="Excel_BuiltIn_Print_Titles_3_3_13_3">NA()</definedName>
    <definedName name="Excel_BuiltIn_Print_Titles_3_3_14">NA()</definedName>
    <definedName name="Excel_BuiltIn_Print_Titles_3_3_14_1">NA()</definedName>
    <definedName name="Excel_BuiltIn_Print_Titles_3_3_14_1_3">NA()</definedName>
    <definedName name="Excel_BuiltIn_Print_Titles_3_3_14_3">NA()</definedName>
    <definedName name="Excel_BuiltIn_Print_Titles_3_3_15">NA()</definedName>
    <definedName name="Excel_BuiltIn_Print_Titles_3_3_15_1">NA()</definedName>
    <definedName name="Excel_BuiltIn_Print_Titles_3_3_15_1_3">NA()</definedName>
    <definedName name="Excel_BuiltIn_Print_Titles_3_3_15_3">NA()</definedName>
    <definedName name="Excel_BuiltIn_Print_Titles_3_3_16">NA()</definedName>
    <definedName name="Excel_BuiltIn_Print_Titles_3_3_16_3">NA()</definedName>
    <definedName name="Excel_BuiltIn_Print_Titles_3_3_17">NA()</definedName>
    <definedName name="Excel_BuiltIn_Print_Titles_3_3_17_1">NA()</definedName>
    <definedName name="Excel_BuiltIn_Print_Titles_3_3_17_1_3">NA()</definedName>
    <definedName name="Excel_BuiltIn_Print_Titles_3_3_17_17">NA()</definedName>
    <definedName name="Excel_BuiltIn_Print_Titles_3_3_17_17_3">NA()</definedName>
    <definedName name="Excel_BuiltIn_Print_Titles_3_3_17_28">NA()</definedName>
    <definedName name="Excel_BuiltIn_Print_Titles_3_3_17_28_3">NA()</definedName>
    <definedName name="Excel_BuiltIn_Print_Titles_3_3_17_3">NA()</definedName>
    <definedName name="Excel_BuiltIn_Print_Titles_3_3_17_6">NA()</definedName>
    <definedName name="Excel_BuiltIn_Print_Titles_3_3_17_6_3">NA()</definedName>
    <definedName name="Excel_BuiltIn_Print_Titles_3_3_18_1">NA()</definedName>
    <definedName name="Excel_BuiltIn_Print_Titles_3_3_18_1_1">NA()</definedName>
    <definedName name="Excel_BuiltIn_Print_Titles_3_3_18_1_1_3">NA()</definedName>
    <definedName name="Excel_BuiltIn_Print_Titles_3_3_18_1_3">NA()</definedName>
    <definedName name="Excel_BuiltIn_Print_Titles_3_3_19">NA()</definedName>
    <definedName name="Excel_BuiltIn_Print_Titles_3_3_19_1">NA()</definedName>
    <definedName name="Excel_BuiltIn_Print_Titles_3_3_19_1_3">NA()</definedName>
    <definedName name="Excel_BuiltIn_Print_Titles_3_3_19_3">NA()</definedName>
    <definedName name="Excel_BuiltIn_Print_Titles_3_3_2">NA()</definedName>
    <definedName name="Excel_BuiltIn_Print_Titles_3_3_2_3">NA()</definedName>
    <definedName name="Excel_BuiltIn_Print_Titles_3_3_20">NA()</definedName>
    <definedName name="Excel_BuiltIn_Print_Titles_3_3_20_1">NA()</definedName>
    <definedName name="Excel_BuiltIn_Print_Titles_3_3_20_1_3">NA()</definedName>
    <definedName name="Excel_BuiltIn_Print_Titles_3_3_20_17">NA()</definedName>
    <definedName name="Excel_BuiltIn_Print_Titles_3_3_20_17_3">NA()</definedName>
    <definedName name="Excel_BuiltIn_Print_Titles_3_3_20_28">NA()</definedName>
    <definedName name="Excel_BuiltIn_Print_Titles_3_3_20_28_3">NA()</definedName>
    <definedName name="Excel_BuiltIn_Print_Titles_3_3_20_3">NA()</definedName>
    <definedName name="Excel_BuiltIn_Print_Titles_3_3_20_6">NA()</definedName>
    <definedName name="Excel_BuiltIn_Print_Titles_3_3_20_6_3">NA()</definedName>
    <definedName name="Excel_BuiltIn_Print_Titles_3_3_21_1">NA()</definedName>
    <definedName name="Excel_BuiltIn_Print_Titles_3_3_21_1_3">NA()</definedName>
    <definedName name="Excel_BuiltIn_Print_Titles_3_3_22">NA()</definedName>
    <definedName name="Excel_BuiltIn_Print_Titles_3_3_22_1">NA()</definedName>
    <definedName name="Excel_BuiltIn_Print_Titles_3_3_22_1_3">NA()</definedName>
    <definedName name="Excel_BuiltIn_Print_Titles_3_3_22_3">NA()</definedName>
    <definedName name="Excel_BuiltIn_Print_Titles_3_3_23">NA()</definedName>
    <definedName name="Excel_BuiltIn_Print_Titles_3_3_23_3">NA()</definedName>
    <definedName name="Excel_BuiltIn_Print_Titles_3_3_24">NA()</definedName>
    <definedName name="Excel_BuiltIn_Print_Titles_3_3_24_1">NA()</definedName>
    <definedName name="Excel_BuiltIn_Print_Titles_3_3_24_1_3">NA()</definedName>
    <definedName name="Excel_BuiltIn_Print_Titles_3_3_24_3">NA()</definedName>
    <definedName name="Excel_BuiltIn_Print_Titles_3_3_25">NA()</definedName>
    <definedName name="Excel_BuiltIn_Print_Titles_3_3_25_1">NA()</definedName>
    <definedName name="Excel_BuiltIn_Print_Titles_3_3_25_1_3">NA()</definedName>
    <definedName name="Excel_BuiltIn_Print_Titles_3_3_25_3">NA()</definedName>
    <definedName name="Excel_BuiltIn_Print_Titles_3_3_26">NA()</definedName>
    <definedName name="Excel_BuiltIn_Print_Titles_3_3_26_3">NA()</definedName>
    <definedName name="Excel_BuiltIn_Print_Titles_3_3_27">NA()</definedName>
    <definedName name="Excel_BuiltIn_Print_Titles_3_3_27_3">NA()</definedName>
    <definedName name="Excel_BuiltIn_Print_Titles_3_3_28">NA()</definedName>
    <definedName name="Excel_BuiltIn_Print_Titles_3_3_28_3">NA()</definedName>
    <definedName name="Excel_BuiltIn_Print_Titles_3_3_3">NA()</definedName>
    <definedName name="Excel_BuiltIn_Print_Titles_3_3_4">NA()</definedName>
    <definedName name="Excel_BuiltIn_Print_Titles_3_3_4_3">NA()</definedName>
    <definedName name="Excel_BuiltIn_Print_Titles_3_3_5_1">NA()</definedName>
    <definedName name="Excel_BuiltIn_Print_Titles_3_3_5_3">NA()</definedName>
    <definedName name="Excel_BuiltIn_Print_Titles_3_3_6">NA()</definedName>
    <definedName name="Excel_BuiltIn_Print_Titles_3_3_6_3">NA()</definedName>
    <definedName name="Excel_BuiltIn_Print_Titles_3_3_7">NA()</definedName>
    <definedName name="Excel_BuiltIn_Print_Titles_3_3_7_1">NA()</definedName>
    <definedName name="Excel_BuiltIn_Print_Titles_3_3_7_1_3">NA()</definedName>
    <definedName name="Excel_BuiltIn_Print_Titles_3_3_7_3">NA()</definedName>
    <definedName name="Excel_BuiltIn_Print_Titles_3_3_8">NA()</definedName>
    <definedName name="Excel_BuiltIn_Print_Titles_3_3_8_1">NA()</definedName>
    <definedName name="Excel_BuiltIn_Print_Titles_3_3_8_1_3">NA()</definedName>
    <definedName name="Excel_BuiltIn_Print_Titles_3_3_8_3">NA()</definedName>
    <definedName name="Excel_BuiltIn_Print_Titles_3_3_9">NA()</definedName>
    <definedName name="Excel_BuiltIn_Print_Titles_3_3_9_1">NA()</definedName>
    <definedName name="Excel_BuiltIn_Print_Titles_3_3_9_1_1">NA()</definedName>
    <definedName name="Excel_BuiltIn_Print_Titles_3_3_9_1_1_1">NA()</definedName>
    <definedName name="Excel_BuiltIn_Print_Titles_3_3_9_1_1_3">NA()</definedName>
    <definedName name="Excel_BuiltIn_Print_Titles_3_3_9_1_1_3_1">NA()</definedName>
    <definedName name="Excel_BuiltIn_Print_Titles_3_3_9_3">NA()</definedName>
    <definedName name="Excel_BuiltIn_Print_Titles_3_4">NA()</definedName>
    <definedName name="Excel_BuiltIn_Print_Titles_3_4_1">NA()</definedName>
    <definedName name="Excel_BuiltIn_Print_Titles_3_4_1_1">NA()</definedName>
    <definedName name="Excel_BuiltIn_Print_Titles_3_4_1_1_1">NA()</definedName>
    <definedName name="Excel_BuiltIn_Print_Titles_3_4_1_1_1_1">NA()</definedName>
    <definedName name="Excel_BuiltIn_Print_Titles_3_4_1_1_1_1_1">NA()</definedName>
    <definedName name="Excel_BuiltIn_Print_Titles_3_4_1_1_1_1_3">NA()</definedName>
    <definedName name="Excel_BuiltIn_Print_Titles_3_4_1_1_1_3">NA()</definedName>
    <definedName name="Excel_BuiltIn_Print_Titles_3_4_1_1_1_3_1">NA()</definedName>
    <definedName name="Excel_BuiltIn_Print_Titles_3_4_1_1_3">NA()</definedName>
    <definedName name="Excel_BuiltIn_Print_Titles_3_4_1_1_3_1">NA()</definedName>
    <definedName name="Excel_BuiltIn_Print_Titles_3_4_1_11">NA()</definedName>
    <definedName name="Excel_BuiltIn_Print_Titles_3_4_1_11_3">NA()</definedName>
    <definedName name="Excel_BuiltIn_Print_Titles_3_4_1_17">NA()</definedName>
    <definedName name="Excel_BuiltIn_Print_Titles_3_4_1_17_1">NA()</definedName>
    <definedName name="Excel_BuiltIn_Print_Titles_3_4_1_17_1_3">NA()</definedName>
    <definedName name="Excel_BuiltIn_Print_Titles_3_4_1_17_3">NA()</definedName>
    <definedName name="Excel_BuiltIn_Print_Titles_3_4_1_18_1">NA()</definedName>
    <definedName name="Excel_BuiltIn_Print_Titles_3_4_1_18_1_3">NA()</definedName>
    <definedName name="Excel_BuiltIn_Print_Titles_3_4_1_28">NA()</definedName>
    <definedName name="Excel_BuiltIn_Print_Titles_3_4_1_28_3">NA()</definedName>
    <definedName name="Excel_BuiltIn_Print_Titles_3_4_1_3">NA()</definedName>
    <definedName name="Excel_BuiltIn_Print_Titles_3_4_1_6">NA()</definedName>
    <definedName name="Excel_BuiltIn_Print_Titles_3_4_1_6_3">NA()</definedName>
    <definedName name="Excel_BuiltIn_Print_Titles_3_4_10">NA()</definedName>
    <definedName name="Excel_BuiltIn_Print_Titles_3_4_10_3">NA()</definedName>
    <definedName name="Excel_BuiltIn_Print_Titles_3_4_11">NA()</definedName>
    <definedName name="Excel_BuiltIn_Print_Titles_3_4_11_1">NA()</definedName>
    <definedName name="Excel_BuiltIn_Print_Titles_3_4_11_1_3">NA()</definedName>
    <definedName name="Excel_BuiltIn_Print_Titles_3_4_11_3">NA()</definedName>
    <definedName name="Excel_BuiltIn_Print_Titles_3_4_12">NA()</definedName>
    <definedName name="Excel_BuiltIn_Print_Titles_3_4_12_1">NA()</definedName>
    <definedName name="Excel_BuiltIn_Print_Titles_3_4_12_1_3">NA()</definedName>
    <definedName name="Excel_BuiltIn_Print_Titles_3_4_12_3">NA()</definedName>
    <definedName name="Excel_BuiltIn_Print_Titles_3_4_13">NA()</definedName>
    <definedName name="Excel_BuiltIn_Print_Titles_3_4_13_1">NA()</definedName>
    <definedName name="Excel_BuiltIn_Print_Titles_3_4_13_1_3">NA()</definedName>
    <definedName name="Excel_BuiltIn_Print_Titles_3_4_13_3">NA()</definedName>
    <definedName name="Excel_BuiltIn_Print_Titles_3_4_14">NA()</definedName>
    <definedName name="Excel_BuiltIn_Print_Titles_3_4_14_1">NA()</definedName>
    <definedName name="Excel_BuiltIn_Print_Titles_3_4_14_1_3">NA()</definedName>
    <definedName name="Excel_BuiltIn_Print_Titles_3_4_14_3">NA()</definedName>
    <definedName name="Excel_BuiltIn_Print_Titles_3_4_15">NA()</definedName>
    <definedName name="Excel_BuiltIn_Print_Titles_3_4_15_3">NA()</definedName>
    <definedName name="Excel_BuiltIn_Print_Titles_3_4_16">NA()</definedName>
    <definedName name="Excel_BuiltIn_Print_Titles_3_4_16_1">NA()</definedName>
    <definedName name="Excel_BuiltIn_Print_Titles_3_4_16_1_3">NA()</definedName>
    <definedName name="Excel_BuiltIn_Print_Titles_3_4_16_3">NA()</definedName>
    <definedName name="Excel_BuiltIn_Print_Titles_3_4_17">NA()</definedName>
    <definedName name="Excel_BuiltIn_Print_Titles_3_4_17_1">NA()</definedName>
    <definedName name="Excel_BuiltIn_Print_Titles_3_4_17_1_3">NA()</definedName>
    <definedName name="Excel_BuiltIn_Print_Titles_3_4_17_3">NA()</definedName>
    <definedName name="Excel_BuiltIn_Print_Titles_3_4_18_1">NA()</definedName>
    <definedName name="Excel_BuiltIn_Print_Titles_3_4_18_1_1">NA()</definedName>
    <definedName name="Excel_BuiltIn_Print_Titles_3_4_18_1_1_3">NA()</definedName>
    <definedName name="Excel_BuiltIn_Print_Titles_3_4_18_1_3">NA()</definedName>
    <definedName name="Excel_BuiltIn_Print_Titles_3_4_19">NA()</definedName>
    <definedName name="Excel_BuiltIn_Print_Titles_3_4_19_1">NA()</definedName>
    <definedName name="Excel_BuiltIn_Print_Titles_3_4_19_1_3">NA()</definedName>
    <definedName name="Excel_BuiltIn_Print_Titles_3_4_19_3">NA()</definedName>
    <definedName name="Excel_BuiltIn_Print_Titles_3_4_2">NA()</definedName>
    <definedName name="Excel_BuiltIn_Print_Titles_3_4_2_3">NA()</definedName>
    <definedName name="Excel_BuiltIn_Print_Titles_3_4_20">NA()</definedName>
    <definedName name="Excel_BuiltIn_Print_Titles_3_4_20_3">NA()</definedName>
    <definedName name="Excel_BuiltIn_Print_Titles_3_4_21_1">NA()</definedName>
    <definedName name="Excel_BuiltIn_Print_Titles_3_4_21_1_3">NA()</definedName>
    <definedName name="Excel_BuiltIn_Print_Titles_3_4_22">NA()</definedName>
    <definedName name="Excel_BuiltIn_Print_Titles_3_4_22_1">NA()</definedName>
    <definedName name="Excel_BuiltIn_Print_Titles_3_4_22_1_3">NA()</definedName>
    <definedName name="Excel_BuiltIn_Print_Titles_3_4_22_3">NA()</definedName>
    <definedName name="Excel_BuiltIn_Print_Titles_3_4_23">NA()</definedName>
    <definedName name="Excel_BuiltIn_Print_Titles_3_4_23_1">NA()</definedName>
    <definedName name="Excel_BuiltIn_Print_Titles_3_4_23_1_3">NA()</definedName>
    <definedName name="Excel_BuiltIn_Print_Titles_3_4_23_17">NA()</definedName>
    <definedName name="Excel_BuiltIn_Print_Titles_3_4_23_17_3">NA()</definedName>
    <definedName name="Excel_BuiltIn_Print_Titles_3_4_23_28">NA()</definedName>
    <definedName name="Excel_BuiltIn_Print_Titles_3_4_23_28_3">NA()</definedName>
    <definedName name="Excel_BuiltIn_Print_Titles_3_4_23_3">NA()</definedName>
    <definedName name="Excel_BuiltIn_Print_Titles_3_4_23_6">NA()</definedName>
    <definedName name="Excel_BuiltIn_Print_Titles_3_4_23_6_3">NA()</definedName>
    <definedName name="Excel_BuiltIn_Print_Titles_3_4_24">NA()</definedName>
    <definedName name="Excel_BuiltIn_Print_Titles_3_4_24_1">NA()</definedName>
    <definedName name="Excel_BuiltIn_Print_Titles_3_4_24_1_3">NA()</definedName>
    <definedName name="Excel_BuiltIn_Print_Titles_3_4_24_3">NA()</definedName>
    <definedName name="Excel_BuiltIn_Print_Titles_3_4_25">NA()</definedName>
    <definedName name="Excel_BuiltIn_Print_Titles_3_4_25_1">NA()</definedName>
    <definedName name="Excel_BuiltIn_Print_Titles_3_4_25_1_3">NA()</definedName>
    <definedName name="Excel_BuiltIn_Print_Titles_3_4_25_3">NA()</definedName>
    <definedName name="Excel_BuiltIn_Print_Titles_3_4_26">NA()</definedName>
    <definedName name="Excel_BuiltIn_Print_Titles_3_4_26_3">NA()</definedName>
    <definedName name="Excel_BuiltIn_Print_Titles_3_4_27">NA()</definedName>
    <definedName name="Excel_BuiltIn_Print_Titles_3_4_27_3">NA()</definedName>
    <definedName name="Excel_BuiltIn_Print_Titles_3_4_28">NA()</definedName>
    <definedName name="Excel_BuiltIn_Print_Titles_3_4_28_3">NA()</definedName>
    <definedName name="Excel_BuiltIn_Print_Titles_3_4_3">NA()</definedName>
    <definedName name="Excel_BuiltIn_Print_Titles_3_4_5_1">NA()</definedName>
    <definedName name="Excel_BuiltIn_Print_Titles_3_4_5_3">NA()</definedName>
    <definedName name="Excel_BuiltIn_Print_Titles_3_4_6">NA()</definedName>
    <definedName name="Excel_BuiltIn_Print_Titles_3_4_6_3">NA()</definedName>
    <definedName name="Excel_BuiltIn_Print_Titles_3_4_7">NA()</definedName>
    <definedName name="Excel_BuiltIn_Print_Titles_3_4_7_1">NA()</definedName>
    <definedName name="Excel_BuiltIn_Print_Titles_3_4_7_1_3">NA()</definedName>
    <definedName name="Excel_BuiltIn_Print_Titles_3_4_7_3">NA()</definedName>
    <definedName name="Excel_BuiltIn_Print_Titles_3_4_8">NA()</definedName>
    <definedName name="Excel_BuiltIn_Print_Titles_3_4_8_3">NA()</definedName>
    <definedName name="Excel_BuiltIn_Print_Titles_3_4_9">NA()</definedName>
    <definedName name="Excel_BuiltIn_Print_Titles_3_4_9_1">NA()</definedName>
    <definedName name="Excel_BuiltIn_Print_Titles_3_4_9_1_1">NA()</definedName>
    <definedName name="Excel_BuiltIn_Print_Titles_3_4_9_1_1_1">NA()</definedName>
    <definedName name="Excel_BuiltIn_Print_Titles_3_4_9_1_1_3">NA()</definedName>
    <definedName name="Excel_BuiltIn_Print_Titles_3_4_9_1_1_3_1">NA()</definedName>
    <definedName name="Excel_BuiltIn_Print_Titles_3_4_9_1_3">NA()</definedName>
    <definedName name="Excel_BuiltIn_Print_Titles_3_4_9_17">NA()</definedName>
    <definedName name="Excel_BuiltIn_Print_Titles_3_4_9_17_3">NA()</definedName>
    <definedName name="Excel_BuiltIn_Print_Titles_3_4_9_28">NA()</definedName>
    <definedName name="Excel_BuiltIn_Print_Titles_3_4_9_28_3">NA()</definedName>
    <definedName name="Excel_BuiltIn_Print_Titles_3_4_9_3">NA()</definedName>
    <definedName name="Excel_BuiltIn_Print_Titles_3_4_9_6">NA()</definedName>
    <definedName name="Excel_BuiltIn_Print_Titles_3_4_9_6_3">NA()</definedName>
    <definedName name="Excel_BuiltIn_Print_Titles_3_5_1">NA()</definedName>
    <definedName name="Excel_BuiltIn_Print_Titles_3_5_17">NA()</definedName>
    <definedName name="Excel_BuiltIn_Print_Titles_3_5_17_3">NA()</definedName>
    <definedName name="Excel_BuiltIn_Print_Titles_3_5_28">NA()</definedName>
    <definedName name="Excel_BuiltIn_Print_Titles_3_5_28_3">NA()</definedName>
    <definedName name="Excel_BuiltIn_Print_Titles_3_5_3">NA()</definedName>
    <definedName name="Excel_BuiltIn_Print_Titles_3_5_6">NA()</definedName>
    <definedName name="Excel_BuiltIn_Print_Titles_3_5_6_3">NA()</definedName>
    <definedName name="Excel_BuiltIn_Print_Titles_3_6">NA()</definedName>
    <definedName name="Excel_BuiltIn_Print_Titles_3_6_1">NA()</definedName>
    <definedName name="Excel_BuiltIn_Print_Titles_3_6_1_3">NA()</definedName>
    <definedName name="Excel_BuiltIn_Print_Titles_3_6_10">NA()</definedName>
    <definedName name="Excel_BuiltIn_Print_Titles_3_6_10_3">NA()</definedName>
    <definedName name="Excel_BuiltIn_Print_Titles_3_6_11">NA()</definedName>
    <definedName name="Excel_BuiltIn_Print_Titles_3_6_11_1">NA()</definedName>
    <definedName name="Excel_BuiltIn_Print_Titles_3_6_11_1_3">NA()</definedName>
    <definedName name="Excel_BuiltIn_Print_Titles_3_6_11_3">NA()</definedName>
    <definedName name="Excel_BuiltIn_Print_Titles_3_6_12">NA()</definedName>
    <definedName name="Excel_BuiltIn_Print_Titles_3_6_12_1">NA()</definedName>
    <definedName name="Excel_BuiltIn_Print_Titles_3_6_12_1_3">NA()</definedName>
    <definedName name="Excel_BuiltIn_Print_Titles_3_6_12_3">NA()</definedName>
    <definedName name="Excel_BuiltIn_Print_Titles_3_6_13">NA()</definedName>
    <definedName name="Excel_BuiltIn_Print_Titles_3_6_13_1">NA()</definedName>
    <definedName name="Excel_BuiltIn_Print_Titles_3_6_13_1_3">NA()</definedName>
    <definedName name="Excel_BuiltIn_Print_Titles_3_6_13_3">NA()</definedName>
    <definedName name="Excel_BuiltIn_Print_Titles_3_6_14">NA()</definedName>
    <definedName name="Excel_BuiltIn_Print_Titles_3_6_14_1">NA()</definedName>
    <definedName name="Excel_BuiltIn_Print_Titles_3_6_14_1_3">NA()</definedName>
    <definedName name="Excel_BuiltIn_Print_Titles_3_6_14_3">NA()</definedName>
    <definedName name="Excel_BuiltIn_Print_Titles_3_6_15">NA()</definedName>
    <definedName name="Excel_BuiltIn_Print_Titles_3_6_15_3">NA()</definedName>
    <definedName name="Excel_BuiltIn_Print_Titles_3_6_16">NA()</definedName>
    <definedName name="Excel_BuiltIn_Print_Titles_3_6_16_1">NA()</definedName>
    <definedName name="Excel_BuiltIn_Print_Titles_3_6_16_1_3">NA()</definedName>
    <definedName name="Excel_BuiltIn_Print_Titles_3_6_16_3">NA()</definedName>
    <definedName name="Excel_BuiltIn_Print_Titles_3_6_17">NA()</definedName>
    <definedName name="Excel_BuiltIn_Print_Titles_3_6_17_1">NA()</definedName>
    <definedName name="Excel_BuiltIn_Print_Titles_3_6_17_1_3">NA()</definedName>
    <definedName name="Excel_BuiltIn_Print_Titles_3_6_17_3">NA()</definedName>
    <definedName name="Excel_BuiltIn_Print_Titles_3_6_18_1">NA()</definedName>
    <definedName name="Excel_BuiltIn_Print_Titles_3_6_18_1_1">NA()</definedName>
    <definedName name="Excel_BuiltIn_Print_Titles_3_6_18_1_1_3">NA()</definedName>
    <definedName name="Excel_BuiltIn_Print_Titles_3_6_18_1_3">NA()</definedName>
    <definedName name="Excel_BuiltIn_Print_Titles_3_6_19">NA()</definedName>
    <definedName name="Excel_BuiltIn_Print_Titles_3_6_19_1">NA()</definedName>
    <definedName name="Excel_BuiltIn_Print_Titles_3_6_19_1_3">NA()</definedName>
    <definedName name="Excel_BuiltIn_Print_Titles_3_6_19_3">NA()</definedName>
    <definedName name="Excel_BuiltIn_Print_Titles_3_6_2">NA()</definedName>
    <definedName name="Excel_BuiltIn_Print_Titles_3_6_2_3">NA()</definedName>
    <definedName name="Excel_BuiltIn_Print_Titles_3_6_20">NA()</definedName>
    <definedName name="Excel_BuiltIn_Print_Titles_3_6_20_3">NA()</definedName>
    <definedName name="Excel_BuiltIn_Print_Titles_3_6_21_1">NA()</definedName>
    <definedName name="Excel_BuiltIn_Print_Titles_3_6_21_1_3">NA()</definedName>
    <definedName name="Excel_BuiltIn_Print_Titles_3_6_22">NA()</definedName>
    <definedName name="Excel_BuiltIn_Print_Titles_3_6_22_1">NA()</definedName>
    <definedName name="Excel_BuiltIn_Print_Titles_3_6_22_1_3">NA()</definedName>
    <definedName name="Excel_BuiltIn_Print_Titles_3_6_22_3">NA()</definedName>
    <definedName name="Excel_BuiltIn_Print_Titles_3_6_23">NA()</definedName>
    <definedName name="Excel_BuiltIn_Print_Titles_3_6_23_1">NA()</definedName>
    <definedName name="Excel_BuiltIn_Print_Titles_3_6_23_1_3">NA()</definedName>
    <definedName name="Excel_BuiltIn_Print_Titles_3_6_23_17">NA()</definedName>
    <definedName name="Excel_BuiltIn_Print_Titles_3_6_23_17_3">NA()</definedName>
    <definedName name="Excel_BuiltIn_Print_Titles_3_6_23_28">NA()</definedName>
    <definedName name="Excel_BuiltIn_Print_Titles_3_6_23_28_3">NA()</definedName>
    <definedName name="Excel_BuiltIn_Print_Titles_3_6_23_3">NA()</definedName>
    <definedName name="Excel_BuiltIn_Print_Titles_3_6_23_6">NA()</definedName>
    <definedName name="Excel_BuiltIn_Print_Titles_3_6_23_6_3">NA()</definedName>
    <definedName name="Excel_BuiltIn_Print_Titles_3_6_24">NA()</definedName>
    <definedName name="Excel_BuiltIn_Print_Titles_3_6_24_1">NA()</definedName>
    <definedName name="Excel_BuiltIn_Print_Titles_3_6_24_1_3">NA()</definedName>
    <definedName name="Excel_BuiltIn_Print_Titles_3_6_24_3">NA()</definedName>
    <definedName name="Excel_BuiltIn_Print_Titles_3_6_25">NA()</definedName>
    <definedName name="Excel_BuiltIn_Print_Titles_3_6_25_1">NA()</definedName>
    <definedName name="Excel_BuiltIn_Print_Titles_3_6_25_1_3">NA()</definedName>
    <definedName name="Excel_BuiltIn_Print_Titles_3_6_25_3">NA()</definedName>
    <definedName name="Excel_BuiltIn_Print_Titles_3_6_26">NA()</definedName>
    <definedName name="Excel_BuiltIn_Print_Titles_3_6_26_3">NA()</definedName>
    <definedName name="Excel_BuiltIn_Print_Titles_3_6_27">NA()</definedName>
    <definedName name="Excel_BuiltIn_Print_Titles_3_6_27_3">NA()</definedName>
    <definedName name="Excel_BuiltIn_Print_Titles_3_6_28">NA()</definedName>
    <definedName name="Excel_BuiltIn_Print_Titles_3_6_28_3">NA()</definedName>
    <definedName name="Excel_BuiltIn_Print_Titles_3_6_3">NA()</definedName>
    <definedName name="Excel_BuiltIn_Print_Titles_3_6_5_1">NA()</definedName>
    <definedName name="Excel_BuiltIn_Print_Titles_3_6_5_3">NA()</definedName>
    <definedName name="Excel_BuiltIn_Print_Titles_3_6_6">NA()</definedName>
    <definedName name="Excel_BuiltIn_Print_Titles_3_6_6_3">NA()</definedName>
    <definedName name="Excel_BuiltIn_Print_Titles_3_6_7">NA()</definedName>
    <definedName name="Excel_BuiltIn_Print_Titles_3_6_7_1">NA()</definedName>
    <definedName name="Excel_BuiltIn_Print_Titles_3_6_7_1_3">NA()</definedName>
    <definedName name="Excel_BuiltIn_Print_Titles_3_6_7_3">NA()</definedName>
    <definedName name="Excel_BuiltIn_Print_Titles_3_6_8">NA()</definedName>
    <definedName name="Excel_BuiltIn_Print_Titles_3_6_8_3">NA()</definedName>
    <definedName name="Excel_BuiltIn_Print_Titles_3_6_9">NA()</definedName>
    <definedName name="Excel_BuiltIn_Print_Titles_3_6_9_1">NA()</definedName>
    <definedName name="Excel_BuiltIn_Print_Titles_3_6_9_1_1">NA()</definedName>
    <definedName name="Excel_BuiltIn_Print_Titles_3_6_9_1_1_1">NA()</definedName>
    <definedName name="Excel_BuiltIn_Print_Titles_3_6_9_1_1_3">NA()</definedName>
    <definedName name="Excel_BuiltIn_Print_Titles_3_6_9_1_1_3_1">NA()</definedName>
    <definedName name="Excel_BuiltIn_Print_Titles_3_6_9_1_3">NA()</definedName>
    <definedName name="Excel_BuiltIn_Print_Titles_3_6_9_17">NA()</definedName>
    <definedName name="Excel_BuiltIn_Print_Titles_3_6_9_17_3">NA()</definedName>
    <definedName name="Excel_BuiltIn_Print_Titles_3_6_9_28">NA()</definedName>
    <definedName name="Excel_BuiltIn_Print_Titles_3_6_9_28_3">NA()</definedName>
    <definedName name="Excel_BuiltIn_Print_Titles_3_6_9_3">NA()</definedName>
    <definedName name="Excel_BuiltIn_Print_Titles_3_6_9_6">NA()</definedName>
    <definedName name="Excel_BuiltIn_Print_Titles_3_6_9_6_3">NA()</definedName>
    <definedName name="Excel_BuiltIn_Print_Titles_3_7">NA()</definedName>
    <definedName name="Excel_BuiltIn_Print_Titles_3_7_17">NA()</definedName>
    <definedName name="Excel_BuiltIn_Print_Titles_3_7_17_3">NA()</definedName>
    <definedName name="Excel_BuiltIn_Print_Titles_3_7_28">NA()</definedName>
    <definedName name="Excel_BuiltIn_Print_Titles_3_7_28_3">NA()</definedName>
    <definedName name="Excel_BuiltIn_Print_Titles_3_7_3">NA()</definedName>
    <definedName name="Excel_BuiltIn_Print_Titles_3_7_6">NA()</definedName>
    <definedName name="Excel_BuiltIn_Print_Titles_3_7_6_3">NA()</definedName>
    <definedName name="Excel_BuiltIn_Print_Titles_3_8">NA()</definedName>
    <definedName name="Excel_BuiltIn_Print_Titles_3_8_17">NA()</definedName>
    <definedName name="Excel_BuiltIn_Print_Titles_3_8_17_3">NA()</definedName>
    <definedName name="Excel_BuiltIn_Print_Titles_3_8_28">NA()</definedName>
    <definedName name="Excel_BuiltIn_Print_Titles_3_8_28_3">NA()</definedName>
    <definedName name="Excel_BuiltIn_Print_Titles_3_8_3">NA()</definedName>
    <definedName name="Excel_BuiltIn_Print_Titles_3_8_6">NA()</definedName>
    <definedName name="Excel_BuiltIn_Print_Titles_3_8_6_3">NA()</definedName>
    <definedName name="Excel_BuiltIn_Print_Titles_3_9">NA()</definedName>
    <definedName name="Excel_BuiltIn_Print_Titles_3_9_1">NA()</definedName>
    <definedName name="Excel_BuiltIn_Print_Titles_3_9_1_1">NA()</definedName>
    <definedName name="Excel_BuiltIn_Print_Titles_3_9_1_1_1">NA()</definedName>
    <definedName name="Excel_BuiltIn_Print_Titles_3_9_1_1_3">NA()</definedName>
    <definedName name="Excel_BuiltIn_Print_Titles_3_9_1_1_3_1">NA()</definedName>
    <definedName name="Excel_BuiltIn_Print_Titles_3_9_1_17">NA()</definedName>
    <definedName name="Excel_BuiltIn_Print_Titles_3_9_1_17_3">NA()</definedName>
    <definedName name="Excel_BuiltIn_Print_Titles_3_9_1_28">NA()</definedName>
    <definedName name="Excel_BuiltIn_Print_Titles_3_9_1_28_3">NA()</definedName>
    <definedName name="Excel_BuiltIn_Print_Titles_3_9_1_3">NA()</definedName>
    <definedName name="Excel_BuiltIn_Print_Titles_3_9_1_6">NA()</definedName>
    <definedName name="Excel_BuiltIn_Print_Titles_3_9_1_6_3">NA()</definedName>
    <definedName name="Excel_BuiltIn_Print_Titles_3_9_10">NA()</definedName>
    <definedName name="Excel_BuiltIn_Print_Titles_3_9_10_1">NA()</definedName>
    <definedName name="Excel_BuiltIn_Print_Titles_3_9_10_1_3">NA()</definedName>
    <definedName name="Excel_BuiltIn_Print_Titles_3_9_10_3">NA()</definedName>
    <definedName name="Excel_BuiltIn_Print_Titles_3_9_11">NA()</definedName>
    <definedName name="Excel_BuiltIn_Print_Titles_3_9_11_1">NA()</definedName>
    <definedName name="Excel_BuiltIn_Print_Titles_3_9_11_1_3">NA()</definedName>
    <definedName name="Excel_BuiltIn_Print_Titles_3_9_11_3">NA()</definedName>
    <definedName name="Excel_BuiltIn_Print_Titles_3_9_12">NA()</definedName>
    <definedName name="Excel_BuiltIn_Print_Titles_3_9_12_1">NA()</definedName>
    <definedName name="Excel_BuiltIn_Print_Titles_3_9_12_1_3">NA()</definedName>
    <definedName name="Excel_BuiltIn_Print_Titles_3_9_12_3">NA()</definedName>
    <definedName name="Excel_BuiltIn_Print_Titles_3_9_13">NA()</definedName>
    <definedName name="Excel_BuiltIn_Print_Titles_3_9_13_3">NA()</definedName>
    <definedName name="Excel_BuiltIn_Print_Titles_3_9_14">NA()</definedName>
    <definedName name="Excel_BuiltIn_Print_Titles_3_9_14_1">NA()</definedName>
    <definedName name="Excel_BuiltIn_Print_Titles_3_9_14_1_3">NA()</definedName>
    <definedName name="Excel_BuiltIn_Print_Titles_3_9_14_3">NA()</definedName>
    <definedName name="Excel_BuiltIn_Print_Titles_3_9_15">NA()</definedName>
    <definedName name="Excel_BuiltIn_Print_Titles_3_9_15_1">NA()</definedName>
    <definedName name="Excel_BuiltIn_Print_Titles_3_9_15_1_3">NA()</definedName>
    <definedName name="Excel_BuiltIn_Print_Titles_3_9_15_3">NA()</definedName>
    <definedName name="Excel_BuiltIn_Print_Titles_3_9_16">NA()</definedName>
    <definedName name="Excel_BuiltIn_Print_Titles_3_9_16_3">NA()</definedName>
    <definedName name="Excel_BuiltIn_Print_Titles_3_9_17">NA()</definedName>
    <definedName name="Excel_BuiltIn_Print_Titles_3_9_17_1">NA()</definedName>
    <definedName name="Excel_BuiltIn_Print_Titles_3_9_17_1_3">NA()</definedName>
    <definedName name="Excel_BuiltIn_Print_Titles_3_9_17_17">NA()</definedName>
    <definedName name="Excel_BuiltIn_Print_Titles_3_9_17_17_3">NA()</definedName>
    <definedName name="Excel_BuiltIn_Print_Titles_3_9_17_28">NA()</definedName>
    <definedName name="Excel_BuiltIn_Print_Titles_3_9_17_28_3">NA()</definedName>
    <definedName name="Excel_BuiltIn_Print_Titles_3_9_17_3">NA()</definedName>
    <definedName name="Excel_BuiltIn_Print_Titles_3_9_17_6">NA()</definedName>
    <definedName name="Excel_BuiltIn_Print_Titles_3_9_17_6_3">NA()</definedName>
    <definedName name="Excel_BuiltIn_Print_Titles_3_9_18_1">NA()</definedName>
    <definedName name="Excel_BuiltIn_Print_Titles_3_9_18_1_1">NA()</definedName>
    <definedName name="Excel_BuiltIn_Print_Titles_3_9_18_1_1_3">NA()</definedName>
    <definedName name="Excel_BuiltIn_Print_Titles_3_9_18_1_3">NA()</definedName>
    <definedName name="Excel_BuiltIn_Print_Titles_3_9_19">NA()</definedName>
    <definedName name="Excel_BuiltIn_Print_Titles_3_9_19_1">NA()</definedName>
    <definedName name="Excel_BuiltIn_Print_Titles_3_9_19_1_3">NA()</definedName>
    <definedName name="Excel_BuiltIn_Print_Titles_3_9_19_3">NA()</definedName>
    <definedName name="Excel_BuiltIn_Print_Titles_3_9_2">NA()</definedName>
    <definedName name="Excel_BuiltIn_Print_Titles_3_9_2_3">NA()</definedName>
    <definedName name="Excel_BuiltIn_Print_Titles_3_9_20">NA()</definedName>
    <definedName name="Excel_BuiltIn_Print_Titles_3_9_20_1">NA()</definedName>
    <definedName name="Excel_BuiltIn_Print_Titles_3_9_20_1_3">NA()</definedName>
    <definedName name="Excel_BuiltIn_Print_Titles_3_9_20_17">NA()</definedName>
    <definedName name="Excel_BuiltIn_Print_Titles_3_9_20_17_3">NA()</definedName>
    <definedName name="Excel_BuiltIn_Print_Titles_3_9_20_28">NA()</definedName>
    <definedName name="Excel_BuiltIn_Print_Titles_3_9_20_28_3">NA()</definedName>
    <definedName name="Excel_BuiltIn_Print_Titles_3_9_20_3">NA()</definedName>
    <definedName name="Excel_BuiltIn_Print_Titles_3_9_20_6">NA()</definedName>
    <definedName name="Excel_BuiltIn_Print_Titles_3_9_20_6_3">NA()</definedName>
    <definedName name="Excel_BuiltIn_Print_Titles_3_9_21_1">NA()</definedName>
    <definedName name="Excel_BuiltIn_Print_Titles_3_9_21_1_3">NA()</definedName>
    <definedName name="Excel_BuiltIn_Print_Titles_3_9_22">NA()</definedName>
    <definedName name="Excel_BuiltIn_Print_Titles_3_9_22_1">NA()</definedName>
    <definedName name="Excel_BuiltIn_Print_Titles_3_9_22_1_3">NA()</definedName>
    <definedName name="Excel_BuiltIn_Print_Titles_3_9_22_3">NA()</definedName>
    <definedName name="Excel_BuiltIn_Print_Titles_3_9_23">NA()</definedName>
    <definedName name="Excel_BuiltIn_Print_Titles_3_9_23_3">NA()</definedName>
    <definedName name="Excel_BuiltIn_Print_Titles_3_9_24">NA()</definedName>
    <definedName name="Excel_BuiltIn_Print_Titles_3_9_24_1">NA()</definedName>
    <definedName name="Excel_BuiltIn_Print_Titles_3_9_24_1_3">NA()</definedName>
    <definedName name="Excel_BuiltIn_Print_Titles_3_9_24_3">NA()</definedName>
    <definedName name="Excel_BuiltIn_Print_Titles_3_9_25">NA()</definedName>
    <definedName name="Excel_BuiltIn_Print_Titles_3_9_25_1">NA()</definedName>
    <definedName name="Excel_BuiltIn_Print_Titles_3_9_25_1_3">NA()</definedName>
    <definedName name="Excel_BuiltIn_Print_Titles_3_9_25_3">NA()</definedName>
    <definedName name="Excel_BuiltIn_Print_Titles_3_9_26">NA()</definedName>
    <definedName name="Excel_BuiltIn_Print_Titles_3_9_26_3">NA()</definedName>
    <definedName name="Excel_BuiltIn_Print_Titles_3_9_27">NA()</definedName>
    <definedName name="Excel_BuiltIn_Print_Titles_3_9_27_3">NA()</definedName>
    <definedName name="Excel_BuiltIn_Print_Titles_3_9_28">NA()</definedName>
    <definedName name="Excel_BuiltIn_Print_Titles_3_9_28_3">NA()</definedName>
    <definedName name="Excel_BuiltIn_Print_Titles_3_9_3">NA()</definedName>
    <definedName name="Excel_BuiltIn_Print_Titles_3_9_4">NA()</definedName>
    <definedName name="Excel_BuiltIn_Print_Titles_3_9_4_3">NA()</definedName>
    <definedName name="Excel_BuiltIn_Print_Titles_3_9_5_1">NA()</definedName>
    <definedName name="Excel_BuiltIn_Print_Titles_3_9_5_3">NA()</definedName>
    <definedName name="Excel_BuiltIn_Print_Titles_3_9_6">NA()</definedName>
    <definedName name="Excel_BuiltIn_Print_Titles_3_9_6_3">NA()</definedName>
    <definedName name="Excel_BuiltIn_Print_Titles_3_9_7">NA()</definedName>
    <definedName name="Excel_BuiltIn_Print_Titles_3_9_7_1">NA()</definedName>
    <definedName name="Excel_BuiltIn_Print_Titles_3_9_7_1_3">NA()</definedName>
    <definedName name="Excel_BuiltIn_Print_Titles_3_9_7_3">NA()</definedName>
    <definedName name="Excel_BuiltIn_Print_Titles_3_9_8">NA()</definedName>
    <definedName name="Excel_BuiltIn_Print_Titles_3_9_8_1">NA()</definedName>
    <definedName name="Excel_BuiltIn_Print_Titles_3_9_8_1_3">NA()</definedName>
    <definedName name="Excel_BuiltIn_Print_Titles_3_9_8_3">NA()</definedName>
    <definedName name="Excel_BuiltIn_Print_Titles_3_9_9">NA()</definedName>
    <definedName name="Excel_BuiltIn_Print_Titles_3_9_9_1">NA()</definedName>
    <definedName name="Excel_BuiltIn_Print_Titles_3_9_9_1_1">NA()</definedName>
    <definedName name="Excel_BuiltIn_Print_Titles_3_9_9_1_1_1">NA()</definedName>
    <definedName name="Excel_BuiltIn_Print_Titles_3_9_9_1_1_3">NA()</definedName>
    <definedName name="Excel_BuiltIn_Print_Titles_3_9_9_1_1_3_1">NA()</definedName>
    <definedName name="Excel_BuiltIn_Print_Titles_3_9_9_3">NA()</definedName>
    <definedName name="Excel_BuiltIn_Print_Titles_30">#REF!</definedName>
    <definedName name="Excel_BuiltIn_Print_Titles_30_8">#REF!</definedName>
    <definedName name="Excel_BuiltIn_Print_Titles_32">#REF!</definedName>
    <definedName name="Excel_BuiltIn_Print_Titles_32_8">#REF!</definedName>
    <definedName name="Excel_BuiltIn_Print_Titles_34">#REF!</definedName>
    <definedName name="Excel_BuiltIn_Print_Titles_34_8">#REF!</definedName>
    <definedName name="Excel_BuiltIn_Print_Titles_4">NA()</definedName>
    <definedName name="Excel_BuiltIn_Print_Titles_4_1">"$#REF!.$A$5:$IV$7"</definedName>
    <definedName name="Excel_BuiltIn_Print_Titles_4_1_1">NA()</definedName>
    <definedName name="Excel_BuiltIn_Print_Titles_4_1_1_1">NA()</definedName>
    <definedName name="Excel_BuiltIn_Print_Titles_4_1_1_1_1">#REF!</definedName>
    <definedName name="Excel_BuiltIn_Print_Titles_4_1_1_1_1_1">#REF!</definedName>
    <definedName name="Excel_BuiltIn_Print_Titles_4_1_1_1_1_1_1">#REF!</definedName>
    <definedName name="Excel_BuiltIn_Print_Titles_4_1_1_1_1_1_1_1">#REF!</definedName>
    <definedName name="Excel_BuiltIn_Print_Titles_4_1_1_1_1_1_1_1_1">#REF!</definedName>
    <definedName name="Excel_BuiltIn_Print_Titles_4_1_1_5">#REF!</definedName>
    <definedName name="Excel_BuiltIn_Print_Titles_4_1_1_8">#REF!</definedName>
    <definedName name="Excel_BuiltIn_Print_Titles_4_1_2">NA()</definedName>
    <definedName name="Excel_BuiltIn_Print_Titles_4_1_3">NA()</definedName>
    <definedName name="Excel_BuiltIn_Print_Titles_4_1_3_5">#REF!</definedName>
    <definedName name="Excel_BuiltIn_Print_Titles_4_1_8">#REF!</definedName>
    <definedName name="Excel_BuiltIn_Print_Titles_4_10">NA()</definedName>
    <definedName name="Excel_BuiltIn_Print_Titles_4_10_3">NA()</definedName>
    <definedName name="Excel_BuiltIn_Print_Titles_4_10_3_5">#REF!</definedName>
    <definedName name="Excel_BuiltIn_Print_Titles_4_10_5">#REF!</definedName>
    <definedName name="Excel_BuiltIn_Print_Titles_4_12">NA()</definedName>
    <definedName name="Excel_BuiltIn_Print_Titles_4_12_3">NA()</definedName>
    <definedName name="Excel_BuiltIn_Print_Titles_4_12_3_5">#REF!</definedName>
    <definedName name="Excel_BuiltIn_Print_Titles_4_12_5">#REF!</definedName>
    <definedName name="Excel_BuiltIn_Print_Titles_4_13">NA()</definedName>
    <definedName name="Excel_BuiltIn_Print_Titles_4_13_3">NA()</definedName>
    <definedName name="Excel_BuiltIn_Print_Titles_4_13_3_5">#REF!</definedName>
    <definedName name="Excel_BuiltIn_Print_Titles_4_13_5">#REF!</definedName>
    <definedName name="Excel_BuiltIn_Print_Titles_4_14">NA()</definedName>
    <definedName name="Excel_BuiltIn_Print_Titles_4_14_3">NA()</definedName>
    <definedName name="Excel_BuiltIn_Print_Titles_4_14_3_5">#REF!</definedName>
    <definedName name="Excel_BuiltIn_Print_Titles_4_14_5">#REF!</definedName>
    <definedName name="Excel_BuiltIn_Print_Titles_4_15">NA()</definedName>
    <definedName name="Excel_BuiltIn_Print_Titles_4_15_3">NA()</definedName>
    <definedName name="Excel_BuiltIn_Print_Titles_4_15_3_5">#REF!</definedName>
    <definedName name="Excel_BuiltIn_Print_Titles_4_15_5">#REF!</definedName>
    <definedName name="Excel_BuiltIn_Print_Titles_4_16">NA()</definedName>
    <definedName name="Excel_BuiltIn_Print_Titles_4_16_3">NA()</definedName>
    <definedName name="Excel_BuiltIn_Print_Titles_4_16_3_5">#REF!</definedName>
    <definedName name="Excel_BuiltIn_Print_Titles_4_16_5">#REF!</definedName>
    <definedName name="Excel_BuiltIn_Print_Titles_4_17">NA()</definedName>
    <definedName name="Excel_BuiltIn_Print_Titles_4_17_3">NA()</definedName>
    <definedName name="Excel_BuiltIn_Print_Titles_4_17_3_5">#REF!</definedName>
    <definedName name="Excel_BuiltIn_Print_Titles_4_17_5">#REF!</definedName>
    <definedName name="Excel_BuiltIn_Print_Titles_4_18">NA()</definedName>
    <definedName name="Excel_BuiltIn_Print_Titles_4_18_1">NA()</definedName>
    <definedName name="Excel_BuiltIn_Print_Titles_4_18_1_3">NA()</definedName>
    <definedName name="Excel_BuiltIn_Print_Titles_4_18_1_3_5">#REF!</definedName>
    <definedName name="Excel_BuiltIn_Print_Titles_4_18_1_5">#REF!</definedName>
    <definedName name="Excel_BuiltIn_Print_Titles_4_18_3">NA()</definedName>
    <definedName name="Excel_BuiltIn_Print_Titles_4_18_3_5">#REF!</definedName>
    <definedName name="Excel_BuiltIn_Print_Titles_4_18_5">#REF!</definedName>
    <definedName name="Excel_BuiltIn_Print_Titles_4_19">NA()</definedName>
    <definedName name="Excel_BuiltIn_Print_Titles_4_19_3">NA()</definedName>
    <definedName name="Excel_BuiltIn_Print_Titles_4_19_3_5">#REF!</definedName>
    <definedName name="Excel_BuiltIn_Print_Titles_4_19_5">#REF!</definedName>
    <definedName name="Excel_BuiltIn_Print_Titles_4_2">NA()</definedName>
    <definedName name="Excel_BuiltIn_Print_Titles_4_2_1">NA()</definedName>
    <definedName name="Excel_BuiltIn_Print_Titles_4_20">NA()</definedName>
    <definedName name="Excel_BuiltIn_Print_Titles_4_20_3">NA()</definedName>
    <definedName name="Excel_BuiltIn_Print_Titles_4_20_3_5">#REF!</definedName>
    <definedName name="Excel_BuiltIn_Print_Titles_4_20_5">#REF!</definedName>
    <definedName name="Excel_BuiltIn_Print_Titles_4_21">NA()</definedName>
    <definedName name="Excel_BuiltIn_Print_Titles_4_21_1">NA()</definedName>
    <definedName name="Excel_BuiltIn_Print_Titles_4_21_1_3">NA()</definedName>
    <definedName name="Excel_BuiltIn_Print_Titles_4_21_1_3_5">#REF!</definedName>
    <definedName name="Excel_BuiltIn_Print_Titles_4_21_1_5">#REF!</definedName>
    <definedName name="Excel_BuiltIn_Print_Titles_4_21_3">NA()</definedName>
    <definedName name="Excel_BuiltIn_Print_Titles_4_21_3_5">#REF!</definedName>
    <definedName name="Excel_BuiltIn_Print_Titles_4_21_5">#REF!</definedName>
    <definedName name="Excel_BuiltIn_Print_Titles_4_22">NA()</definedName>
    <definedName name="Excel_BuiltIn_Print_Titles_4_22_3">NA()</definedName>
    <definedName name="Excel_BuiltIn_Print_Titles_4_22_3_5">#REF!</definedName>
    <definedName name="Excel_BuiltIn_Print_Titles_4_22_5">#REF!</definedName>
    <definedName name="Excel_BuiltIn_Print_Titles_4_23">NA()</definedName>
    <definedName name="Excel_BuiltIn_Print_Titles_4_23_3">NA()</definedName>
    <definedName name="Excel_BuiltIn_Print_Titles_4_23_3_5">#REF!</definedName>
    <definedName name="Excel_BuiltIn_Print_Titles_4_23_5">#REF!</definedName>
    <definedName name="Excel_BuiltIn_Print_Titles_4_24">NA()</definedName>
    <definedName name="Excel_BuiltIn_Print_Titles_4_24_3">NA()</definedName>
    <definedName name="Excel_BuiltIn_Print_Titles_4_24_3_5">#REF!</definedName>
    <definedName name="Excel_BuiltIn_Print_Titles_4_24_5">#REF!</definedName>
    <definedName name="Excel_BuiltIn_Print_Titles_4_25">NA()</definedName>
    <definedName name="Excel_BuiltIn_Print_Titles_4_25_3">NA()</definedName>
    <definedName name="Excel_BuiltIn_Print_Titles_4_25_3_5">#REF!</definedName>
    <definedName name="Excel_BuiltIn_Print_Titles_4_25_5">#REF!</definedName>
    <definedName name="Excel_BuiltIn_Print_Titles_4_26">NA()</definedName>
    <definedName name="Excel_BuiltIn_Print_Titles_4_26_3">NA()</definedName>
    <definedName name="Excel_BuiltIn_Print_Titles_4_26_3_5">#REF!</definedName>
    <definedName name="Excel_BuiltIn_Print_Titles_4_26_5">#REF!</definedName>
    <definedName name="Excel_BuiltIn_Print_Titles_4_27">NA()</definedName>
    <definedName name="Excel_BuiltIn_Print_Titles_4_27_3">NA()</definedName>
    <definedName name="Excel_BuiltIn_Print_Titles_4_27_3_5">#REF!</definedName>
    <definedName name="Excel_BuiltIn_Print_Titles_4_27_5">#REF!</definedName>
    <definedName name="Excel_BuiltIn_Print_Titles_4_28">NA()</definedName>
    <definedName name="Excel_BuiltIn_Print_Titles_4_28_3">NA()</definedName>
    <definedName name="Excel_BuiltIn_Print_Titles_4_28_3_5">#REF!</definedName>
    <definedName name="Excel_BuiltIn_Print_Titles_4_28_5">#REF!</definedName>
    <definedName name="Excel_BuiltIn_Print_Titles_4_3">NA()</definedName>
    <definedName name="Excel_BuiltIn_Print_Titles_4_3_1">NA()</definedName>
    <definedName name="Excel_BuiltIn_Print_Titles_4_3_1_1">NA()</definedName>
    <definedName name="Excel_BuiltIn_Print_Titles_4_3_5">#REF!</definedName>
    <definedName name="Excel_BuiltIn_Print_Titles_4_4">#REF!</definedName>
    <definedName name="Excel_BuiltIn_Print_Titles_4_4_1">NA()</definedName>
    <definedName name="Excel_BuiltIn_Print_Titles_4_4_1_1">NA()</definedName>
    <definedName name="Excel_BuiltIn_Print_Titles_4_4_8">NA()</definedName>
    <definedName name="Excel_BuiltIn_Print_Titles_4_5">#REF!</definedName>
    <definedName name="Excel_BuiltIn_Print_Titles_4_5_1">NA()</definedName>
    <definedName name="Excel_BuiltIn_Print_Titles_4_6">NA()</definedName>
    <definedName name="Excel_BuiltIn_Print_Titles_4_6_1">NA()</definedName>
    <definedName name="Excel_BuiltIn_Print_Titles_4_6_3">NA()</definedName>
    <definedName name="Excel_BuiltIn_Print_Titles_4_6_3_5">#REF!</definedName>
    <definedName name="Excel_BuiltIn_Print_Titles_4_6_5">#REF!</definedName>
    <definedName name="Excel_BuiltIn_Print_Titles_4_7">NA()</definedName>
    <definedName name="Excel_BuiltIn_Print_Titles_4_7_3">NA()</definedName>
    <definedName name="Excel_BuiltIn_Print_Titles_4_7_3_5">#REF!</definedName>
    <definedName name="Excel_BuiltIn_Print_Titles_4_7_5">#REF!</definedName>
    <definedName name="Excel_BuiltIn_Print_Titles_4_8">NA()</definedName>
    <definedName name="Excel_BuiltIn_Print_Titles_4_8_3">NA()</definedName>
    <definedName name="Excel_BuiltIn_Print_Titles_4_8_3_5">#REF!</definedName>
    <definedName name="Excel_BuiltIn_Print_Titles_4_8_5">#REF!</definedName>
    <definedName name="Excel_BuiltIn_Print_Titles_4_9">NA()</definedName>
    <definedName name="Excel_BuiltIn_Print_Titles_4_9_3">NA()</definedName>
    <definedName name="Excel_BuiltIn_Print_Titles_4_9_3_5">#REF!</definedName>
    <definedName name="Excel_BuiltIn_Print_Titles_4_9_5">#REF!</definedName>
    <definedName name="Excel_BuiltIn_Print_Titles_5">NA()</definedName>
    <definedName name="Excel_BuiltIn_Print_Titles_5_1">#REF!</definedName>
    <definedName name="Excel_BuiltIn_Print_Titles_5_1_1">NA()</definedName>
    <definedName name="Excel_BuiltIn_Print_Titles_5_1_1_1">NA()</definedName>
    <definedName name="Excel_BuiltIn_Print_Titles_5_1_1_1_1">#REF!</definedName>
    <definedName name="Excel_BuiltIn_Print_Titles_5_1_1_1_1_1">#REF!</definedName>
    <definedName name="Excel_BuiltIn_Print_Titles_5_1_1_1_1_1_1">#REF!</definedName>
    <definedName name="Excel_BuiltIn_Print_Titles_5_1_8">#REF!</definedName>
    <definedName name="Excel_BuiltIn_Print_Titles_5_2">NA()</definedName>
    <definedName name="Excel_BuiltIn_Print_Titles_5_2_1">NA()</definedName>
    <definedName name="Excel_BuiltIn_Print_Titles_5_3">#REF!</definedName>
    <definedName name="Excel_BuiltIn_Print_Titles_5_3_1">NA()</definedName>
    <definedName name="Excel_BuiltIn_Print_Titles_5_3_1_1">NA()</definedName>
    <definedName name="Excel_BuiltIn_Print_Titles_5_4">#REF!</definedName>
    <definedName name="Excel_BuiltIn_Print_Titles_5_4_1">NA()</definedName>
    <definedName name="Excel_BuiltIn_Print_Titles_5_4_1_1">NA()</definedName>
    <definedName name="Excel_BuiltIn_Print_Titles_5_4_8">NA()</definedName>
    <definedName name="Excel_BuiltIn_Print_Titles_5_5">#REF!</definedName>
    <definedName name="Excel_BuiltIn_Print_Titles_5_5_1">NA()</definedName>
    <definedName name="Excel_BuiltIn_Print_Titles_5_6">#N/A</definedName>
    <definedName name="Excel_BuiltIn_Print_Titles_5_6_1">NA()</definedName>
    <definedName name="Excel_BuiltIn_Print_Titles_6">NA()</definedName>
    <definedName name="Excel_BuiltIn_Print_Titles_6_1">#REF!</definedName>
    <definedName name="Excel_BuiltIn_Print_Titles_6_1_1">NA()</definedName>
    <definedName name="Excel_BuiltIn_Print_Titles_6_1_1_1">NA()</definedName>
    <definedName name="Excel_BuiltIn_Print_Titles_6_1_1_1_1">NA()</definedName>
    <definedName name="Excel_BuiltIn_Print_Titles_6_1_8">NA()</definedName>
    <definedName name="Excel_BuiltIn_Print_Titles_6_2">NA()</definedName>
    <definedName name="Excel_BuiltIn_Print_Titles_6_2_1">NA()</definedName>
    <definedName name="Excel_BuiltIn_Print_Titles_6_3">#REF!</definedName>
    <definedName name="Excel_BuiltIn_Print_Titles_6_3_1">NA()</definedName>
    <definedName name="Excel_BuiltIn_Print_Titles_6_3_8">NA()</definedName>
    <definedName name="Excel_BuiltIn_Print_Titles_6_4">#REF!</definedName>
    <definedName name="Excel_BuiltIn_Print_Titles_6_4_1">NA()</definedName>
    <definedName name="Excel_BuiltIn_Print_Titles_6_4_1_1">NA()</definedName>
    <definedName name="Excel_BuiltIn_Print_Titles_6_4_8">NA()</definedName>
    <definedName name="Excel_BuiltIn_Print_Titles_6_5">#REF!</definedName>
    <definedName name="Excel_BuiltIn_Print_Titles_6_5_1">NA()</definedName>
    <definedName name="Excel_BuiltIn_Print_Titles_6_5_1_1">NA()</definedName>
    <definedName name="Excel_BuiltIn_Print_Titles_6_6">#REF!</definedName>
    <definedName name="Excel_BuiltIn_Print_Titles_6_6_1">NA()</definedName>
    <definedName name="Excel_BuiltIn_Print_Titles_6_6_1_1">NA()</definedName>
    <definedName name="Excel_BuiltIn_Print_Titles_6_7">#REF!</definedName>
    <definedName name="Excel_BuiltIn_Print_Titles_6_7_1">NA()</definedName>
    <definedName name="Excel_BuiltIn_Print_Titles_6_8">NA()</definedName>
    <definedName name="Excel_BuiltIn_Print_Titles_7">#REF!</definedName>
    <definedName name="Excel_BuiltIn_Print_Titles_7_1">#REF!</definedName>
    <definedName name="Excel_BuiltIn_Print_Titles_8">#REF!</definedName>
    <definedName name="Excel_BuiltIn_Print_Titles_8_1">#REF!</definedName>
    <definedName name="Excel_BuiltIn_Print_Titles_8_1_1">NA()</definedName>
    <definedName name="Excel_BuiltIn_Print_Titles_8_1_1_1">NA()</definedName>
    <definedName name="Excel_BuiltIn_Print_Titles_8_1_2">NA()</definedName>
    <definedName name="Excel_BuiltIn_Print_Titles_8_1_2_1">NA()</definedName>
    <definedName name="Excel_BuiltIn_Print_Titles_8_1_3">#REF!</definedName>
    <definedName name="Excel_BuiltIn_Print_Titles_8_1_3_1">NA()</definedName>
    <definedName name="Excel_BuiltIn_Print_Titles_8_1_3_1_1">NA()</definedName>
    <definedName name="Excel_BuiltIn_Print_Titles_8_1_4">#REF!</definedName>
    <definedName name="Excel_BuiltIn_Print_Titles_8_1_4_1">NA()</definedName>
    <definedName name="Excel_BuiltIn_Print_Titles_8_1_4_1_1">NA()</definedName>
    <definedName name="Excel_BuiltIn_Print_Titles_8_1_4_8">NA()</definedName>
    <definedName name="Excel_BuiltIn_Print_Titles_8_1_5">#REF!</definedName>
    <definedName name="Excel_BuiltIn_Print_Titles_8_1_5_1">NA()</definedName>
    <definedName name="Excel_BuiltIn_Print_Titles_8_1_6">#N/A</definedName>
    <definedName name="Excel_BuiltIn_Print_Titles_8_1_6_1">NA()</definedName>
    <definedName name="Excel_BuiltIn_Print_Titles_9">#REF!</definedName>
    <definedName name="Excel_BuiltIn_Print_Titles_9_1">#REF!</definedName>
    <definedName name="Excel_BuiltIn_Print_Titles_9_1_1">NA()</definedName>
    <definedName name="Excel_BuiltIn_Print_Titles_9_1_1_1">#REF!</definedName>
    <definedName name="Excel_BuiltIn_Print_Titles_9_1_8">#REF!</definedName>
    <definedName name="Excel_BuiltIn_Print_Titles_9_2">NA()</definedName>
    <definedName name="Excel_BuiltIn_Print_Titles_9_4">NA()</definedName>
    <definedName name="excf">#REF!</definedName>
    <definedName name="Exchange_rate">NA()</definedName>
    <definedName name="Exchange_rate_1">NA()</definedName>
    <definedName name="Exchange_rate_1_3">NA()</definedName>
    <definedName name="Exchange_rate_1_3_5">#REF!</definedName>
    <definedName name="Exchange_rate_1_5">#REF!</definedName>
    <definedName name="Exchange_rate_10">NA()</definedName>
    <definedName name="Exchange_rate_10_3">NA()</definedName>
    <definedName name="Exchange_rate_10_3_5">#REF!</definedName>
    <definedName name="Exchange_rate_10_5">#REF!</definedName>
    <definedName name="Exchange_rate_12">NA()</definedName>
    <definedName name="Exchange_rate_12_3">NA()</definedName>
    <definedName name="Exchange_rate_12_3_5">#REF!</definedName>
    <definedName name="Exchange_rate_12_5">#REF!</definedName>
    <definedName name="Exchange_rate_13">NA()</definedName>
    <definedName name="Exchange_rate_13_3">NA()</definedName>
    <definedName name="Exchange_rate_13_3_5">#REF!</definedName>
    <definedName name="Exchange_rate_13_5">#REF!</definedName>
    <definedName name="Exchange_rate_14">NA()</definedName>
    <definedName name="Exchange_rate_14_3">NA()</definedName>
    <definedName name="Exchange_rate_14_3_5">#REF!</definedName>
    <definedName name="Exchange_rate_14_5">#REF!</definedName>
    <definedName name="Exchange_rate_15">NA()</definedName>
    <definedName name="Exchange_rate_15_3">NA()</definedName>
    <definedName name="Exchange_rate_15_3_5">#REF!</definedName>
    <definedName name="Exchange_rate_15_5">#REF!</definedName>
    <definedName name="Exchange_rate_16">NA()</definedName>
    <definedName name="Exchange_rate_16_3">NA()</definedName>
    <definedName name="Exchange_rate_16_3_5">#REF!</definedName>
    <definedName name="Exchange_rate_16_5">#REF!</definedName>
    <definedName name="Exchange_rate_17">NA()</definedName>
    <definedName name="Exchange_rate_17_3">NA()</definedName>
    <definedName name="Exchange_rate_17_3_5">#REF!</definedName>
    <definedName name="Exchange_rate_17_5">#REF!</definedName>
    <definedName name="Exchange_rate_18">NA()</definedName>
    <definedName name="Exchange_rate_18_3">NA()</definedName>
    <definedName name="Exchange_rate_18_3_5">#REF!</definedName>
    <definedName name="Exchange_rate_18_5">#REF!</definedName>
    <definedName name="Exchange_rate_19">NA()</definedName>
    <definedName name="Exchange_rate_19_3">NA()</definedName>
    <definedName name="Exchange_rate_19_3_5">#REF!</definedName>
    <definedName name="Exchange_rate_19_5">#REF!</definedName>
    <definedName name="Exchange_rate_20">NA()</definedName>
    <definedName name="Exchange_rate_20_3">NA()</definedName>
    <definedName name="Exchange_rate_20_3_5">#REF!</definedName>
    <definedName name="Exchange_rate_20_5">#REF!</definedName>
    <definedName name="Exchange_rate_21">NA()</definedName>
    <definedName name="Exchange_rate_21_3">NA()</definedName>
    <definedName name="Exchange_rate_21_3_5">#REF!</definedName>
    <definedName name="Exchange_rate_21_5">#REF!</definedName>
    <definedName name="Exchange_rate_22">NA()</definedName>
    <definedName name="Exchange_rate_22_3">NA()</definedName>
    <definedName name="Exchange_rate_22_3_5">#REF!</definedName>
    <definedName name="Exchange_rate_22_5">#REF!</definedName>
    <definedName name="Exchange_rate_23">NA()</definedName>
    <definedName name="Exchange_rate_23_1">NA()</definedName>
    <definedName name="Exchange_rate_23_1_3">NA()</definedName>
    <definedName name="Exchange_rate_23_1_3_5">#REF!</definedName>
    <definedName name="Exchange_rate_23_1_5">#REF!</definedName>
    <definedName name="Exchange_rate_23_17">NA()</definedName>
    <definedName name="Exchange_rate_23_17_3">NA()</definedName>
    <definedName name="Exchange_rate_23_17_3_5">#REF!</definedName>
    <definedName name="Exchange_rate_23_17_5">#REF!</definedName>
    <definedName name="Exchange_rate_23_28">NA()</definedName>
    <definedName name="Exchange_rate_23_28_3">NA()</definedName>
    <definedName name="Exchange_rate_23_28_3_5">#REF!</definedName>
    <definedName name="Exchange_rate_23_28_5">#REF!</definedName>
    <definedName name="Exchange_rate_23_3">NA()</definedName>
    <definedName name="Exchange_rate_23_3_5">#REF!</definedName>
    <definedName name="Exchange_rate_23_5">#REF!</definedName>
    <definedName name="Exchange_rate_23_6">NA()</definedName>
    <definedName name="Exchange_rate_23_6_3">NA()</definedName>
    <definedName name="Exchange_rate_23_6_3_5">#REF!</definedName>
    <definedName name="Exchange_rate_23_6_5">#REF!</definedName>
    <definedName name="Exchange_rate_24">NA()</definedName>
    <definedName name="Exchange_rate_24_3">NA()</definedName>
    <definedName name="Exchange_rate_24_3_5">#REF!</definedName>
    <definedName name="Exchange_rate_24_5">#REF!</definedName>
    <definedName name="Exchange_rate_25">NA()</definedName>
    <definedName name="Exchange_rate_25_3">NA()</definedName>
    <definedName name="Exchange_rate_25_3_5">#REF!</definedName>
    <definedName name="Exchange_rate_25_5">#REF!</definedName>
    <definedName name="Exchange_rate_26">NA()</definedName>
    <definedName name="Exchange_rate_26_3">NA()</definedName>
    <definedName name="Exchange_rate_26_3_5">#REF!</definedName>
    <definedName name="Exchange_rate_26_5">#REF!</definedName>
    <definedName name="Exchange_rate_27">NA()</definedName>
    <definedName name="Exchange_rate_27_3">NA()</definedName>
    <definedName name="Exchange_rate_27_3_5">#REF!</definedName>
    <definedName name="Exchange_rate_27_5">#REF!</definedName>
    <definedName name="Exchange_rate_28">NA()</definedName>
    <definedName name="Exchange_rate_28_3">NA()</definedName>
    <definedName name="Exchange_rate_28_3_5">#REF!</definedName>
    <definedName name="Exchange_rate_28_5">#REF!</definedName>
    <definedName name="Exchange_rate_3">NA()</definedName>
    <definedName name="Exchange_rate_3_5">#REF!</definedName>
    <definedName name="Exchange_rate_5">#REF!</definedName>
    <definedName name="Exchange_rate_6">NA()</definedName>
    <definedName name="Exchange_rate_6_3">NA()</definedName>
    <definedName name="Exchange_rate_6_3_5">#REF!</definedName>
    <definedName name="Exchange_rate_6_5">#REF!</definedName>
    <definedName name="Exchange_rate_7">NA()</definedName>
    <definedName name="Exchange_rate_7_3">NA()</definedName>
    <definedName name="Exchange_rate_7_3_5">#REF!</definedName>
    <definedName name="Exchange_rate_7_5">#REF!</definedName>
    <definedName name="Exchange_rate_8">NA()</definedName>
    <definedName name="Exchange_rate_8_3">NA()</definedName>
    <definedName name="Exchange_rate_8_3_5">#REF!</definedName>
    <definedName name="Exchange_rate_8_5">#REF!</definedName>
    <definedName name="Exchange_rate_9">NA()</definedName>
    <definedName name="Exchange_rate_9_1">NA()</definedName>
    <definedName name="Exchange_rate_9_1_1">NA()</definedName>
    <definedName name="Exchange_rate_9_1_1_3">NA()</definedName>
    <definedName name="Exchange_rate_9_1_1_3_5">#REF!</definedName>
    <definedName name="Exchange_rate_9_1_1_5">#REF!</definedName>
    <definedName name="Exchange_rate_9_1_3">NA()</definedName>
    <definedName name="Exchange_rate_9_1_3_5">#REF!</definedName>
    <definedName name="Exchange_rate_9_1_5">#REF!</definedName>
    <definedName name="Exchange_rate_9_3">NA()</definedName>
    <definedName name="Exchange_rate_9_3_5">#REF!</definedName>
    <definedName name="Exchange_rate_9_5">#REF!</definedName>
    <definedName name="exist">#REF!</definedName>
    <definedName name="Exist_Carriageway">#REF!</definedName>
    <definedName name="Exist_Crust">#REF!</definedName>
    <definedName name="exit">#REF!</definedName>
    <definedName name="expnjntbitu20pcc">#REF!</definedName>
    <definedName name="Export">NA()</definedName>
    <definedName name="Export_5">#REF!</definedName>
    <definedName name="Extra_Pay">#REF!</definedName>
    <definedName name="eyrc">NA()</definedName>
    <definedName name="eyrc_5">#REF!</definedName>
    <definedName name="eyrlp">NA()</definedName>
    <definedName name="eyrlp_18">NA()</definedName>
    <definedName name="eyrlp_18_1">NA()</definedName>
    <definedName name="eyrlp_18_1_5">#REF!</definedName>
    <definedName name="eyrlp_18_5">#REF!</definedName>
    <definedName name="eyrlp_21">NA()</definedName>
    <definedName name="eyrlp_21_5">#REF!</definedName>
    <definedName name="eyrlp_5">#REF!</definedName>
    <definedName name="F" hidden="1">#REF!</definedName>
    <definedName name="fab">#REF!</definedName>
    <definedName name="fab_14">#REF!</definedName>
    <definedName name="facia">#REF!</definedName>
    <definedName name="FACP">NA()</definedName>
    <definedName name="FACP_1">NA()</definedName>
    <definedName name="Fact">#REF!</definedName>
    <definedName name="Factor">#REF!</definedName>
    <definedName name="FACTOR1">3.64</definedName>
    <definedName name="FACTOR2">0.5363</definedName>
    <definedName name="FACTOR3">0.963</definedName>
    <definedName name="FACTOR4">3.576</definedName>
    <definedName name="FACTOR5">0.95</definedName>
    <definedName name="FACTOR6">0.9</definedName>
    <definedName name="FACTOR7">(1-0.3*2/3)/1.215/1.1</definedName>
    <definedName name="FAS">#REF!</definedName>
    <definedName name="Fax">#REF!</definedName>
    <definedName name="fb">[23]Formula!$D$39</definedName>
    <definedName name="fbl">#REF!</definedName>
    <definedName name="fbl_14">#REF!</definedName>
    <definedName name="fbl_17">#REF!</definedName>
    <definedName name="fbl_18">#REF!</definedName>
    <definedName name="fbl_19">#REF!</definedName>
    <definedName name="fbl_20">#REF!</definedName>
    <definedName name="fbl_23">#REF!</definedName>
    <definedName name="fbl_3">#REF!</definedName>
    <definedName name="FBW">#REF!</definedName>
    <definedName name="fcf">NA()</definedName>
    <definedName name="fcf_5">#REF!</definedName>
    <definedName name="fchk" hidden="1">{#N/A,#N/A,TRUE,"Front";#N/A,#N/A,TRUE,"Simple Letter";#N/A,#N/A,TRUE,"Inside";#N/A,#N/A,TRUE,"Contents";#N/A,#N/A,TRUE,"Basis";#N/A,#N/A,TRUE,"Inclusions";#N/A,#N/A,TRUE,"Exclusions";#N/A,#N/A,TRUE,"Areas";#N/A,#N/A,TRUE,"Summary";#N/A,#N/A,TRUE,"Detail"}</definedName>
    <definedName name="FCode" hidden="1">#REF!</definedName>
    <definedName name="fcs">#REF!</definedName>
    <definedName name="FCU">[7]DATA!$C$28</definedName>
    <definedName name="fd">#REF!</definedName>
    <definedName name="fd_1">#REF!</definedName>
    <definedName name="fd_10">#REF!</definedName>
    <definedName name="fd_11">#REF!</definedName>
    <definedName name="fd_13">#REF!</definedName>
    <definedName name="fd_14">#REF!</definedName>
    <definedName name="fd_15">#REF!</definedName>
    <definedName name="fd_16">#REF!</definedName>
    <definedName name="fd_17">#REF!</definedName>
    <definedName name="fd_18">#REF!</definedName>
    <definedName name="fd_19">#REF!</definedName>
    <definedName name="fd_20">#REF!</definedName>
    <definedName name="fd_23">#REF!</definedName>
    <definedName name="fd_3">#REF!</definedName>
    <definedName name="fd_4">#REF!</definedName>
    <definedName name="fd_8">#REF!</definedName>
    <definedName name="fd_9">#REF!</definedName>
    <definedName name="fdfg">#REF!</definedName>
    <definedName name="fdgd" hidden="1">{#N/A,#N/A,TRUE,"Front";#N/A,#N/A,TRUE,"Simple Letter";#N/A,#N/A,TRUE,"Inside";#N/A,#N/A,TRUE,"Contents";#N/A,#N/A,TRUE,"Basis";#N/A,#N/A,TRUE,"Inclusions";#N/A,#N/A,TRUE,"Exclusions";#N/A,#N/A,TRUE,"Areas";#N/A,#N/A,TRUE,"Summary";#N/A,#N/A,TRUE,"Detail"}</definedName>
    <definedName name="fdgdf">NA()</definedName>
    <definedName name="fdgdf_5">#REF!</definedName>
    <definedName name="fdgdr" hidden="1">{#N/A,#N/A,TRUE,"Front";#N/A,#N/A,TRUE,"Simple Letter";#N/A,#N/A,TRUE,"Inside";#N/A,#N/A,TRUE,"Contents";#N/A,#N/A,TRUE,"Basis";#N/A,#N/A,TRUE,"Inclusions";#N/A,#N/A,TRUE,"Exclusions";#N/A,#N/A,TRUE,"Areas";#N/A,#N/A,TRUE,"Summary";#N/A,#N/A,TRUE,"Detail"}</definedName>
    <definedName name="fdsfd" hidden="1">{#N/A,#N/A,FALSE,"Sheet5"}</definedName>
    <definedName name="fdsfsfs">#REF!</definedName>
    <definedName name="fed">#REF!</definedName>
    <definedName name="fevicol">#REF!</definedName>
    <definedName name="ff">NA()</definedName>
    <definedName name="ff_1">NA()</definedName>
    <definedName name="ff_1_5">#REF!</definedName>
    <definedName name="ff_10">NA()</definedName>
    <definedName name="ff_10_3">NA()</definedName>
    <definedName name="ff_10_3_5">#REF!</definedName>
    <definedName name="ff_10_5">#REF!</definedName>
    <definedName name="ff_12">NA()</definedName>
    <definedName name="ff_12_3">NA()</definedName>
    <definedName name="ff_12_3_5">#REF!</definedName>
    <definedName name="ff_12_5">#REF!</definedName>
    <definedName name="ff_13">NA()</definedName>
    <definedName name="ff_13_3">NA()</definedName>
    <definedName name="ff_13_3_5">#REF!</definedName>
    <definedName name="ff_13_5">#REF!</definedName>
    <definedName name="ff_14">NA()</definedName>
    <definedName name="ff_14_3">NA()</definedName>
    <definedName name="ff_14_3_5">#REF!</definedName>
    <definedName name="ff_14_5">#REF!</definedName>
    <definedName name="ff_15">NA()</definedName>
    <definedName name="ff_15_3">NA()</definedName>
    <definedName name="ff_15_3_5">#REF!</definedName>
    <definedName name="ff_15_5">#REF!</definedName>
    <definedName name="ff_16">NA()</definedName>
    <definedName name="ff_16_3">NA()</definedName>
    <definedName name="ff_16_3_5">#REF!</definedName>
    <definedName name="ff_16_5">#REF!</definedName>
    <definedName name="ff_17">NA()</definedName>
    <definedName name="ff_17_3">NA()</definedName>
    <definedName name="ff_17_3_5">#REF!</definedName>
    <definedName name="ff_17_5">#REF!</definedName>
    <definedName name="ff_18">NA()</definedName>
    <definedName name="ff_18_1">NA()</definedName>
    <definedName name="ff_18_1_3">NA()</definedName>
    <definedName name="ff_18_1_3_5">#REF!</definedName>
    <definedName name="ff_18_1_5">#REF!</definedName>
    <definedName name="ff_18_3">NA()</definedName>
    <definedName name="ff_18_3_5">#REF!</definedName>
    <definedName name="ff_18_5">#REF!</definedName>
    <definedName name="ff_19">NA()</definedName>
    <definedName name="ff_19_3">NA()</definedName>
    <definedName name="ff_19_3_5">#REF!</definedName>
    <definedName name="ff_19_5">#REF!</definedName>
    <definedName name="ff_20">NA()</definedName>
    <definedName name="ff_20_3">NA()</definedName>
    <definedName name="ff_20_3_5">#REF!</definedName>
    <definedName name="ff_20_5">#REF!</definedName>
    <definedName name="ff_21">NA()</definedName>
    <definedName name="ff_21_1">NA()</definedName>
    <definedName name="ff_21_1_3">NA()</definedName>
    <definedName name="ff_21_1_3_5">#REF!</definedName>
    <definedName name="ff_21_1_5">#REF!</definedName>
    <definedName name="ff_21_3">NA()</definedName>
    <definedName name="ff_21_3_5">#REF!</definedName>
    <definedName name="ff_21_5">#REF!</definedName>
    <definedName name="ff_22">NA()</definedName>
    <definedName name="ff_22_3">NA()</definedName>
    <definedName name="ff_22_3_5">#REF!</definedName>
    <definedName name="ff_22_5">#REF!</definedName>
    <definedName name="ff_23">NA()</definedName>
    <definedName name="ff_23_3">NA()</definedName>
    <definedName name="ff_23_3_5">#REF!</definedName>
    <definedName name="ff_23_5">#REF!</definedName>
    <definedName name="ff_24">NA()</definedName>
    <definedName name="ff_24_3">NA()</definedName>
    <definedName name="ff_24_3_5">#REF!</definedName>
    <definedName name="ff_24_5">#REF!</definedName>
    <definedName name="ff_25">NA()</definedName>
    <definedName name="ff_25_3">NA()</definedName>
    <definedName name="ff_25_3_5">#REF!</definedName>
    <definedName name="ff_25_5">#REF!</definedName>
    <definedName name="ff_26">NA()</definedName>
    <definedName name="ff_26_3">NA()</definedName>
    <definedName name="ff_26_3_5">#REF!</definedName>
    <definedName name="ff_26_5">#REF!</definedName>
    <definedName name="ff_27">NA()</definedName>
    <definedName name="ff_27_3">NA()</definedName>
    <definedName name="ff_27_3_5">#REF!</definedName>
    <definedName name="ff_27_5">#REF!</definedName>
    <definedName name="ff_28">NA()</definedName>
    <definedName name="ff_28_3">NA()</definedName>
    <definedName name="ff_28_3_5">#REF!</definedName>
    <definedName name="ff_28_5">#REF!</definedName>
    <definedName name="ff_3">NA()</definedName>
    <definedName name="ff_3_5">#REF!</definedName>
    <definedName name="ff_5">#REF!</definedName>
    <definedName name="ff_6">NA()</definedName>
    <definedName name="ff_6_3">NA()</definedName>
    <definedName name="ff_6_3_5">#REF!</definedName>
    <definedName name="ff_6_5">#REF!</definedName>
    <definedName name="ff_7">NA()</definedName>
    <definedName name="ff_7_3">NA()</definedName>
    <definedName name="ff_7_3_5">#REF!</definedName>
    <definedName name="ff_7_5">#REF!</definedName>
    <definedName name="ff_8">NA()</definedName>
    <definedName name="ff_8_3">NA()</definedName>
    <definedName name="ff_8_3_5">#REF!</definedName>
    <definedName name="ff_8_5">#REF!</definedName>
    <definedName name="ff_9">NA()</definedName>
    <definedName name="ff_9_3">NA()</definedName>
    <definedName name="ff_9_3_5">#REF!</definedName>
    <definedName name="ff_9_5">#REF!</definedName>
    <definedName name="FFF" hidden="1">#REF!</definedName>
    <definedName name="fff_1">NA()</definedName>
    <definedName name="fff_1_5">#REF!</definedName>
    <definedName name="fff_5">#REF!</definedName>
    <definedName name="ffff">#N/A</definedName>
    <definedName name="ffgfg">#REF!</definedName>
    <definedName name="FFLWEHJF">#REF!</definedName>
    <definedName name="FFWW" hidden="1">{#N/A,#N/A,TRUE,"Front";#N/A,#N/A,TRUE,"Simple Letter";#N/A,#N/A,TRUE,"Inside";#N/A,#N/A,TRUE,"Contents";#N/A,#N/A,TRUE,"Basis";#N/A,#N/A,TRUE,"Inclusions";#N/A,#N/A,TRUE,"Exclusions";#N/A,#N/A,TRUE,"Areas";#N/A,#N/A,TRUE,"Summary";#N/A,#N/A,TRUE,"Detail"}</definedName>
    <definedName name="FGBR">#REF!</definedName>
    <definedName name="fgdfgf" hidden="1">{#N/A,#N/A,FALSE,"MAINDATA"}</definedName>
    <definedName name="FGDGB" hidden="1">#REF!</definedName>
    <definedName name="fgf" hidden="1">#REF!</definedName>
    <definedName name="fgf_10">NA()</definedName>
    <definedName name="fgf_10_5">#REF!</definedName>
    <definedName name="fgf_12">NA()</definedName>
    <definedName name="fgf_12_5">#REF!</definedName>
    <definedName name="fgf_13">NA()</definedName>
    <definedName name="fgf_13_5">#REF!</definedName>
    <definedName name="fgf_14">NA()</definedName>
    <definedName name="fgf_14_5">#REF!</definedName>
    <definedName name="fgf_15">NA()</definedName>
    <definedName name="fgf_15_5">#REF!</definedName>
    <definedName name="fgf_16">NA()</definedName>
    <definedName name="fgf_16_5">#REF!</definedName>
    <definedName name="fgf_17">NA()</definedName>
    <definedName name="fgf_17_5">#REF!</definedName>
    <definedName name="fgf_18">NA()</definedName>
    <definedName name="fgf_18_5">#REF!</definedName>
    <definedName name="fgf_19">NA()</definedName>
    <definedName name="fgf_19_5">#REF!</definedName>
    <definedName name="fgf_20">NA()</definedName>
    <definedName name="fgf_20_5">#REF!</definedName>
    <definedName name="fgf_21">NA()</definedName>
    <definedName name="fgf_21_5">#REF!</definedName>
    <definedName name="fgf_22">NA()</definedName>
    <definedName name="fgf_22_5">#REF!</definedName>
    <definedName name="fgf_23">NA()</definedName>
    <definedName name="fgf_23_5">#REF!</definedName>
    <definedName name="fgf_24">NA()</definedName>
    <definedName name="fgf_24_5">#REF!</definedName>
    <definedName name="fgf_25">NA()</definedName>
    <definedName name="fgf_25_5">#REF!</definedName>
    <definedName name="fgf_26">NA()</definedName>
    <definedName name="fgf_26_5">#REF!</definedName>
    <definedName name="fgf_27">NA()</definedName>
    <definedName name="fgf_27_5">#REF!</definedName>
    <definedName name="fgf_28">NA()</definedName>
    <definedName name="fgf_28_5">#REF!</definedName>
    <definedName name="fgf_5">#REF!</definedName>
    <definedName name="fgf_6">NA()</definedName>
    <definedName name="fgf_6_5">#REF!</definedName>
    <definedName name="fgf_7">NA()</definedName>
    <definedName name="fgf_7_5">#REF!</definedName>
    <definedName name="fgf_8">NA()</definedName>
    <definedName name="fgf_8_5">#REF!</definedName>
    <definedName name="fgf_9">NA()</definedName>
    <definedName name="fgf_9_1">NA()</definedName>
    <definedName name="fgf_9_1_1">NA()</definedName>
    <definedName name="fgf_9_1_1_5">#REF!</definedName>
    <definedName name="fgf_9_1_5">#REF!</definedName>
    <definedName name="fgf_9_5">#REF!</definedName>
    <definedName name="fgfg" hidden="1">{#N/A,#N/A,TRUE,"Front";#N/A,#N/A,TRUE,"Simple Letter";#N/A,#N/A,TRUE,"Inside";#N/A,#N/A,TRUE,"Contents";#N/A,#N/A,TRUE,"Basis";#N/A,#N/A,TRUE,"Inclusions";#N/A,#N/A,TRUE,"Exclusions";#N/A,#N/A,TRUE,"Areas";#N/A,#N/A,TRUE,"Summary";#N/A,#N/A,TRUE,"Detail"}</definedName>
    <definedName name="fgfghh" hidden="1">{#N/A,#N/A,TRUE,"Front";#N/A,#N/A,TRUE,"Simple Letter";#N/A,#N/A,TRUE,"Inside";#N/A,#N/A,TRUE,"Contents";#N/A,#N/A,TRUE,"Basis";#N/A,#N/A,TRUE,"Inclusions";#N/A,#N/A,TRUE,"Exclusions";#N/A,#N/A,TRUE,"Areas";#N/A,#N/A,TRUE,"Summary";#N/A,#N/A,TRUE,"Detail"}</definedName>
    <definedName name="fghfh">#REF!</definedName>
    <definedName name="fghh">NA()</definedName>
    <definedName name="fghh_5">#REF!</definedName>
    <definedName name="fgjh">#REF!</definedName>
    <definedName name="fgrf">#REF!</definedName>
    <definedName name="Fh">#REF!</definedName>
    <definedName name="Fhwl">#REF!</definedName>
    <definedName name="fi">#REF!</definedName>
    <definedName name="fi_12">#REF!</definedName>
    <definedName name="fi_13">#REF!</definedName>
    <definedName name="fi_14">#REF!</definedName>
    <definedName name="fi_15">#REF!</definedName>
    <definedName name="fi_16">#REF!</definedName>
    <definedName name="fi_17">#REF!</definedName>
    <definedName name="fi_19">#REF!</definedName>
    <definedName name="fi_2">#REF!</definedName>
    <definedName name="fi_20">#REF!</definedName>
    <definedName name="fi_21">#REF!</definedName>
    <definedName name="fi_23">#REF!</definedName>
    <definedName name="fi_3">#REF!</definedName>
    <definedName name="fiberboard">#REF!</definedName>
    <definedName name="fiberboard12">#REF!</definedName>
    <definedName name="fiberboard18">#REF!</definedName>
    <definedName name="fiberboard20">#REF!</definedName>
    <definedName name="fiberboard25">#REF!</definedName>
    <definedName name="fiberboard5">#REF!</definedName>
    <definedName name="fibreboard12">#REF!</definedName>
    <definedName name="FIF">#REF!</definedName>
    <definedName name="FIFTH">NA()</definedName>
    <definedName name="FIFTH_1">NA()</definedName>
    <definedName name="FIFTH_1_5">#REF!</definedName>
    <definedName name="FIFTH_5">#REF!</definedName>
    <definedName name="file">#REF!</definedName>
    <definedName name="Fill" hidden="1">#REF!</definedName>
    <definedName name="Filling_Coarse_Sand">#REF!</definedName>
    <definedName name="filtermaterial">#REF!</definedName>
    <definedName name="filterpcc">#REF!</definedName>
    <definedName name="filters">NA()</definedName>
    <definedName name="final_report">#REF!</definedName>
    <definedName name="final_report1">#REF!</definedName>
    <definedName name="Fine_Sand">#REF!</definedName>
    <definedName name="Fine_sand__Pit_Sand">#REF!</definedName>
    <definedName name="Finesand983">#REF!</definedName>
    <definedName name="firstValve">NA()</definedName>
    <definedName name="firstValve_1">NA()</definedName>
    <definedName name="firstValve_1_5">#REF!</definedName>
    <definedName name="firstValve_5">#REF!</definedName>
    <definedName name="FiscalIDNum">NA()</definedName>
    <definedName name="FiscalIDNum_1">NA()</definedName>
    <definedName name="FiscalIDNum_1_3">NA()</definedName>
    <definedName name="FiscalIDNum_1_3_5">#REF!</definedName>
    <definedName name="FiscalIDNum_1_5">#REF!</definedName>
    <definedName name="FiscalIDNum_10">NA()</definedName>
    <definedName name="FiscalIDNum_10_1">NA()</definedName>
    <definedName name="FiscalIDNum_10_1_3">NA()</definedName>
    <definedName name="FiscalIDNum_10_1_3_5">#REF!</definedName>
    <definedName name="FiscalIDNum_10_1_5">#REF!</definedName>
    <definedName name="FiscalIDNum_10_17">NA()</definedName>
    <definedName name="FiscalIDNum_10_17_3">NA()</definedName>
    <definedName name="FiscalIDNum_10_17_3_5">#REF!</definedName>
    <definedName name="FiscalIDNum_10_17_5">#REF!</definedName>
    <definedName name="FiscalIDNum_10_5">#REF!</definedName>
    <definedName name="FiscalIDNum_11">NA()</definedName>
    <definedName name="FiscalIDNum_11_1">NA()</definedName>
    <definedName name="FiscalIDNum_11_1_5">#REF!</definedName>
    <definedName name="FiscalIDNum_11_5">#REF!</definedName>
    <definedName name="FiscalIDNum_12">NA()</definedName>
    <definedName name="FiscalIDNum_12_3">NA()</definedName>
    <definedName name="FiscalIDNum_12_3_5">#REF!</definedName>
    <definedName name="FiscalIDNum_12_5">#REF!</definedName>
    <definedName name="FiscalIDNum_13">NA()</definedName>
    <definedName name="FiscalIDNum_13_3">NA()</definedName>
    <definedName name="FiscalIDNum_13_3_5">#REF!</definedName>
    <definedName name="FiscalIDNum_13_5">#REF!</definedName>
    <definedName name="FiscalIDNum_14">NA()</definedName>
    <definedName name="FiscalIDNum_14_5">#REF!</definedName>
    <definedName name="FiscalIDNum_15">NA()</definedName>
    <definedName name="FiscalIDNum_15_1">NA()</definedName>
    <definedName name="FiscalIDNum_15_1_3">NA()</definedName>
    <definedName name="FiscalIDNum_15_1_3_5">#REF!</definedName>
    <definedName name="FiscalIDNum_15_1_5">#REF!</definedName>
    <definedName name="FIT">#REF!</definedName>
    <definedName name="FIT___0">#REF!</definedName>
    <definedName name="FIT___13">#REF!</definedName>
    <definedName name="Fit_1">#REF!</definedName>
    <definedName name="Fit_10">#REF!</definedName>
    <definedName name="Fit_11">#REF!</definedName>
    <definedName name="Fit_13">#REF!</definedName>
    <definedName name="Fit_14">#REF!</definedName>
    <definedName name="Fit_15">#REF!</definedName>
    <definedName name="Fit_16">#REF!</definedName>
    <definedName name="Fit_17">#REF!</definedName>
    <definedName name="Fit_18">#REF!</definedName>
    <definedName name="Fit_19">#REF!</definedName>
    <definedName name="Fit_20">#REF!</definedName>
    <definedName name="Fit_23">#REF!</definedName>
    <definedName name="Fit_3">#REF!</definedName>
    <definedName name="Fit_4">#REF!</definedName>
    <definedName name="Fit_8">#REF!</definedName>
    <definedName name="Fit_9">#REF!</definedName>
    <definedName name="fitter">#REF!</definedName>
    <definedName name="fitter_1">#REF!</definedName>
    <definedName name="fitter_10">#REF!</definedName>
    <definedName name="fitter_11">#REF!</definedName>
    <definedName name="fitter_13">#REF!</definedName>
    <definedName name="fitter_14">#REF!</definedName>
    <definedName name="fitter_15">#REF!</definedName>
    <definedName name="fitter_16">#REF!</definedName>
    <definedName name="fitter_17">#REF!</definedName>
    <definedName name="fitter_18">#REF!</definedName>
    <definedName name="fitter_19">#REF!</definedName>
    <definedName name="fitter_20">#REF!</definedName>
    <definedName name="fitter_23">#REF!</definedName>
    <definedName name="fitter_3">#REF!</definedName>
    <definedName name="fitter_4">#REF!</definedName>
    <definedName name="fitter_8">#REF!</definedName>
    <definedName name="fitter_9">#REF!</definedName>
    <definedName name="fixed_asset">#REF!</definedName>
    <definedName name="Fixed_Lens">#N/A</definedName>
    <definedName name="Fixed_Lens2">'[24]CCTV(old)'!#REF!</definedName>
    <definedName name="fl">#REF!</definedName>
    <definedName name="flag1">#REF!</definedName>
    <definedName name="Flame_Finished_Granite_Green_Fanatsy">#REF!</definedName>
    <definedName name="Floor">#REF!</definedName>
    <definedName name="Floorsqty">"$#REF!.$M$5"</definedName>
    <definedName name="Floriana_Marble">#REF!</definedName>
    <definedName name="fm">#REF!</definedName>
    <definedName name="fo">#REF!</definedName>
    <definedName name="fo_13">#REF!</definedName>
    <definedName name="fo_14">#REF!</definedName>
    <definedName name="fo_15">#REF!</definedName>
    <definedName name="fo_16">#REF!</definedName>
    <definedName name="fo_17">#REF!</definedName>
    <definedName name="fo_19">#REF!</definedName>
    <definedName name="fo_20">#REF!</definedName>
    <definedName name="fo_21">#REF!</definedName>
    <definedName name="fo_23">#REF!</definedName>
    <definedName name="Footings">#REF!</definedName>
    <definedName name="Forex">#REF!</definedName>
    <definedName name="Formation">#REF!</definedName>
    <definedName name="formnote1">#REF!</definedName>
    <definedName name="formnote1_1">#REF!</definedName>
    <definedName name="formnote1_1_1">NA()</definedName>
    <definedName name="formnote1_1_1_1">NA()</definedName>
    <definedName name="formnote1_1_8">NA()</definedName>
    <definedName name="formnote1_2">NA()</definedName>
    <definedName name="formnote1_2_1">NA()</definedName>
    <definedName name="formnote1_3">#REF!</definedName>
    <definedName name="formnote1_3_1">NA()</definedName>
    <definedName name="formnote1_3_8">NA()</definedName>
    <definedName name="formnote1_4">#REF!</definedName>
    <definedName name="formnote1_4_1">NA()</definedName>
    <definedName name="formnote1_4_1_1">NA()</definedName>
    <definedName name="formnote1_4_8">NA()</definedName>
    <definedName name="formnote1_5">#REF!</definedName>
    <definedName name="formnote1_5_1">NA()</definedName>
    <definedName name="formnote1_5_1_1">NA()</definedName>
    <definedName name="formnote1_6">#REF!</definedName>
    <definedName name="formnote1_6_1">NA()</definedName>
    <definedName name="formnote1_6_1_1">NA()</definedName>
    <definedName name="formnote1_7">#REF!</definedName>
    <definedName name="formnote1_7_1">NA()</definedName>
    <definedName name="formnote1_8">NA()</definedName>
    <definedName name="formnote2">#REF!</definedName>
    <definedName name="formnote2_1">#REF!</definedName>
    <definedName name="formnote2_1_1">NA()</definedName>
    <definedName name="formnote2_1_1_1">NA()</definedName>
    <definedName name="formnote2_1_8">NA()</definedName>
    <definedName name="formnote2_2">NA()</definedName>
    <definedName name="formnote2_2_1">NA()</definedName>
    <definedName name="formnote2_3">#REF!</definedName>
    <definedName name="formnote2_3_1">NA()</definedName>
    <definedName name="formnote2_3_8">NA()</definedName>
    <definedName name="formnote2_4">#REF!</definedName>
    <definedName name="formnote2_4_1">NA()</definedName>
    <definedName name="formnote2_4_1_1">NA()</definedName>
    <definedName name="formnote2_4_8">NA()</definedName>
    <definedName name="formnote2_5">#REF!</definedName>
    <definedName name="formnote2_5_1">NA()</definedName>
    <definedName name="formnote2_5_1_1">NA()</definedName>
    <definedName name="formnote2_6">#REF!</definedName>
    <definedName name="formnote2_6_1">NA()</definedName>
    <definedName name="formnote2_6_1_1">NA()</definedName>
    <definedName name="formnote2_7">#REF!</definedName>
    <definedName name="formnote2_7_1">NA()</definedName>
    <definedName name="formnote2_8">NA()</definedName>
    <definedName name="formnote3">#REF!</definedName>
    <definedName name="formnote3_1">#REF!</definedName>
    <definedName name="formnote3_1_1">NA()</definedName>
    <definedName name="formnote3_1_1_1">NA()</definedName>
    <definedName name="formnote3_1_8">NA()</definedName>
    <definedName name="formnote3_2">NA()</definedName>
    <definedName name="formnote3_2_1">NA()</definedName>
    <definedName name="formnote3_3">#REF!</definedName>
    <definedName name="formnote3_3_1">NA()</definedName>
    <definedName name="formnote3_3_8">NA()</definedName>
    <definedName name="formnote3_4">#REF!</definedName>
    <definedName name="formnote3_4_1">NA()</definedName>
    <definedName name="formnote3_4_1_1">NA()</definedName>
    <definedName name="formnote3_4_8">NA()</definedName>
    <definedName name="formnote3_5">#REF!</definedName>
    <definedName name="formnote3_5_1">NA()</definedName>
    <definedName name="formnote3_5_1_1">NA()</definedName>
    <definedName name="formnote3_6">#REF!</definedName>
    <definedName name="formnote3_6_1">NA()</definedName>
    <definedName name="formnote3_6_1_1">NA()</definedName>
    <definedName name="formnote3_7">#REF!</definedName>
    <definedName name="formnote3_7_1">NA()</definedName>
    <definedName name="formnote3_8">NA()</definedName>
    <definedName name="formnote4">#REF!</definedName>
    <definedName name="formnote4_1">#REF!</definedName>
    <definedName name="formnote4_1_1">NA()</definedName>
    <definedName name="formnote4_1_1_1">NA()</definedName>
    <definedName name="formnote4_1_8">NA()</definedName>
    <definedName name="formnote4_2">NA()</definedName>
    <definedName name="formnote4_2_1">NA()</definedName>
    <definedName name="formnote4_3">#REF!</definedName>
    <definedName name="formnote4_3_1">NA()</definedName>
    <definedName name="formnote4_3_8">NA()</definedName>
    <definedName name="formnote4_4">#REF!</definedName>
    <definedName name="formnote4_4_1">NA()</definedName>
    <definedName name="formnote4_4_1_1">NA()</definedName>
    <definedName name="formnote4_4_8">NA()</definedName>
    <definedName name="formnote4_5">#REF!</definedName>
    <definedName name="formnote4_5_1">NA()</definedName>
    <definedName name="formnote4_5_1_1">NA()</definedName>
    <definedName name="formnote4_6">#REF!</definedName>
    <definedName name="formnote4_6_1">NA()</definedName>
    <definedName name="formnote4_6_1_1">NA()</definedName>
    <definedName name="formnote4_7">#REF!</definedName>
    <definedName name="formnote4_7_1">NA()</definedName>
    <definedName name="formnote4_8">NA()</definedName>
    <definedName name="FormTitle">#REF!</definedName>
    <definedName name="formworkl" hidden="1">{#N/A,#N/A,TRUE,"Front";#N/A,#N/A,TRUE,"Simple Letter";#N/A,#N/A,TRUE,"Inside";#N/A,#N/A,TRUE,"Contents";#N/A,#N/A,TRUE,"Basis";#N/A,#N/A,TRUE,"Inclusions";#N/A,#N/A,TRUE,"Exclusions";#N/A,#N/A,TRUE,"Areas";#N/A,#N/A,TRUE,"Summary";#N/A,#N/A,TRUE,"Detail"}</definedName>
    <definedName name="FOSM">[7]STABILITY!$J$10</definedName>
    <definedName name="FOSS">[7]STABILITY!$J$35</definedName>
    <definedName name="Four.1">#REF!</definedName>
    <definedName name="Four.10">#REF!</definedName>
    <definedName name="Four.11">#REF!</definedName>
    <definedName name="Four.12">#REF!</definedName>
    <definedName name="Four.13">#REF!</definedName>
    <definedName name="Four.14">#REF!</definedName>
    <definedName name="Four.15">#REF!</definedName>
    <definedName name="Four.16">#REF!</definedName>
    <definedName name="Four.17">#REF!</definedName>
    <definedName name="Four.18">#REF!</definedName>
    <definedName name="Four.2">#REF!</definedName>
    <definedName name="Four.3">#REF!</definedName>
    <definedName name="Four.4">#REF!</definedName>
    <definedName name="Four.5">#REF!</definedName>
    <definedName name="Four.6">#REF!</definedName>
    <definedName name="Four.7">#REF!</definedName>
    <definedName name="Four.8">#REF!</definedName>
    <definedName name="Four.9">#REF!</definedName>
    <definedName name="Fp">#REF!</definedName>
    <definedName name="FPL">#REF!</definedName>
    <definedName name="fr">#REF!</definedName>
    <definedName name="fr_13">#REF!</definedName>
    <definedName name="fr_14">#REF!</definedName>
    <definedName name="fr_15">#REF!</definedName>
    <definedName name="fr_16">#REF!</definedName>
    <definedName name="fr_17">#REF!</definedName>
    <definedName name="fr_19">#REF!</definedName>
    <definedName name="fr_20">#REF!</definedName>
    <definedName name="fr_21">#REF!</definedName>
    <definedName name="fr_23">#REF!</definedName>
    <definedName name="fr_3">#REF!</definedName>
    <definedName name="fRANCIS">#REF!</definedName>
    <definedName name="frgrr" hidden="1">{#N/A,#N/A,TRUE,"Front";#N/A,#N/A,TRUE,"Simple Letter";#N/A,#N/A,TRUE,"Inside";#N/A,#N/A,TRUE,"Contents";#N/A,#N/A,TRUE,"Basis";#N/A,#N/A,TRUE,"Inclusions";#N/A,#N/A,TRUE,"Exclusions";#N/A,#N/A,TRUE,"Areas";#N/A,#N/A,TRUE,"Summary";#N/A,#N/A,TRUE,"Detail"}</definedName>
    <definedName name="frncis">#REF!</definedName>
    <definedName name="FRONT_ELEVATION">#REF!</definedName>
    <definedName name="FRT">#REF!</definedName>
    <definedName name="FS" hidden="1">{#N/A,#N/A,TRUE,"Front";#N/A,#N/A,TRUE,"Simple Letter";#N/A,#N/A,TRUE,"Inside";#N/A,#N/A,TRUE,"Contents";#N/A,#N/A,TRUE,"Basis";#N/A,#N/A,TRUE,"Inclusions";#N/A,#N/A,TRUE,"Exclusions";#N/A,#N/A,TRUE,"Areas";#N/A,#N/A,TRUE,"Summary";#N/A,#N/A,TRUE,"Detail"}</definedName>
    <definedName name="fsa" hidden="1">{#N/A,#N/A,TRUE,"Front";#N/A,#N/A,TRUE,"Simple Letter";#N/A,#N/A,TRUE,"Inside";#N/A,#N/A,TRUE,"Contents";#N/A,#N/A,TRUE,"Basis";#N/A,#N/A,TRUE,"Inclusions";#N/A,#N/A,TRUE,"Exclusions";#N/A,#N/A,TRUE,"Areas";#N/A,#N/A,TRUE,"Summary";#N/A,#N/A,TRUE,"Detail"}</definedName>
    <definedName name="fsa_1">NA()</definedName>
    <definedName name="fsa_1_1">NA()</definedName>
    <definedName name="fsa_2">NA()</definedName>
    <definedName name="fsa_3">#N/A</definedName>
    <definedName name="fsa_4">#REF!</definedName>
    <definedName name="fsa_4_1">NA()</definedName>
    <definedName name="fsa_4_8">NA()</definedName>
    <definedName name="fsa_5">#REF!</definedName>
    <definedName name="fsa_5_1">NA()</definedName>
    <definedName name="fsa_8">NA()</definedName>
    <definedName name="fsand">#REF!</definedName>
    <definedName name="fsdf">#REF!</definedName>
    <definedName name="fsg">#N/A</definedName>
    <definedName name="fsgsd" hidden="1">#REF!</definedName>
    <definedName name="fstclm">#REF!</definedName>
    <definedName name="FT">#REF!</definedName>
    <definedName name="ftftf">#REF!</definedName>
    <definedName name="FTH">[25]Labels!$A$7:$A$9</definedName>
    <definedName name="FTH_Types">[25]Labels!$C$12:$C$13</definedName>
    <definedName name="Fuel_Coal">#REF!</definedName>
    <definedName name="Full_Print">#REF!</definedName>
    <definedName name="Funding">[20]Background!$L$9:$L$11</definedName>
    <definedName name="Funding_1">NA()</definedName>
    <definedName name="Funding_1_1">NA()</definedName>
    <definedName name="Funding_2">NA()</definedName>
    <definedName name="Funding_3">NA()</definedName>
    <definedName name="Fuse">#REF!</definedName>
    <definedName name="fusewire">#REF!</definedName>
    <definedName name="Fv">#REF!</definedName>
    <definedName name="FY">[7]DATA!$C$29</definedName>
    <definedName name="fyfid_oxhZ__deZpkfj_ksa_dk_inksUufr_gsrq_p_u_pkVZ">#REF!</definedName>
    <definedName name="g">#REF!</definedName>
    <definedName name="G1_">#N/A</definedName>
    <definedName name="gama">#REF!</definedName>
    <definedName name="gamah">#REF!</definedName>
    <definedName name="ganga">#REF!</definedName>
    <definedName name="ganj">#REF!</definedName>
    <definedName name="Garhakala">#REF!</definedName>
    <definedName name="GBP">[7]DATA!$F$41</definedName>
    <definedName name="GC">[7]DATA!$F$28</definedName>
    <definedName name="gcl">#REF!</definedName>
    <definedName name="gdfg" hidden="1">[4]Z!$T$180:$AH$180</definedName>
    <definedName name="GDH">#REF!</definedName>
    <definedName name="gdrt">#REF!</definedName>
    <definedName name="gelatine">#REF!</definedName>
    <definedName name="gen">#REF!</definedName>
    <definedName name="generator33kva">#REF!</definedName>
    <definedName name="geo">#REF!</definedName>
    <definedName name="geofabric">#REF!</definedName>
    <definedName name="GF">#REF!</definedName>
    <definedName name="GF_13">#REF!</definedName>
    <definedName name="GF_14">#REF!</definedName>
    <definedName name="GF_16">#REF!</definedName>
    <definedName name="GF_17">#REF!</definedName>
    <definedName name="GF_19">#REF!</definedName>
    <definedName name="GF_20">#REF!</definedName>
    <definedName name="GF_23">#REF!</definedName>
    <definedName name="gfg">#N/A</definedName>
    <definedName name="gg">#REF!</definedName>
    <definedName name="GGG" hidden="1">#REF!</definedName>
    <definedName name="gggg">#REF!</definedName>
    <definedName name="gh">#REF!</definedName>
    <definedName name="GHFGHHF" hidden="1">{#N/A,#N/A,TRUE,"Front";#N/A,#N/A,TRUE,"Simple Letter";#N/A,#N/A,TRUE,"Inside";#N/A,#N/A,TRUE,"Contents";#N/A,#N/A,TRUE,"Basis";#N/A,#N/A,TRUE,"Inclusions";#N/A,#N/A,TRUE,"Exclusions";#N/A,#N/A,TRUE,"Areas";#N/A,#N/A,TRUE,"Summary";#N/A,#N/A,TRUE,"Detail"}</definedName>
    <definedName name="GHGJ" hidden="1">[12]analysis!#REF!</definedName>
    <definedName name="ghgjgd">#REF!</definedName>
    <definedName name="GHJT">#REF!</definedName>
    <definedName name="ghldg">#N/A</definedName>
    <definedName name="ghnjgf" hidden="1">{#N/A,#N/A,TRUE,"Front";#N/A,#N/A,TRUE,"Simple Letter";#N/A,#N/A,TRUE,"Inside";#N/A,#N/A,TRUE,"Contents";#N/A,#N/A,TRUE,"Basis";#N/A,#N/A,TRUE,"Inclusions";#N/A,#N/A,TRUE,"Exclusions";#N/A,#N/A,TRUE,"Areas";#N/A,#N/A,TRUE,"Summary";#N/A,#N/A,TRUE,"Detail"}</definedName>
    <definedName name="GI">#REF!</definedName>
    <definedName name="gif">#REF!</definedName>
    <definedName name="GJMHM" hidden="1">{#N/A,#N/A,TRUE,"Front";#N/A,#N/A,TRUE,"Simple Letter";#N/A,#N/A,TRUE,"Inside";#N/A,#N/A,TRUE,"Contents";#N/A,#N/A,TRUE,"Basis";#N/A,#N/A,TRUE,"Inclusions";#N/A,#N/A,TRUE,"Exclusions";#N/A,#N/A,TRUE,"Areas";#N/A,#N/A,TRUE,"Summary";#N/A,#N/A,TRUE,"Detail"}</definedName>
    <definedName name="GL">#REF!</definedName>
    <definedName name="GLA">#REF!</definedName>
    <definedName name="glassbeads">#REF!</definedName>
    <definedName name="gm_25">#REF!</definedName>
    <definedName name="gm_32">#REF!</definedName>
    <definedName name="gm_40">#REF!</definedName>
    <definedName name="gm_50">#REF!</definedName>
    <definedName name="gm_65">#REF!</definedName>
    <definedName name="gm_80">#REF!</definedName>
    <definedName name="GMAmount">#REF!</definedName>
    <definedName name="GMPercent">#REF!</definedName>
    <definedName name="GP">#REF!</definedName>
    <definedName name="GR">#REF!</definedName>
    <definedName name="grader">#REF!</definedName>
    <definedName name="grand">#REF!</definedName>
    <definedName name="granite_brown">#REF!</definedName>
    <definedName name="grgrg">#REF!</definedName>
    <definedName name="grind">#REF!</definedName>
    <definedName name="grinstone">#REF!</definedName>
    <definedName name="Grit112Kabrai">#REF!</definedName>
    <definedName name="Grit112Lal">#REF!</definedName>
    <definedName name="Grit132Kabrai">#REF!</definedName>
    <definedName name="Grit132Lal">#REF!</definedName>
    <definedName name="Grit6mmKabrai">#REF!</definedName>
    <definedName name="Grit6mmLal">#REF!</definedName>
    <definedName name="gro">#REF!</definedName>
    <definedName name="gro_1">NA()</definedName>
    <definedName name="gro_4">#REF!</definedName>
    <definedName name="gro_4_1">NA()</definedName>
    <definedName name="gro_5">#REF!</definedName>
    <definedName name="gro_5_1">NA()</definedName>
    <definedName name="gro_8">#REF!</definedName>
    <definedName name="gro_8_1">NA()</definedName>
    <definedName name="Groud">#REF!</definedName>
    <definedName name="Group1">#REF!</definedName>
    <definedName name="Group2">#REF!</definedName>
    <definedName name="Group3">#N/A</definedName>
    <definedName name="Group4">#N/A</definedName>
    <definedName name="groutpump">#REF!</definedName>
    <definedName name="gs">#REF!</definedName>
    <definedName name="GSB">#REF!</definedName>
    <definedName name="gsbplantrate">#REF!</definedName>
    <definedName name="gsbthick">#REF!</definedName>
    <definedName name="gsbThickB">#REF!</definedName>
    <definedName name="gspllant">#REF!</definedName>
    <definedName name="GSTCONDUIT">[26]Sheet2!$D$7</definedName>
    <definedName name="GSTLED">[26]Sheet2!$D$10</definedName>
    <definedName name="gthh" hidden="1">{#N/A,#N/A,TRUE,"Front";#N/A,#N/A,TRUE,"Simple Letter";#N/A,#N/A,TRUE,"Inside";#N/A,#N/A,TRUE,"Contents";#N/A,#N/A,TRUE,"Basis";#N/A,#N/A,TRUE,"Inclusions";#N/A,#N/A,TRUE,"Exclusions";#N/A,#N/A,TRUE,"Areas";#N/A,#N/A,TRUE,"Summary";#N/A,#N/A,TRUE,"Detail"}</definedName>
    <definedName name="GTotal">#REF!</definedName>
    <definedName name="gunga">#REF!</definedName>
    <definedName name="gungakalara">#REF!</definedName>
    <definedName name="gyt" hidden="1">{#N/A,#N/A,TRUE,"Front";#N/A,#N/A,TRUE,"Simple Letter";#N/A,#N/A,TRUE,"Inside";#N/A,#N/A,TRUE,"Contents";#N/A,#N/A,TRUE,"Basis";#N/A,#N/A,TRUE,"Inclusions";#N/A,#N/A,TRUE,"Exclusions";#N/A,#N/A,TRUE,"Areas";#N/A,#N/A,TRUE,"Summary";#N/A,#N/A,TRUE,"Detail"}</definedName>
    <definedName name="h">{#N/A,#N/A,TRUE,"Front";#N/A,#N/A,TRUE,"Simple Letter";#N/A,#N/A,TRUE,"Inside";#N/A,#N/A,TRUE,"Contents";#N/A,#N/A,TRUE,"Basis";#N/A,#N/A,TRUE,"Inclusions";#N/A,#N/A,TRUE,"Exclusions";#N/A,#N/A,TRUE,"Areas";#N/A,#N/A,TRUE,"Summary";#N/A,#N/A,TRUE,"Detail"}</definedName>
    <definedName name="H___0">#REF!</definedName>
    <definedName name="H___13">#REF!</definedName>
    <definedName name="H0">#REF!</definedName>
    <definedName name="H0___0">#REF!</definedName>
    <definedName name="H0___13">#REF!</definedName>
    <definedName name="H810.">#REF!</definedName>
    <definedName name="H810._13">#REF!</definedName>
    <definedName name="H810._14">#REF!</definedName>
    <definedName name="H810._16">#REF!</definedName>
    <definedName name="H810._17">#REF!</definedName>
    <definedName name="H810._19">#REF!</definedName>
    <definedName name="H810._20">#REF!</definedName>
    <definedName name="H810._23">#REF!</definedName>
    <definedName name="H810._3">#REF!</definedName>
    <definedName name="HA">#REF!</definedName>
    <definedName name="had">#REF!</definedName>
    <definedName name="half">#REF!</definedName>
    <definedName name="Ham">#REF!</definedName>
    <definedName name="Ham_1">#REF!</definedName>
    <definedName name="Ham_10">#REF!</definedName>
    <definedName name="Ham_11">#REF!</definedName>
    <definedName name="Ham_13">#REF!</definedName>
    <definedName name="Ham_14">#REF!</definedName>
    <definedName name="Ham_15">#REF!</definedName>
    <definedName name="Ham_16">#REF!</definedName>
    <definedName name="Ham_17">#REF!</definedName>
    <definedName name="Ham_18">#REF!</definedName>
    <definedName name="Ham_19">#REF!</definedName>
    <definedName name="Ham_20">#REF!</definedName>
    <definedName name="Ham_23">#REF!</definedName>
    <definedName name="Ham_3">#REF!</definedName>
    <definedName name="Ham_4">#REF!</definedName>
    <definedName name="Ham_8">#REF!</definedName>
    <definedName name="Ham_9">#REF!</definedName>
    <definedName name="Hammerman">#REF!</definedName>
    <definedName name="HARI">#REF!</definedName>
    <definedName name="HARISH">#REF!</definedName>
    <definedName name="HB">#REF!</definedName>
    <definedName name="HC">#REF!</definedName>
    <definedName name="HDD">#N/A</definedName>
    <definedName name="hdgfjdhkh" hidden="1">{#N/A,#N/A,TRUE,"Front";#N/A,#N/A,TRUE,"Simple Letter";#N/A,#N/A,TRUE,"Inside";#N/A,#N/A,TRUE,"Contents";#N/A,#N/A,TRUE,"Basis";#N/A,#N/A,TRUE,"Inclusions";#N/A,#N/A,TRUE,"Exclusions";#N/A,#N/A,TRUE,"Areas";#N/A,#N/A,TRUE,"Summary";#N/A,#N/A,TRUE,"Detail"}</definedName>
    <definedName name="hdhrt" hidden="1">#REF!</definedName>
    <definedName name="he">#REF!</definedName>
    <definedName name="he_13">#REF!</definedName>
    <definedName name="he_14">#REF!</definedName>
    <definedName name="he_15">#REF!</definedName>
    <definedName name="he_16">#REF!</definedName>
    <definedName name="he_17">#REF!</definedName>
    <definedName name="he_19">#REF!</definedName>
    <definedName name="he_20">#REF!</definedName>
    <definedName name="he_21">#REF!</definedName>
    <definedName name="he_23">#REF!</definedName>
    <definedName name="he_3">#REF!</definedName>
    <definedName name="headblacksmith">#REF!</definedName>
    <definedName name="Header_Row">ROW(#REF!)</definedName>
    <definedName name="heading">#REF!</definedName>
    <definedName name="headmason">#REF!</definedName>
    <definedName name="hectstone">#REF!</definedName>
    <definedName name="Height">5</definedName>
    <definedName name="Hel">#REF!</definedName>
    <definedName name="Hel_1">#REF!</definedName>
    <definedName name="Hel_10">#REF!</definedName>
    <definedName name="Hel_11">#REF!</definedName>
    <definedName name="Hel_13">#REF!</definedName>
    <definedName name="Hel_14">#REF!</definedName>
    <definedName name="Hel_15">#REF!</definedName>
    <definedName name="Hel_16">#REF!</definedName>
    <definedName name="Hel_17">#REF!</definedName>
    <definedName name="Hel_18">#REF!</definedName>
    <definedName name="Hel_19">#REF!</definedName>
    <definedName name="Hel_20">#REF!</definedName>
    <definedName name="Hel_23">#REF!</definedName>
    <definedName name="Hel_3">#REF!</definedName>
    <definedName name="Hel_4">#REF!</definedName>
    <definedName name="Hel_8">#REF!</definedName>
    <definedName name="Hel_9">#REF!</definedName>
    <definedName name="Hello">#N/A</definedName>
    <definedName name="hf">#REF!</definedName>
    <definedName name="HFJHEJF">#REF!</definedName>
    <definedName name="hh">#REF!</definedName>
    <definedName name="hh___0">#REF!</definedName>
    <definedName name="hh___13">#REF!</definedName>
    <definedName name="HHH" hidden="1">{#N/A,#N/A,TRUE,"Front";#N/A,#N/A,TRUE,"Simple Letter";#N/A,#N/A,TRUE,"Inside";#N/A,#N/A,TRUE,"Contents";#N/A,#N/A,TRUE,"Basis";#N/A,#N/A,TRUE,"Inclusions";#N/A,#N/A,TRUE,"Exclusions";#N/A,#N/A,TRUE,"Areas";#N/A,#N/A,TRUE,"Summary";#N/A,#N/A,TRUE,"Detail"}</definedName>
    <definedName name="hhhh">#REF!</definedName>
    <definedName name="HHHHH">#REF!</definedName>
    <definedName name="hhhhhhhhh">#REF!</definedName>
    <definedName name="hi">{#N/A,#N/A,TRUE,"Front";#N/A,#N/A,TRUE,"Simple Letter";#N/A,#N/A,TRUE,"Inside";#N/A,#N/A,TRUE,"Contents";#N/A,#N/A,TRUE,"Basis";#N/A,#N/A,TRUE,"Inclusions";#N/A,#N/A,TRUE,"Exclusions";#N/A,#N/A,TRUE,"Areas";#N/A,#N/A,TRUE,"Summary";#N/A,#N/A,TRUE,"Detail"}</definedName>
    <definedName name="HiddenRows" hidden="1">#REF!</definedName>
    <definedName name="HINDHUSTAN">#REF!</definedName>
    <definedName name="HIns">#REF!</definedName>
    <definedName name="HJIL">#REF!</definedName>
    <definedName name="hmp">#REF!</definedName>
    <definedName name="hmplant">#REF!</definedName>
    <definedName name="hmplant10">#REF!</definedName>
    <definedName name="hmplant30">#REF!</definedName>
    <definedName name="HN">[7]DATA!$C$26</definedName>
    <definedName name="hntdn">#REF!</definedName>
    <definedName name="ho">#REF!</definedName>
    <definedName name="ho___0">#REF!</definedName>
    <definedName name="ho___13">#REF!</definedName>
    <definedName name="hoi">#REF!</definedName>
    <definedName name="Horn_Speaker">#REF!</definedName>
    <definedName name="Hostel_2">#REF!</definedName>
    <definedName name="HotMazdoor">#REF!</definedName>
    <definedName name="hotmixmidium">#REF!</definedName>
    <definedName name="hotmixplant">#REF!</definedName>
    <definedName name="hotmixsmall">#REF!</definedName>
    <definedName name="Housing_Accessories">'[24]CCTV(old)'!#REF!</definedName>
    <definedName name="Housing_Prepacs">'[24]CCTV(old)'!#REF!</definedName>
    <definedName name="Hp">#REF!</definedName>
    <definedName name="Hr">'[27]Rising Main 1'!$F$8</definedName>
    <definedName name="Hrl">#REF!</definedName>
    <definedName name="hrt">#REF!</definedName>
    <definedName name="hS">#REF!</definedName>
    <definedName name="hS___0">#REF!</definedName>
    <definedName name="hS___13">#REF!</definedName>
    <definedName name="hs10mm">#REF!</definedName>
    <definedName name="hs10mmHaldwani">#REF!</definedName>
    <definedName name="hs12mm">#REF!</definedName>
    <definedName name="hs12mmhaldwani">#REF!</definedName>
    <definedName name="hs13mm">#REF!</definedName>
    <definedName name="hs5.6mm">#REF!</definedName>
    <definedName name="htew">#REF!</definedName>
    <definedName name="htewhp">#REF!</definedName>
    <definedName name="htewhp2">#REF!</definedName>
    <definedName name="html" hidden="1">{"'Sheet2'!$J$118:$J$123","'Sheet2'!$J$133"}</definedName>
    <definedName name="HTML_CodePage" hidden="1">1252</definedName>
    <definedName name="HTML_Control"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3" hidden="1">TRUE</definedName>
    <definedName name="HTML_OBDlg4" hidden="1">TRUE</definedName>
    <definedName name="HTML_OS" hidden="1">0</definedName>
    <definedName name="HTML_PathFile" hidden="1">"A:\MyHTML.htm"</definedName>
    <definedName name="HTML_PathTemplate" hidden="1">"C:\My Documents\HTMLTemp.htm"</definedName>
    <definedName name="HTML_r" hidden="1">{"'Sheet2'!$J$118:$J$123","'Sheet2'!$J$133"}</definedName>
    <definedName name="HTML_Title" hidden="1">"SGSDaily Progress Report Piyaj toDharoi Pipeline"</definedName>
    <definedName name="html1" hidden="1">{"'Sheet2'!$J$118:$J$123","'Sheet2'!$J$133"}</definedName>
    <definedName name="html11" hidden="1">{"'Sheet2'!$J$118:$J$123","'Sheet2'!$J$133"}</definedName>
    <definedName name="HTML2" hidden="1">{"'Sheet2'!$J$118:$J$123","'Sheet2'!$J$133"}</definedName>
    <definedName name="html2." hidden="1">{"'Sheet2'!$J$118:$J$123","'Sheet2'!$J$133"}</definedName>
    <definedName name="html4" hidden="1">{"'Sheet2'!$J$118:$J$123","'Sheet2'!$J$133"}</definedName>
    <definedName name="Hu">#REF!</definedName>
    <definedName name="Hu___0">#REF!</definedName>
    <definedName name="Hu___13">#REF!</definedName>
    <definedName name="humepipe1000">#REF!</definedName>
    <definedName name="Humepipe600">#REF!</definedName>
    <definedName name="Humepipe900">#REF!</definedName>
    <definedName name="HVAC2">'[28]Basic Rates'!$A$5:$L$328</definedName>
    <definedName name="HVAC3">'[28]Basic Rates'!$A$5:$L$328</definedName>
    <definedName name="hvacrates">'[29]Basic Rates'!$A$7:$K$420</definedName>
    <definedName name="Hw">[7]DATA!$C$24</definedName>
    <definedName name="hw_end">#REF!</definedName>
    <definedName name="hw_end_1">#REF!</definedName>
    <definedName name="hw_end_1_1">NA()</definedName>
    <definedName name="hw_end_1_1_1">NA()</definedName>
    <definedName name="hw_end_1_8">NA()</definedName>
    <definedName name="hw_end_2">NA()</definedName>
    <definedName name="hw_end_2_1">NA()</definedName>
    <definedName name="hw_end_3">#REF!</definedName>
    <definedName name="hw_end_3_1">NA()</definedName>
    <definedName name="hw_end_3_8">NA()</definedName>
    <definedName name="hw_end_4">#REF!</definedName>
    <definedName name="hw_end_4_1">NA()</definedName>
    <definedName name="hw_end_4_1_1">NA()</definedName>
    <definedName name="hw_end_4_8">NA()</definedName>
    <definedName name="hw_end_5">#REF!</definedName>
    <definedName name="hw_end_5_1">NA()</definedName>
    <definedName name="hw_end_5_1_1">NA()</definedName>
    <definedName name="hw_end_6">#REF!</definedName>
    <definedName name="hw_end_6_1">NA()</definedName>
    <definedName name="hw_end_6_1_1">NA()</definedName>
    <definedName name="hw_end_7">#REF!</definedName>
    <definedName name="hw_end_7_1">NA()</definedName>
    <definedName name="hw_end_8">NA()</definedName>
    <definedName name="hw_start">#REF!</definedName>
    <definedName name="hw_start_1">#REF!</definedName>
    <definedName name="hw_start_1_1">NA()</definedName>
    <definedName name="hw_start_1_1_1">NA()</definedName>
    <definedName name="hw_start_1_8">NA()</definedName>
    <definedName name="hw_start_2">NA()</definedName>
    <definedName name="hw_start_2_1">NA()</definedName>
    <definedName name="hw_start_3">#REF!</definedName>
    <definedName name="hw_start_3_1">NA()</definedName>
    <definedName name="hw_start_3_8">NA()</definedName>
    <definedName name="hw_start_4">#REF!</definedName>
    <definedName name="hw_start_4_1">NA()</definedName>
    <definedName name="hw_start_4_1_1">NA()</definedName>
    <definedName name="hw_start_4_8">NA()</definedName>
    <definedName name="hw_start_5">#REF!</definedName>
    <definedName name="hw_start_5_1">NA()</definedName>
    <definedName name="hw_start_5_1_1">NA()</definedName>
    <definedName name="hw_start_6">#REF!</definedName>
    <definedName name="hw_start_6_1">NA()</definedName>
    <definedName name="hw_start_6_1_1">NA()</definedName>
    <definedName name="hw_start_7">#REF!</definedName>
    <definedName name="hw_start_7_1">NA()</definedName>
    <definedName name="hw_start_8">NA()</definedName>
    <definedName name="hxb">#REF!</definedName>
    <definedName name="hxi">#REF!</definedName>
    <definedName name="Hy" hidden="1">[5]SEW4!#REF!</definedName>
    <definedName name="HYA">#REF!</definedName>
    <definedName name="HYB">#REF!</definedName>
    <definedName name="HYC">#REF!</definedName>
    <definedName name="hydexcavator">#REF!</definedName>
    <definedName name="Hydraulic_Excvator">#REF!</definedName>
    <definedName name="hysd">#REF!</definedName>
    <definedName name="hysdpcc">#REF!</definedName>
    <definedName name="I">#REF!</definedName>
    <definedName name="I___0">#REF!</definedName>
    <definedName name="I___13">#REF!</definedName>
    <definedName name="IBM_Labour">[25]Labels!$A$12:$A$13</definedName>
    <definedName name="ibu">{"Book1","Estimate R.I.D.F. Proposal (Finel).xls"}</definedName>
    <definedName name="ic">#REF!</definedName>
    <definedName name="ic_4">#REF!</definedName>
    <definedName name="idc" hidden="1">{#N/A,#N/A,TRUE,"Front";#N/A,#N/A,TRUE,"Simple Letter";#N/A,#N/A,TRUE,"Inside";#N/A,#N/A,TRUE,"Contents";#N/A,#N/A,TRUE,"Basis";#N/A,#N/A,TRUE,"Inclusions";#N/A,#N/A,TRUE,"Exclusions";#N/A,#N/A,TRUE,"Areas";#N/A,#N/A,TRUE,"Summary";#N/A,#N/A,TRUE,"Detail"}</definedName>
    <definedName name="If">#REF!</definedName>
    <definedName name="Ig">#REF!</definedName>
    <definedName name="Ig___0">#REF!</definedName>
    <definedName name="Ig___13">#REF!</definedName>
    <definedName name="ii">#REF!</definedName>
    <definedName name="iii" hidden="1">#REF!</definedName>
    <definedName name="iio">#N/A</definedName>
    <definedName name="ij">#REF!</definedName>
    <definedName name="ill">#REF!</definedName>
    <definedName name="imp_end">#REF!</definedName>
    <definedName name="imp_end_1">#REF!</definedName>
    <definedName name="imp_end_1_1">NA()</definedName>
    <definedName name="imp_end_1_1_1">NA()</definedName>
    <definedName name="imp_end_1_8">NA()</definedName>
    <definedName name="imp_end_2">NA()</definedName>
    <definedName name="imp_end_2_1">NA()</definedName>
    <definedName name="imp_end_3">#REF!</definedName>
    <definedName name="imp_end_3_1">NA()</definedName>
    <definedName name="imp_end_3_8">NA()</definedName>
    <definedName name="imp_end_4">#REF!</definedName>
    <definedName name="imp_end_4_1">NA()</definedName>
    <definedName name="imp_end_4_1_1">NA()</definedName>
    <definedName name="imp_end_4_8">NA()</definedName>
    <definedName name="imp_end_5">#REF!</definedName>
    <definedName name="imp_end_5_1">NA()</definedName>
    <definedName name="imp_end_5_1_1">NA()</definedName>
    <definedName name="imp_end_6">#REF!</definedName>
    <definedName name="imp_end_6_1">NA()</definedName>
    <definedName name="imp_end_6_1_1">NA()</definedName>
    <definedName name="imp_end_7">#REF!</definedName>
    <definedName name="imp_end_7_1">NA()</definedName>
    <definedName name="imp_end_8">NA()</definedName>
    <definedName name="imp_start">#REF!</definedName>
    <definedName name="imp_start_1">#REF!</definedName>
    <definedName name="imp_start_1_1">NA()</definedName>
    <definedName name="imp_start_1_1_1">NA()</definedName>
    <definedName name="imp_start_1_8">NA()</definedName>
    <definedName name="imp_start_2">NA()</definedName>
    <definedName name="imp_start_2_1">NA()</definedName>
    <definedName name="imp_start_3">#REF!</definedName>
    <definedName name="imp_start_3_1">NA()</definedName>
    <definedName name="imp_start_3_8">NA()</definedName>
    <definedName name="imp_start_4">#REF!</definedName>
    <definedName name="imp_start_4_1">NA()</definedName>
    <definedName name="imp_start_4_1_1">NA()</definedName>
    <definedName name="imp_start_4_8">NA()</definedName>
    <definedName name="imp_start_5">#REF!</definedName>
    <definedName name="imp_start_5_1">NA()</definedName>
    <definedName name="imp_start_5_1_1">NA()</definedName>
    <definedName name="imp_start_6">#REF!</definedName>
    <definedName name="imp_start_6_1">NA()</definedName>
    <definedName name="imp_start_6_1_1">NA()</definedName>
    <definedName name="imp_start_7">#REF!</definedName>
    <definedName name="imp_start_7_1">NA()</definedName>
    <definedName name="imp_start_8">NA()</definedName>
    <definedName name="inAst1">#REF!</definedName>
    <definedName name="inAst3">#REF!</definedName>
    <definedName name="inAst4">#REF!</definedName>
    <definedName name="incgl">#REF!</definedName>
    <definedName name="income">#REF!</definedName>
    <definedName name="inddigo">#REF!</definedName>
    <definedName name="indf">#REF!</definedName>
    <definedName name="indQuarry">#REF!</definedName>
    <definedName name="inexudl">#REF!</definedName>
    <definedName name="InitialUse">0</definedName>
    <definedName name="INR_Conv">#N/A</definedName>
    <definedName name="Insert">#REF!</definedName>
    <definedName name="insert_rows_1">'[30]Basement Budget'!#REF!</definedName>
    <definedName name="installto_add1">#REF!</definedName>
    <definedName name="installto_add1_1">#REF!</definedName>
    <definedName name="installto_add1_1_1">NA()</definedName>
    <definedName name="installto_add1_1_1_1">NA()</definedName>
    <definedName name="installto_add1_1_8">NA()</definedName>
    <definedName name="installto_add1_2">NA()</definedName>
    <definedName name="installto_add1_2_1">NA()</definedName>
    <definedName name="installto_add1_3">#REF!</definedName>
    <definedName name="installto_add1_3_1">NA()</definedName>
    <definedName name="installto_add1_3_8">NA()</definedName>
    <definedName name="installto_add1_4">#REF!</definedName>
    <definedName name="installto_add1_4_1">NA()</definedName>
    <definedName name="installto_add1_4_1_1">NA()</definedName>
    <definedName name="installto_add1_4_8">NA()</definedName>
    <definedName name="installto_add1_5">#REF!</definedName>
    <definedName name="installto_add1_5_1">NA()</definedName>
    <definedName name="installto_add1_5_1_1">NA()</definedName>
    <definedName name="installto_add1_6">#REF!</definedName>
    <definedName name="installto_add1_6_1">NA()</definedName>
    <definedName name="installto_add1_6_1_1">NA()</definedName>
    <definedName name="installto_add1_7">#REF!</definedName>
    <definedName name="installto_add1_7_1">NA()</definedName>
    <definedName name="installto_add1_8">NA()</definedName>
    <definedName name="installto_add2">#REF!</definedName>
    <definedName name="installto_add2_1">#REF!</definedName>
    <definedName name="installto_add2_1_1">NA()</definedName>
    <definedName name="installto_add2_1_1_1">NA()</definedName>
    <definedName name="installto_add2_1_8">NA()</definedName>
    <definedName name="installto_add2_2">NA()</definedName>
    <definedName name="installto_add2_2_1">NA()</definedName>
    <definedName name="installto_add2_3">#REF!</definedName>
    <definedName name="installto_add2_3_1">NA()</definedName>
    <definedName name="installto_add2_3_8">NA()</definedName>
    <definedName name="installto_add2_4">#REF!</definedName>
    <definedName name="installto_add2_4_1">NA()</definedName>
    <definedName name="installto_add2_4_1_1">NA()</definedName>
    <definedName name="installto_add2_4_8">NA()</definedName>
    <definedName name="installto_add2_5">#REF!</definedName>
    <definedName name="installto_add2_5_1">NA()</definedName>
    <definedName name="installto_add2_5_1_1">NA()</definedName>
    <definedName name="installto_add2_6">#REF!</definedName>
    <definedName name="installto_add2_6_1">NA()</definedName>
    <definedName name="installto_add2_6_1_1">NA()</definedName>
    <definedName name="installto_add2_7">#REF!</definedName>
    <definedName name="installto_add2_7_1">NA()</definedName>
    <definedName name="installto_add2_8">NA()</definedName>
    <definedName name="installto_citystatezip">#REF!</definedName>
    <definedName name="installto_citystatezip_1">#REF!</definedName>
    <definedName name="installto_citystatezip_1_1">NA()</definedName>
    <definedName name="installto_citystatezip_1_1_1">NA()</definedName>
    <definedName name="installto_citystatezip_1_8">NA()</definedName>
    <definedName name="installto_citystatezip_2">NA()</definedName>
    <definedName name="installto_citystatezip_2_1">NA()</definedName>
    <definedName name="installto_citystatezip_3">#REF!</definedName>
    <definedName name="installto_citystatezip_3_1">NA()</definedName>
    <definedName name="installto_citystatezip_3_8">NA()</definedName>
    <definedName name="installto_citystatezip_4">#REF!</definedName>
    <definedName name="installto_citystatezip_4_1">NA()</definedName>
    <definedName name="installto_citystatezip_4_1_1">NA()</definedName>
    <definedName name="installto_citystatezip_4_8">NA()</definedName>
    <definedName name="installto_citystatezip_5">#REF!</definedName>
    <definedName name="installto_citystatezip_5_1">NA()</definedName>
    <definedName name="installto_citystatezip_5_1_1">NA()</definedName>
    <definedName name="installto_citystatezip_6">#REF!</definedName>
    <definedName name="installto_citystatezip_6_1">NA()</definedName>
    <definedName name="installto_citystatezip_6_1_1">NA()</definedName>
    <definedName name="installto_citystatezip_7">#REF!</definedName>
    <definedName name="installto_citystatezip_7_1">NA()</definedName>
    <definedName name="installto_citystatezip_8">NA()</definedName>
    <definedName name="installto_contact">#REF!</definedName>
    <definedName name="installto_contact_1">#REF!</definedName>
    <definedName name="installto_contact_1_1">NA()</definedName>
    <definedName name="installto_contact_1_1_1">NA()</definedName>
    <definedName name="installto_contact_1_8">NA()</definedName>
    <definedName name="installto_contact_2">NA()</definedName>
    <definedName name="installto_contact_2_1">NA()</definedName>
    <definedName name="installto_contact_3">#REF!</definedName>
    <definedName name="installto_contact_3_1">NA()</definedName>
    <definedName name="installto_contact_3_8">NA()</definedName>
    <definedName name="installto_contact_4">#REF!</definedName>
    <definedName name="installto_contact_4_1">NA()</definedName>
    <definedName name="installto_contact_4_1_1">NA()</definedName>
    <definedName name="installto_contact_4_8">NA()</definedName>
    <definedName name="installto_contact_5">#REF!</definedName>
    <definedName name="installto_contact_5_1">NA()</definedName>
    <definedName name="installto_contact_5_1_1">NA()</definedName>
    <definedName name="installto_contact_6">#REF!</definedName>
    <definedName name="installto_contact_6_1">NA()</definedName>
    <definedName name="installto_contact_6_1_1">NA()</definedName>
    <definedName name="installto_contact_7">#REF!</definedName>
    <definedName name="installto_contact_7_1">NA()</definedName>
    <definedName name="installto_contact_8">NA()</definedName>
    <definedName name="installto_phone">#REF!</definedName>
    <definedName name="installto_phone_1">#REF!</definedName>
    <definedName name="installto_phone_1_1">NA()</definedName>
    <definedName name="installto_phone_1_1_1">NA()</definedName>
    <definedName name="installto_phone_1_8">NA()</definedName>
    <definedName name="installto_phone_2">NA()</definedName>
    <definedName name="installto_phone_2_1">NA()</definedName>
    <definedName name="installto_phone_3">#REF!</definedName>
    <definedName name="installto_phone_3_1">NA()</definedName>
    <definedName name="installto_phone_3_8">NA()</definedName>
    <definedName name="installto_phone_4">#REF!</definedName>
    <definedName name="installto_phone_4_1">NA()</definedName>
    <definedName name="installto_phone_4_1_1">NA()</definedName>
    <definedName name="installto_phone_4_8">NA()</definedName>
    <definedName name="installto_phone_5">#REF!</definedName>
    <definedName name="installto_phone_5_1">NA()</definedName>
    <definedName name="installto_phone_5_1_1">NA()</definedName>
    <definedName name="installto_phone_6">#REF!</definedName>
    <definedName name="installto_phone_6_1">NA()</definedName>
    <definedName name="installto_phone_6_1_1">NA()</definedName>
    <definedName name="installto_phone_7">#REF!</definedName>
    <definedName name="installto_phone_7_1">NA()</definedName>
    <definedName name="installto_phone_8">NA()</definedName>
    <definedName name="InstBillingMethod">#REF!</definedName>
    <definedName name="instf">#REF!</definedName>
    <definedName name="int">#REF!</definedName>
    <definedName name="integrator">#REF!</definedName>
    <definedName name="Interest_Rate">#REF!</definedName>
    <definedName name="Inv">#REF!</definedName>
    <definedName name="investment">#REF!</definedName>
    <definedName name="io">#REF!</definedName>
    <definedName name="ioio">#N/A</definedName>
    <definedName name="ioioioo">#N/A</definedName>
    <definedName name="IOLIST">'[31]IO LIST'!$A$1:$O$134</definedName>
    <definedName name="ipu">#REF!</definedName>
    <definedName name="ipu___0">#REF!</definedName>
    <definedName name="ipu___13">#REF!</definedName>
    <definedName name="Is">#REF!</definedName>
    <definedName name="IT">#REF!</definedName>
    <definedName name="IT_PARK" hidden="1">#REF!</definedName>
    <definedName name="ITBP">#REF!</definedName>
    <definedName name="ItemNum">#N/A</definedName>
    <definedName name="ITT">#REF!</definedName>
    <definedName name="iv66666_1">NA()</definedName>
    <definedName name="iv66666_4">#REF!</definedName>
    <definedName name="iv66666_4_1">NA()</definedName>
    <definedName name="iv66666_5">#REF!</definedName>
    <definedName name="iv66666_5_1">NA()</definedName>
    <definedName name="iv66666_8">#REF!</definedName>
    <definedName name="iv66666_8_1">NA()</definedName>
    <definedName name="IWT">#REF!</definedName>
    <definedName name="j">#REF!</definedName>
    <definedName name="jack">#REF!</definedName>
    <definedName name="jai">#REF!</definedName>
    <definedName name="jal">#REF!</definedName>
    <definedName name="Jamuna_Sand">#REF!</definedName>
    <definedName name="Jcm">#REF!</definedName>
    <definedName name="jdksjdk" hidden="1">#REF!</definedName>
    <definedName name="JEJS">#REF!</definedName>
    <definedName name="JEJS___0">#REF!</definedName>
    <definedName name="JEJS___11">#REF!</definedName>
    <definedName name="JEJS___12">#REF!</definedName>
    <definedName name="JEJS___13">#REF!</definedName>
    <definedName name="JEJS___4">#REF!</definedName>
    <definedName name="jh">#REF!</definedName>
    <definedName name="JJA">#REF!</definedName>
    <definedName name="jjhghjghj">{#N/A,#N/A,TRUE,"Front";#N/A,#N/A,TRUE,"Simple Letter";#N/A,#N/A,TRUE,"Inside";#N/A,#N/A,TRUE,"Contents";#N/A,#N/A,TRUE,"Basis";#N/A,#N/A,TRUE,"Inclusions";#N/A,#N/A,TRUE,"Exclusions";#N/A,#N/A,TRUE,"Areas";#N/A,#N/A,TRUE,"Summary";#N/A,#N/A,TRUE,"Detail"}</definedName>
    <definedName name="JJIJJIJ">#REF!</definedName>
    <definedName name="JK" hidden="1">[12]analysis!#REF!</definedName>
    <definedName name="JKK" hidden="1">[12]analysis!#REF!</definedName>
    <definedName name="JKLLHWD2LKF">#REF!</definedName>
    <definedName name="job">#REF!</definedName>
    <definedName name="job.no" hidden="1">[8]Database!$C$6:$C$26</definedName>
    <definedName name="job___0">#REF!</definedName>
    <definedName name="job___11">#REF!</definedName>
    <definedName name="job___12">#REF!</definedName>
    <definedName name="JobID">#REF!</definedName>
    <definedName name="JobID_1">NA()</definedName>
    <definedName name="JobID_2">NA()</definedName>
    <definedName name="JobID_4">#N/A</definedName>
    <definedName name="JobName">#N/A</definedName>
    <definedName name="JobNo">#N/A</definedName>
    <definedName name="joint">#REF!</definedName>
    <definedName name="JWKLH2J">#REF!</definedName>
    <definedName name="JWM">{#N/A,#N/A,TRUE,"Front";#N/A,#N/A,TRUE,"Simple Letter";#N/A,#N/A,TRUE,"Inside";#N/A,#N/A,TRUE,"Contents";#N/A,#N/A,TRUE,"Basis";#N/A,#N/A,TRUE,"Inclusions";#N/A,#N/A,TRUE,"Exclusions";#N/A,#N/A,TRUE,"Areas";#N/A,#N/A,TRUE,"Summary";#N/A,#N/A,TRUE,"Detail"}</definedName>
    <definedName name="jyuy">#REF!</definedName>
    <definedName name="K">#REF!</definedName>
    <definedName name="K___0">#REF!</definedName>
    <definedName name="K___13">#REF!</definedName>
    <definedName name="ka">#REF!</definedName>
    <definedName name="Kabrai2">#REF!</definedName>
    <definedName name="Kac">[7]DATA!$F$52</definedName>
    <definedName name="Kail_II_nd_class_board">#REF!</definedName>
    <definedName name="Kail_II_nd_class_scantling">#REF!</definedName>
    <definedName name="KALYANPUR">#REF!</definedName>
    <definedName name="KARNA">#REF!</definedName>
    <definedName name="kas">#REF!</definedName>
    <definedName name="kasdfjhd" hidden="1">{"'Typical Costs Estimates'!$C$158:$H$161"}</definedName>
    <definedName name="kb">#REF!</definedName>
    <definedName name="kc">#REF!</definedName>
    <definedName name="Kerbcast">#REF!</definedName>
    <definedName name="Kerosene_Oil">#REF!</definedName>
    <definedName name="Kh">#REF!</definedName>
    <definedName name="Kh___0">#REF!</definedName>
    <definedName name="Kh___13">#REF!</definedName>
    <definedName name="kha">#REF!</definedName>
    <definedName name="khal">'[32]labour rates'!$C$4</definedName>
    <definedName name="khalasi">#REF!</definedName>
    <definedName name="khamkheda">#REF!</definedName>
    <definedName name="KHAN">#REF!</definedName>
    <definedName name="Kharanja">#REF!</definedName>
    <definedName name="khd">"$#REF!.$B$6"</definedName>
    <definedName name="khf">"$#REF!.$J$6"</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#REF!</definedName>
    <definedName name="KJ3HF2KJ">#REF!</definedName>
    <definedName name="KJDFSHKJWEHFKQ" hidden="1">#REF!</definedName>
    <definedName name="kjfhu">#REF!</definedName>
    <definedName name="kjjgjhjgi">{#N/A,#N/A,TRUE,"Front";#N/A,#N/A,TRUE,"Simple Letter";#N/A,#N/A,TRUE,"Inside";#N/A,#N/A,TRUE,"Contents";#N/A,#N/A,TRUE,"Basis";#N/A,#N/A,TRUE,"Inclusions";#N/A,#N/A,TRUE,"Exclusions";#N/A,#N/A,TRUE,"Areas";#N/A,#N/A,TRUE,"Summary";#N/A,#N/A,TRUE,"Detail"}</definedName>
    <definedName name="KKK">#REF!</definedName>
    <definedName name="kkkkkkk">#REF!</definedName>
    <definedName name="KL" hidden="1">[12]analysis!#REF!</definedName>
    <definedName name="klnio">#REF!</definedName>
    <definedName name="Km">#REF!</definedName>
    <definedName name="Km___0">#REF!</definedName>
    <definedName name="Km___13">#REF!</definedName>
    <definedName name="Km5thStone">#REF!</definedName>
    <definedName name="KO">#REF!</definedName>
    <definedName name="kolukhedi">#REF!</definedName>
    <definedName name="kp" hidden="1">{#N/A,#N/A,TRUE,"Front";#N/A,#N/A,TRUE,"Simple Letter";#N/A,#N/A,TRUE,"Inside";#N/A,#N/A,TRUE,"Contents";#N/A,#N/A,TRUE,"Basis";#N/A,#N/A,TRUE,"Inclusions";#N/A,#N/A,TRUE,"Exclusions";#N/A,#N/A,TRUE,"Areas";#N/A,#N/A,TRUE,"Summary";#N/A,#N/A,TRUE,"Detail"}</definedName>
    <definedName name="Kpc">[7]DATA!$F$51</definedName>
    <definedName name="Ks">#REF!</definedName>
    <definedName name="Ks___0">#REF!</definedName>
    <definedName name="Ks___13">#REF!</definedName>
    <definedName name="ksd">"$#REF!.$B$7"</definedName>
    <definedName name="ksf">"$#REF!.$J$7"</definedName>
    <definedName name="L">#REF!</definedName>
    <definedName name="L___0">#REF!</definedName>
    <definedName name="L___13">#REF!</definedName>
    <definedName name="lab">#REF!</definedName>
    <definedName name="lab_PMC">#REF!</definedName>
    <definedName name="LAB_WIRING">#REF!</definedName>
    <definedName name="lab1000mmNP3">#REF!</definedName>
    <definedName name="lab300mmNP3">#REF!</definedName>
    <definedName name="lab450mmNP3">#REF!</definedName>
    <definedName name="labbitmach">#REF!</definedName>
    <definedName name="labBkSol">#REF!</definedName>
    <definedName name="labcmtplaster">#REF!</definedName>
    <definedName name="labcmtpointing">#REF!</definedName>
    <definedName name="labmach">#REF!</definedName>
    <definedName name="labmc1_3_6">#REF!</definedName>
    <definedName name="Labour_Service_Levels">[25]Labels!$F$28:$F$30</definedName>
    <definedName name="labour1_1.5_3">#REF!</definedName>
    <definedName name="Ladies_Change">#REF!</definedName>
    <definedName name="LAMP">#REF!</definedName>
    <definedName name="LAMP___0">#REF!</definedName>
    <definedName name="LAMP___13">#REF!</definedName>
    <definedName name="Land">#REF!</definedName>
    <definedName name="Land_adv">#REF!</definedName>
    <definedName name="landacqcost">#N/A</definedName>
    <definedName name="Last_Row">#N/A</definedName>
    <definedName name="Lc">#REF!</definedName>
    <definedName name="Lc___0">#REF!</definedName>
    <definedName name="Lc___13">#REF!</definedName>
    <definedName name="LCAR100">#REF!</definedName>
    <definedName name="le">#REF!</definedName>
    <definedName name="Lead">#REF!</definedName>
    <definedName name="lef">#REF!</definedName>
    <definedName name="lef_1">NA()</definedName>
    <definedName name="lef_2">NA()</definedName>
    <definedName name="lef_4">#N/A</definedName>
    <definedName name="lel">#REF!</definedName>
    <definedName name="lel_1">NA()</definedName>
    <definedName name="lel_2">NA()</definedName>
    <definedName name="lel_4">#N/A</definedName>
    <definedName name="len">#REF!</definedName>
    <definedName name="len2hp">#REF!</definedName>
    <definedName name="lenhp">#REF!</definedName>
    <definedName name="lenhp2">#REF!</definedName>
    <definedName name="lenhp3">#REF!</definedName>
    <definedName name="lenRet">#REF!</definedName>
    <definedName name="LEVELING_FROM_0_32.050_Km_OF_STIL_WEL_ROAD">#REF!</definedName>
    <definedName name="levelling">#REF!</definedName>
    <definedName name="Levelling_1">#REF!</definedName>
    <definedName name="LGK">[7]DATA!$F$46</definedName>
    <definedName name="light">#REF!</definedName>
    <definedName name="limcount" hidden="1">1</definedName>
    <definedName name="lime">#REF!</definedName>
    <definedName name="Lin">#REF!</definedName>
    <definedName name="Lin_1">#REF!</definedName>
    <definedName name="Lin_10">#REF!</definedName>
    <definedName name="Lin_11">#REF!</definedName>
    <definedName name="Lin_13">#REF!</definedName>
    <definedName name="Lin_14">#REF!</definedName>
    <definedName name="Lin_15">#REF!</definedName>
    <definedName name="Lin_16">#REF!</definedName>
    <definedName name="Lin_17">#REF!</definedName>
    <definedName name="Lin_18">#REF!</definedName>
    <definedName name="Lin_19">#REF!</definedName>
    <definedName name="Lin_20">#REF!</definedName>
    <definedName name="Lin_23">#REF!</definedName>
    <definedName name="Lin_3">#REF!</definedName>
    <definedName name="Lin_4">#REF!</definedName>
    <definedName name="Lin_8">#REF!</definedName>
    <definedName name="Lin_9">#REF!</definedName>
    <definedName name="LINING">#REF!</definedName>
    <definedName name="lkdsajf" hidden="1">#REF!</definedName>
    <definedName name="LL">#REF!</definedName>
    <definedName name="llll">(#REF!,#REF!)</definedName>
    <definedName name="lmfa">#REF!</definedName>
    <definedName name="lmfr">#REF!</definedName>
    <definedName name="lns">'[33]CIVIL WORK'!$G$232</definedName>
    <definedName name="lo">#REF!</definedName>
    <definedName name="load">#REF!</definedName>
    <definedName name="loader">#REF!</definedName>
    <definedName name="Loan_Amount">#REF!</definedName>
    <definedName name="Loan_Start">#REF!</definedName>
    <definedName name="Loan_Years">#REF!</definedName>
    <definedName name="loans_adv">#REF!</definedName>
    <definedName name="local">#REF!</definedName>
    <definedName name="LOCAL_STAFF">#REF!</definedName>
    <definedName name="location">#REF!</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dr">#REF!</definedName>
    <definedName name="loi" hidden="1">{#N/A,#N/A,TRUE,"Front";#N/A,#N/A,TRUE,"Simple Letter";#N/A,#N/A,TRUE,"Inside";#N/A,#N/A,TRUE,"Contents";#N/A,#N/A,TRUE,"Basis";#N/A,#N/A,TRUE,"Inclusions";#N/A,#N/A,TRUE,"Exclusions";#N/A,#N/A,TRUE,"Areas";#N/A,#N/A,TRUE,"Summary";#N/A,#N/A,TRUE,"Detail"}</definedName>
    <definedName name="lopiu">#REF!</definedName>
    <definedName name="LPL">#REF!</definedName>
    <definedName name="LQK">[7]DATA!$F$45</definedName>
    <definedName name="Lr">#REF!</definedName>
    <definedName name="Lr___0">#REF!</definedName>
    <definedName name="Lr___13">#REF!</definedName>
    <definedName name="LSD_4100">#REF!</definedName>
    <definedName name="LSNO1">#REF!</definedName>
    <definedName name="LSNO10">#REF!</definedName>
    <definedName name="LSNO100">#REF!</definedName>
    <definedName name="LSNO101">#REF!</definedName>
    <definedName name="LSNO102">#REF!</definedName>
    <definedName name="LSNO103">#REF!</definedName>
    <definedName name="LSNO104">#REF!</definedName>
    <definedName name="LSNO105">#REF!</definedName>
    <definedName name="LSNO106">#REF!</definedName>
    <definedName name="LSNO107">#REF!</definedName>
    <definedName name="LSNO108">#REF!</definedName>
    <definedName name="LSNO109">#REF!</definedName>
    <definedName name="LSNO11">#REF!</definedName>
    <definedName name="LSNO110">#REF!</definedName>
    <definedName name="LSNO111">#REF!</definedName>
    <definedName name="LSNO112">#REF!</definedName>
    <definedName name="LSNO113">#REF!</definedName>
    <definedName name="LSNO114">#REF!</definedName>
    <definedName name="LSNO115">#REF!</definedName>
    <definedName name="LSNO116">#REF!</definedName>
    <definedName name="LSNO117">#REF!</definedName>
    <definedName name="LSNO118">#REF!</definedName>
    <definedName name="LSNO119">#REF!</definedName>
    <definedName name="LSNO12">#REF!</definedName>
    <definedName name="LSNO120">#REF!</definedName>
    <definedName name="LSNO121">#REF!</definedName>
    <definedName name="LSNO122">#REF!</definedName>
    <definedName name="LSNO123">#REF!</definedName>
    <definedName name="LSNO124">#REF!</definedName>
    <definedName name="LSNO125">#REF!</definedName>
    <definedName name="LSNO126">#REF!</definedName>
    <definedName name="LSNO127">#REF!</definedName>
    <definedName name="LSNO128">#REF!</definedName>
    <definedName name="LSNO129">#REF!</definedName>
    <definedName name="LSNO13">#REF!</definedName>
    <definedName name="LSNO130">#REF!</definedName>
    <definedName name="LSNO131">#REF!</definedName>
    <definedName name="LSNO132">#REF!</definedName>
    <definedName name="LSNO133">#REF!</definedName>
    <definedName name="LSNO134">#REF!</definedName>
    <definedName name="LSNO135">#REF!</definedName>
    <definedName name="LSNO136">#REF!</definedName>
    <definedName name="LSNO137">#REF!</definedName>
    <definedName name="LSNO138">#REF!</definedName>
    <definedName name="LSNO139">#REF!</definedName>
    <definedName name="LSNO14">#REF!</definedName>
    <definedName name="LSNO140">#REF!</definedName>
    <definedName name="LSNO141">#REF!</definedName>
    <definedName name="LSNO142">#REF!</definedName>
    <definedName name="LSNO143">#REF!</definedName>
    <definedName name="LSNO144">#REF!</definedName>
    <definedName name="LSNO145">#REF!</definedName>
    <definedName name="LSNO146">#REF!</definedName>
    <definedName name="LSNO147">#REF!</definedName>
    <definedName name="LSNO148">#REF!</definedName>
    <definedName name="LSNO149">#REF!</definedName>
    <definedName name="LSNO15">#REF!</definedName>
    <definedName name="LSNO150">#REF!</definedName>
    <definedName name="LSNO151">#REF!</definedName>
    <definedName name="LSNO152">#REF!</definedName>
    <definedName name="LSNO153">#REF!</definedName>
    <definedName name="LSNO154">#REF!</definedName>
    <definedName name="LSNO155">#REF!</definedName>
    <definedName name="LSNO156">#REF!</definedName>
    <definedName name="LSNO157">#REF!</definedName>
    <definedName name="LSNO158">#REF!</definedName>
    <definedName name="LSNO159">#REF!</definedName>
    <definedName name="LSNO16">#REF!</definedName>
    <definedName name="LSNO160">#REF!</definedName>
    <definedName name="LSNO161">#REF!</definedName>
    <definedName name="LSNO162">#REF!</definedName>
    <definedName name="LSNO163">#REF!</definedName>
    <definedName name="LSNO164">#REF!</definedName>
    <definedName name="LSNO165">#REF!</definedName>
    <definedName name="LSNO166">#REF!</definedName>
    <definedName name="LSNO167">#REF!</definedName>
    <definedName name="LSNO168">#REF!</definedName>
    <definedName name="LSNO169">#REF!</definedName>
    <definedName name="LSNO17">#REF!</definedName>
    <definedName name="LSNO170">#REF!</definedName>
    <definedName name="LSNO171">#REF!</definedName>
    <definedName name="LSNO172">#REF!</definedName>
    <definedName name="LSNO173">#REF!</definedName>
    <definedName name="LSNO174">#REF!</definedName>
    <definedName name="LSNO175">#REF!</definedName>
    <definedName name="LSNO176">#REF!</definedName>
    <definedName name="LSNO177">#REF!</definedName>
    <definedName name="LSNO178">#REF!</definedName>
    <definedName name="LSNO179">#REF!</definedName>
    <definedName name="LSNO18">#REF!</definedName>
    <definedName name="LSNO180">#REF!</definedName>
    <definedName name="LSNO181">#REF!</definedName>
    <definedName name="LSNO182">#REF!</definedName>
    <definedName name="LSNO183">#REF!</definedName>
    <definedName name="LSNO184">#REF!</definedName>
    <definedName name="LSNO185">#REF!</definedName>
    <definedName name="LSNO186">#REF!</definedName>
    <definedName name="LSNO187">#REF!</definedName>
    <definedName name="LSNO188">#REF!</definedName>
    <definedName name="LSNO189">#REF!</definedName>
    <definedName name="LSNO19">#REF!</definedName>
    <definedName name="LSNO190">#REF!</definedName>
    <definedName name="LSNO191">#REF!</definedName>
    <definedName name="LSNO192">#REF!</definedName>
    <definedName name="LSNO193">#REF!</definedName>
    <definedName name="LSNO194">#REF!</definedName>
    <definedName name="LSNO195">#REF!</definedName>
    <definedName name="LSNO196">#REF!</definedName>
    <definedName name="LSNO197">#REF!</definedName>
    <definedName name="LSNO198">#REF!</definedName>
    <definedName name="LSNO199">#REF!</definedName>
    <definedName name="LSNO2">#REF!</definedName>
    <definedName name="LSNO20">#REF!</definedName>
    <definedName name="LSNO200">#REF!</definedName>
    <definedName name="LSNO201">#REF!</definedName>
    <definedName name="LSNO202">#REF!</definedName>
    <definedName name="LSNO203">#REF!</definedName>
    <definedName name="LSNO204">#REF!</definedName>
    <definedName name="LSNO205">#REF!</definedName>
    <definedName name="LSNO206">#REF!</definedName>
    <definedName name="LSNO207">#REF!</definedName>
    <definedName name="LSNO208">#REF!</definedName>
    <definedName name="LSNO209">#REF!</definedName>
    <definedName name="LSNO21">#REF!</definedName>
    <definedName name="LSNO210">#REF!</definedName>
    <definedName name="LSNO211">#REF!</definedName>
    <definedName name="LSNO212">#REF!</definedName>
    <definedName name="LSNO213">#REF!</definedName>
    <definedName name="LSNO214">#REF!</definedName>
    <definedName name="LSNO215">#REF!</definedName>
    <definedName name="LSNO216">#REF!</definedName>
    <definedName name="LSNO217">#REF!</definedName>
    <definedName name="LSNO218">#REF!</definedName>
    <definedName name="LSNO219">#REF!</definedName>
    <definedName name="LSNO22">#REF!</definedName>
    <definedName name="LSNO220">#REF!</definedName>
    <definedName name="LSNO221">#REF!</definedName>
    <definedName name="LSNO222">#REF!</definedName>
    <definedName name="LSNO223">#REF!</definedName>
    <definedName name="LSNO224">#REF!</definedName>
    <definedName name="LSNO225">#REF!</definedName>
    <definedName name="LSNO226">#REF!</definedName>
    <definedName name="LSNO227">#REF!</definedName>
    <definedName name="LSNO228">#REF!</definedName>
    <definedName name="LSNO229">#REF!</definedName>
    <definedName name="LSNO23">#REF!</definedName>
    <definedName name="LSNO230">#REF!</definedName>
    <definedName name="LSNO231">#REF!</definedName>
    <definedName name="LSNO232">#REF!</definedName>
    <definedName name="LSNO233">#REF!</definedName>
    <definedName name="LSNO234">#REF!</definedName>
    <definedName name="LSNO235">#REF!</definedName>
    <definedName name="LSNO236">#REF!</definedName>
    <definedName name="LSNO237">#REF!</definedName>
    <definedName name="LSNO238">#REF!</definedName>
    <definedName name="LSNO239">#REF!</definedName>
    <definedName name="LSNO24">#REF!</definedName>
    <definedName name="LSNO240">#REF!</definedName>
    <definedName name="LSNO241">#REF!</definedName>
    <definedName name="LSNO242">#REF!</definedName>
    <definedName name="LSNO243">#REF!</definedName>
    <definedName name="LSNO244">#REF!</definedName>
    <definedName name="LSNO245">#REF!</definedName>
    <definedName name="LSNO246">#REF!</definedName>
    <definedName name="LSNO247">#REF!</definedName>
    <definedName name="LSNO248">#REF!</definedName>
    <definedName name="LSNO249">#REF!</definedName>
    <definedName name="LSNO25">#REF!</definedName>
    <definedName name="LSNO250">#REF!</definedName>
    <definedName name="LSNO251">#REF!</definedName>
    <definedName name="LSNO26">#REF!</definedName>
    <definedName name="LSNO27">#REF!</definedName>
    <definedName name="LSNO28">#REF!</definedName>
    <definedName name="LSNO29">#REF!</definedName>
    <definedName name="LSNO3">#REF!</definedName>
    <definedName name="LSNO30">#REF!</definedName>
    <definedName name="LSNO31">#REF!</definedName>
    <definedName name="LSNO32">#REF!</definedName>
    <definedName name="LSNO33">#REF!</definedName>
    <definedName name="LSNO34">#REF!</definedName>
    <definedName name="LSNO35">#REF!</definedName>
    <definedName name="LSNO36">#REF!</definedName>
    <definedName name="LSNO37">#REF!</definedName>
    <definedName name="LSNO38">#REF!</definedName>
    <definedName name="LSNO39">#REF!</definedName>
    <definedName name="LSNO4">#REF!</definedName>
    <definedName name="LSNO40">#REF!</definedName>
    <definedName name="LSNO41">#REF!</definedName>
    <definedName name="LSNO42">#REF!</definedName>
    <definedName name="LSNO43">#REF!</definedName>
    <definedName name="LSNO44">#REF!</definedName>
    <definedName name="LSNO45">#REF!</definedName>
    <definedName name="LSNO46">#REF!</definedName>
    <definedName name="LSNO47">#REF!</definedName>
    <definedName name="LSNO48">#REF!</definedName>
    <definedName name="LSNO49">#REF!</definedName>
    <definedName name="LSNO5">#REF!</definedName>
    <definedName name="LSNO50">#REF!</definedName>
    <definedName name="LSNO51">#REF!</definedName>
    <definedName name="LSNO52">#REF!</definedName>
    <definedName name="LSNO53">#REF!</definedName>
    <definedName name="LSNO54">#REF!</definedName>
    <definedName name="LSNO55">#REF!</definedName>
    <definedName name="LSNO56">#REF!</definedName>
    <definedName name="LSNO57">#REF!</definedName>
    <definedName name="LSNO58">#REF!</definedName>
    <definedName name="LSNO59">#REF!</definedName>
    <definedName name="LSNO6">#REF!</definedName>
    <definedName name="LSNO60">#REF!</definedName>
    <definedName name="LSNO61">#REF!</definedName>
    <definedName name="LSNO62">#REF!</definedName>
    <definedName name="LSNO63">#REF!</definedName>
    <definedName name="LSNO64">#REF!</definedName>
    <definedName name="LSNO65">#REF!</definedName>
    <definedName name="LSNO66">#REF!</definedName>
    <definedName name="LSNO67">#REF!</definedName>
    <definedName name="LSNO68">#REF!</definedName>
    <definedName name="LSNO69">#REF!</definedName>
    <definedName name="LSNO7">#REF!</definedName>
    <definedName name="LSNO70">#REF!</definedName>
    <definedName name="LSNO71">#REF!</definedName>
    <definedName name="LSNO72">#REF!</definedName>
    <definedName name="LSNO73">#REF!</definedName>
    <definedName name="LSNO74">#REF!</definedName>
    <definedName name="LSNO75">#REF!</definedName>
    <definedName name="LSNO76">#REF!</definedName>
    <definedName name="LSNO77">#REF!</definedName>
    <definedName name="LSNO78">#REF!</definedName>
    <definedName name="LSNO79">#REF!</definedName>
    <definedName name="LSNO8">#REF!</definedName>
    <definedName name="LSNO80">#REF!</definedName>
    <definedName name="LSNO81">#REF!</definedName>
    <definedName name="LSNO82">#REF!</definedName>
    <definedName name="LSNO83">#REF!</definedName>
    <definedName name="LSNO84">#REF!</definedName>
    <definedName name="LSNO85">#REF!</definedName>
    <definedName name="LSNO86">#REF!</definedName>
    <definedName name="LSNO87">#REF!</definedName>
    <definedName name="LSNO88">#REF!</definedName>
    <definedName name="LSNO89">#REF!</definedName>
    <definedName name="LSNO9">#REF!</definedName>
    <definedName name="LSNO90">#REF!</definedName>
    <definedName name="LSNO91">#REF!</definedName>
    <definedName name="LSNO92">#REF!</definedName>
    <definedName name="LSNO93">#REF!</definedName>
    <definedName name="LSNO94">#REF!</definedName>
    <definedName name="LSNO95">#REF!</definedName>
    <definedName name="LSNO96">#REF!</definedName>
    <definedName name="LSNO97">#REF!</definedName>
    <definedName name="LSNO98">#REF!</definedName>
    <definedName name="LSNO99">#REF!</definedName>
    <definedName name="lstf">#REF!</definedName>
    <definedName name="ltf">"$#REF!.$B$10"</definedName>
    <definedName name="LUCKNOW">#REF!</definedName>
    <definedName name="LUMEN">#REF!</definedName>
    <definedName name="LUMEN___0">#REF!</definedName>
    <definedName name="LUMEN___13">#REF!</definedName>
    <definedName name="lumnm" hidden="1">{#N/A,#N/A,TRUE,"Front";#N/A,#N/A,TRUE,"Simple Letter";#N/A,#N/A,TRUE,"Inside";#N/A,#N/A,TRUE,"Contents";#N/A,#N/A,TRUE,"Basis";#N/A,#N/A,TRUE,"Inclusions";#N/A,#N/A,TRUE,"Exclusions";#N/A,#N/A,TRUE,"Areas";#N/A,#N/A,TRUE,"Summary";#N/A,#N/A,TRUE,"Detail"}</definedName>
    <definedName name="Lump_Sum_Discount">#REF!</definedName>
    <definedName name="LUX">#REF!</definedName>
    <definedName name="LUX___0">#REF!</definedName>
    <definedName name="LUX___13">#REF!</definedName>
    <definedName name="lwng1">#REF!</definedName>
    <definedName name="lwng2">#REF!</definedName>
    <definedName name="lwng3">#REF!</definedName>
    <definedName name="lwng4">#REF!</definedName>
    <definedName name="lwng5">#REF!</definedName>
    <definedName name="lwng6">#REF!</definedName>
    <definedName name="lwng7">#REF!</definedName>
    <definedName name="Lx">#REF!</definedName>
    <definedName name="Lx___0">#REF!</definedName>
    <definedName name="Lx___13">#REF!</definedName>
    <definedName name="LYD_AED">#REF!</definedName>
    <definedName name="m">#REF!</definedName>
    <definedName name="M.R.1">'[34]M.R.1'!$E$34</definedName>
    <definedName name="M.R.1_1">'[35]M.R.1'!$E$34</definedName>
    <definedName name="M.R.10">'[36]M.R.1'!$E$269</definedName>
    <definedName name="M.R.10_1">'[35]M.R.1'!$E$269</definedName>
    <definedName name="M.R.11">'[36]M.R.1'!$E$307</definedName>
    <definedName name="M.R.11_1">'[35]M.R.1'!$E$307</definedName>
    <definedName name="M.R.12">'[36]M.R.1'!$E$330</definedName>
    <definedName name="M.R.12_1">'[35]M.R.1'!$E$330</definedName>
    <definedName name="M.R.13">'[36]M.R.1'!$E$355</definedName>
    <definedName name="M.R.13_1">'[35]M.R.1'!$E$355</definedName>
    <definedName name="M.R.14">'[36]M.R.1'!$E$381</definedName>
    <definedName name="M.R.14_1">'[35]M.R.1'!$E$381</definedName>
    <definedName name="M.R.15">'[36]M.R.1'!$E$401</definedName>
    <definedName name="M.R.15_1">'[35]M.R.1'!$E$401</definedName>
    <definedName name="M.R.16">'[36]M.R.1'!$E$424</definedName>
    <definedName name="M.R.16_1">'[35]M.R.1'!$E$424</definedName>
    <definedName name="M.R.16B">'[36]M.R.1'!$E$445</definedName>
    <definedName name="M.R.16B_1">'[35]M.R.1'!$E$445</definedName>
    <definedName name="M.R.16C">'[36]M.R.1'!$E$449</definedName>
    <definedName name="M.R.16C_1">'[35]M.R.1'!$E$449</definedName>
    <definedName name="M.R.17">'[36]M.R.1'!$E$474</definedName>
    <definedName name="M.R.17_1">'[35]M.R.1'!$E$474</definedName>
    <definedName name="M.R.18">'[36]M.R.1'!$E$504</definedName>
    <definedName name="M.R.18_1">'[35]M.R.1'!$E$504</definedName>
    <definedName name="M.R.19">'[36]M.R.1'!$E$530</definedName>
    <definedName name="M.R.19_1">'[35]M.R.1'!$E$530</definedName>
    <definedName name="M.R.2">'[36]M.R.1'!$E$64</definedName>
    <definedName name="M.R.2_1">'[35]M.R.1'!$E$64</definedName>
    <definedName name="M.R.21">'[36]M.R.1'!$E$556</definedName>
    <definedName name="M.R.21_1">'[35]M.R.1'!$E$556</definedName>
    <definedName name="M.R.22">'[36]M.R.1'!$E$584</definedName>
    <definedName name="M.R.22_1">'[35]M.R.1'!$E$584</definedName>
    <definedName name="M.R.23">'[36]M.R.1'!$E$603</definedName>
    <definedName name="M.R.23_1">'[35]M.R.1'!$E$603</definedName>
    <definedName name="m.r.25">'[36]M.R.1'!$E$620</definedName>
    <definedName name="m.r.25_1">'[35]M.R.1'!$E$620</definedName>
    <definedName name="m.r.26">'[36]M.R.1'!$E$712</definedName>
    <definedName name="m.r.26_1">'[35]M.R.1'!$E$712</definedName>
    <definedName name="M.R.3">'[36]M.R.1'!$E$93</definedName>
    <definedName name="M.R.3_1">'[35]M.R.1'!$E$93</definedName>
    <definedName name="M.R.4">'[36]M.R.1'!$E$110</definedName>
    <definedName name="M.R.4_1">'[35]M.R.1'!$E$110</definedName>
    <definedName name="M.R.5">'[36]M.R.1'!$E$131</definedName>
    <definedName name="M.R.5_1">'[35]M.R.1'!$E$131</definedName>
    <definedName name="M.R.6">'[36]M.R.1'!$E$160</definedName>
    <definedName name="M.R.6_1">'[35]M.R.1'!$E$160</definedName>
    <definedName name="M.R.7A">'[36]M.R.1'!$E$180</definedName>
    <definedName name="M.R.7A_1">'[35]M.R.1'!$E$180</definedName>
    <definedName name="M.R.7B">'[36]M.R.1'!$E$197</definedName>
    <definedName name="M.R.7B_1">'[35]M.R.1'!$E$197</definedName>
    <definedName name="M.R.8">'[36]M.R.1'!$E$218</definedName>
    <definedName name="M.R.8_1">'[35]M.R.1'!$E$218</definedName>
    <definedName name="M.R.9">'[36]M.R.1'!$E$240</definedName>
    <definedName name="M.R.9_1">'[35]M.R.1'!$E$240</definedName>
    <definedName name="m___0">#REF!</definedName>
    <definedName name="m___13">#REF!</definedName>
    <definedName name="m_13">#REF!</definedName>
    <definedName name="m_14">#REF!</definedName>
    <definedName name="m_15">#REF!</definedName>
    <definedName name="m_16">#REF!</definedName>
    <definedName name="m_17">#REF!</definedName>
    <definedName name="m_18">#REF!</definedName>
    <definedName name="m_19">#REF!</definedName>
    <definedName name="m_20">#REF!</definedName>
    <definedName name="m_23">#REF!</definedName>
    <definedName name="M_25_box_Culvert">#REF!</definedName>
    <definedName name="m_3">#REF!</definedName>
    <definedName name="M_EpoxyPrimer">#REF!</definedName>
    <definedName name="M_GalvanisedAngleSection_100_100mm_12mm">#REF!</definedName>
    <definedName name="M_LimePutty">#REF!</definedName>
    <definedName name="M_RCCPipeNP3_600mm">#REF!</definedName>
    <definedName name="M_RCPipeNP3_600mm">#REF!</definedName>
    <definedName name="M_StoneChips_132_56mm">#REF!</definedName>
    <definedName name="M_StoneScreening_TypeA_132mm_Grade2">#REF!</definedName>
    <definedName name="M1_">#N/A</definedName>
    <definedName name="m15levelling">#REF!</definedName>
    <definedName name="M2_">#REF!</definedName>
    <definedName name="m20deckpcc">#REF!</definedName>
    <definedName name="m35pile">#REF!</definedName>
    <definedName name="ma_12">#REF!</definedName>
    <definedName name="ma_13">#REF!</definedName>
    <definedName name="ma_14">#REF!</definedName>
    <definedName name="ma_15">#REF!</definedName>
    <definedName name="ma_16">#REF!</definedName>
    <definedName name="ma_17">#REF!</definedName>
    <definedName name="ma_19">#REF!</definedName>
    <definedName name="ma_20">#REF!</definedName>
    <definedName name="ma_21">#REF!</definedName>
    <definedName name="ma_23">#REF!</definedName>
    <definedName name="ma_3">#REF!</definedName>
    <definedName name="ma1_13">#REF!</definedName>
    <definedName name="ma1_14">#REF!</definedName>
    <definedName name="ma1_15">#REF!</definedName>
    <definedName name="ma1_16">#REF!</definedName>
    <definedName name="ma1_17">#REF!</definedName>
    <definedName name="ma1_19">#REF!</definedName>
    <definedName name="ma1_20">#REF!</definedName>
    <definedName name="ma1_21">#REF!</definedName>
    <definedName name="ma1_23">#REF!</definedName>
    <definedName name="ma1_3">#REF!</definedName>
    <definedName name="ma2_13">#REF!</definedName>
    <definedName name="ma2_14">#REF!</definedName>
    <definedName name="ma2_15">#REF!</definedName>
    <definedName name="ma2_16">#REF!</definedName>
    <definedName name="ma2_17">#REF!</definedName>
    <definedName name="ma2_19">#REF!</definedName>
    <definedName name="ma2_20">#REF!</definedName>
    <definedName name="ma2_21">#REF!</definedName>
    <definedName name="ma2_23">#REF!</definedName>
    <definedName name="ma2_3">#REF!</definedName>
    <definedName name="MACHINE_EQUIPMENT">#REF!</definedName>
    <definedName name="Magstripe300">[37]CCTV_EST1!#REF!</definedName>
    <definedName name="main">#REF!</definedName>
    <definedName name="mainboard">#REF!</definedName>
    <definedName name="maint_end">#REF!</definedName>
    <definedName name="maint_end_1">#REF!</definedName>
    <definedName name="maint_end_1_1">NA()</definedName>
    <definedName name="maint_end_1_1_1">NA()</definedName>
    <definedName name="maint_end_1_8">NA()</definedName>
    <definedName name="maint_end_2">NA()</definedName>
    <definedName name="maint_end_2_1">NA()</definedName>
    <definedName name="maint_end_3">#REF!</definedName>
    <definedName name="maint_end_3_1">NA()</definedName>
    <definedName name="maint_end_3_8">NA()</definedName>
    <definedName name="maint_end_4">#REF!</definedName>
    <definedName name="maint_end_4_1">NA()</definedName>
    <definedName name="maint_end_4_1_1">NA()</definedName>
    <definedName name="maint_end_4_8">NA()</definedName>
    <definedName name="maint_end_5">#REF!</definedName>
    <definedName name="maint_end_5_1">NA()</definedName>
    <definedName name="maint_end_5_1_1">NA()</definedName>
    <definedName name="maint_end_6">#REF!</definedName>
    <definedName name="maint_end_6_1">NA()</definedName>
    <definedName name="maint_end_6_1_1">NA()</definedName>
    <definedName name="maint_end_7">#REF!</definedName>
    <definedName name="maint_end_7_1">NA()</definedName>
    <definedName name="maint_end_8">NA()</definedName>
    <definedName name="maint_start">#REF!</definedName>
    <definedName name="maint_start_1">#REF!</definedName>
    <definedName name="maint_start_1_1">NA()</definedName>
    <definedName name="maint_start_1_1_1">NA()</definedName>
    <definedName name="maint_start_1_8">NA()</definedName>
    <definedName name="maint_start_2">NA()</definedName>
    <definedName name="maint_start_2_1">NA()</definedName>
    <definedName name="maint_start_3">#REF!</definedName>
    <definedName name="maint_start_3_1">NA()</definedName>
    <definedName name="maint_start_3_8">NA()</definedName>
    <definedName name="maint_start_4">#REF!</definedName>
    <definedName name="maint_start_4_1">NA()</definedName>
    <definedName name="maint_start_4_1_1">NA()</definedName>
    <definedName name="maint_start_4_8">NA()</definedName>
    <definedName name="maint_start_5">#REF!</definedName>
    <definedName name="maint_start_5_1">NA()</definedName>
    <definedName name="maint_start_5_1_1">NA()</definedName>
    <definedName name="maint_start_6">#REF!</definedName>
    <definedName name="maint_start_6_1">NA()</definedName>
    <definedName name="maint_start_6_1_1">NA()</definedName>
    <definedName name="maint_start_7">#REF!</definedName>
    <definedName name="maint_start_7_1">NA()</definedName>
    <definedName name="maint_start_8">NA()</definedName>
    <definedName name="maint1">#REF!</definedName>
    <definedName name="maint2">#REF!</definedName>
    <definedName name="maint3">#REF!</definedName>
    <definedName name="maint4">#REF!</definedName>
    <definedName name="maint5">#REF!</definedName>
    <definedName name="man">#REF!</definedName>
    <definedName name="man___0">#REF!</definedName>
    <definedName name="man___11">#REF!</definedName>
    <definedName name="man___12">#REF!</definedName>
    <definedName name="man_power_sum">#REF!</definedName>
    <definedName name="manday1">#REF!</definedName>
    <definedName name="manday1___0">#REF!</definedName>
    <definedName name="manday1___11">#REF!</definedName>
    <definedName name="manday1___12">#REF!</definedName>
    <definedName name="manpower_details">#REF!</definedName>
    <definedName name="manure">#REF!</definedName>
    <definedName name="MAPNET_II">#N/A</definedName>
    <definedName name="mar">#REF!</definedName>
    <definedName name="Marble_Dust">#REF!</definedName>
    <definedName name="MarketType">#REF!</definedName>
    <definedName name="MarketType_Text">#REF!</definedName>
    <definedName name="markingmachine">#REF!</definedName>
    <definedName name="Mas">#REF!</definedName>
    <definedName name="Mas_1">#REF!</definedName>
    <definedName name="Mas_10">#REF!</definedName>
    <definedName name="Mas_11">#REF!</definedName>
    <definedName name="Mas_13">#REF!</definedName>
    <definedName name="Mas_14">#REF!</definedName>
    <definedName name="Mas_15">#REF!</definedName>
    <definedName name="Mas_16">#REF!</definedName>
    <definedName name="Mas_17">#REF!</definedName>
    <definedName name="Mas_18">#REF!</definedName>
    <definedName name="Mas_19">#REF!</definedName>
    <definedName name="Mas_20">#REF!</definedName>
    <definedName name="Mas_23">#REF!</definedName>
    <definedName name="mas_3">#REF!</definedName>
    <definedName name="Mas_4">#REF!</definedName>
    <definedName name="Mas_8">#REF!</definedName>
    <definedName name="Mas_9">#REF!</definedName>
    <definedName name="Maso">#REF!</definedName>
    <definedName name="mason">#REF!</definedName>
    <definedName name="Mason_2nd_class">#REF!</definedName>
    <definedName name="masonhelper">#REF!</definedName>
    <definedName name="masonIInd">#REF!</definedName>
    <definedName name="MasonIst">#REF!</definedName>
    <definedName name="masson1">#REF!</definedName>
    <definedName name="masson2">#REF!</definedName>
    <definedName name="mastcooker">#REF!</definedName>
    <definedName name="mat">#REF!</definedName>
    <definedName name="mat_1">#REF!</definedName>
    <definedName name="mat_10">#REF!</definedName>
    <definedName name="mat_11">#REF!</definedName>
    <definedName name="mat_13">#REF!</definedName>
    <definedName name="mat_14">#REF!</definedName>
    <definedName name="mat_15">#REF!</definedName>
    <definedName name="mat_16">#REF!</definedName>
    <definedName name="mat_17">#REF!</definedName>
    <definedName name="mat_18">#REF!</definedName>
    <definedName name="mat_19">#REF!</definedName>
    <definedName name="mat_20">#REF!</definedName>
    <definedName name="mat_23">#REF!</definedName>
    <definedName name="mat_3">#REF!</definedName>
    <definedName name="mat_4">#REF!</definedName>
    <definedName name="mat_8">#REF!</definedName>
    <definedName name="mat_9">#REF!</definedName>
    <definedName name="Mate">#REF!</definedName>
    <definedName name="MATER" hidden="1">#REF!</definedName>
    <definedName name="MATL_A02B">#N/A</definedName>
    <definedName name="MAY03PH2">#REF!</definedName>
    <definedName name="Maz">#REF!</definedName>
    <definedName name="Maz_1">#REF!</definedName>
    <definedName name="Maz_10">#REF!</definedName>
    <definedName name="Maz_11">#REF!</definedName>
    <definedName name="Maz_13">#REF!</definedName>
    <definedName name="Maz_14">#REF!</definedName>
    <definedName name="Maz_15">#REF!</definedName>
    <definedName name="Maz_16">#REF!</definedName>
    <definedName name="Maz_17">#REF!</definedName>
    <definedName name="Maz_18">#REF!</definedName>
    <definedName name="Maz_19">#REF!</definedName>
    <definedName name="Maz_2">#REF!</definedName>
    <definedName name="Maz_20">#REF!</definedName>
    <definedName name="Maz_23">#REF!</definedName>
    <definedName name="maz_3">#REF!</definedName>
    <definedName name="Maz_4">#REF!</definedName>
    <definedName name="Maz_8">#REF!</definedName>
    <definedName name="Maz_9">#REF!</definedName>
    <definedName name="Mazdoor">#REF!</definedName>
    <definedName name="Mazdoor__Female">#REF!</definedName>
    <definedName name="mazf">#REF!</definedName>
    <definedName name="Mazq">#REF!</definedName>
    <definedName name="mci">#REF!</definedName>
    <definedName name="mci_1">#REF!</definedName>
    <definedName name="mci_12">#REF!</definedName>
    <definedName name="mci_13">#REF!</definedName>
    <definedName name="mci_15">#REF!</definedName>
    <definedName name="mci_16">#REF!</definedName>
    <definedName name="mci_17">#REF!</definedName>
    <definedName name="mci_2">#REF!</definedName>
    <definedName name="mcl">#REF!</definedName>
    <definedName name="mean">#REF!</definedName>
    <definedName name="meas." hidden="1">{#N/A,#N/A,FALSE,"no"}</definedName>
    <definedName name="MEASUREMENT">#REF!</definedName>
    <definedName name="mechbroom">#REF!</definedName>
    <definedName name="Median">#REF!</definedName>
    <definedName name="MER">#REF!</definedName>
    <definedName name="Mera">#REF!</definedName>
    <definedName name="MERAJ">#REF!</definedName>
    <definedName name="MF">#REF!</definedName>
    <definedName name="MF___0">#REF!</definedName>
    <definedName name="MF___13">#REF!</definedName>
    <definedName name="mfl">#REF!</definedName>
    <definedName name="mgf">"$#REF!.$#REF!$#REF!"</definedName>
    <definedName name="mgrader">#REF!</definedName>
    <definedName name="mh">#REF!</definedName>
    <definedName name="mhad">#REF!</definedName>
    <definedName name="mhjj" hidden="1">{"'Bill No. 7'!$A$1:$G$32"}</definedName>
    <definedName name="MI">#REF!</definedName>
    <definedName name="mistri">#REF!</definedName>
    <definedName name="mixall">#REF!</definedName>
    <definedName name="mixallRd">#REF!</definedName>
    <definedName name="mixer">#REF!</definedName>
    <definedName name="mixer4028">#REF!</definedName>
    <definedName name="mjkjkj">{#N/A,#N/A,TRUE,"Front";#N/A,#N/A,TRUE,"Simple Letter";#N/A,#N/A,TRUE,"Inside";#N/A,#N/A,TRUE,"Contents";#N/A,#N/A,TRUE,"Basis";#N/A,#N/A,TRUE,"Inclusions";#N/A,#N/A,TRUE,"Exclusions";#N/A,#N/A,TRUE,"Areas";#N/A,#N/A,TRUE,"Summary";#N/A,#N/A,TRUE,"Detail"}</definedName>
    <definedName name="mjm">#REF!</definedName>
    <definedName name="mm">#REF!</definedName>
    <definedName name="mmm">#REF!</definedName>
    <definedName name="MMMM">#REF!</definedName>
    <definedName name="MMMMMMMMMMMMMMMMMMMMM">#REF!</definedName>
    <definedName name="MO">#REF!</definedName>
    <definedName name="Mobile_crane">#REF!</definedName>
    <definedName name="MOD_16A_SOCKET">#REF!</definedName>
    <definedName name="MOD_16A_SWITCH">#REF!</definedName>
    <definedName name="MOD_6A_SOCKET">#REF!</definedName>
    <definedName name="MOD_6A_SWITCH">#REF!</definedName>
    <definedName name="MOD_PRICE">#REF!</definedName>
    <definedName name="modifiedbitumen">#REF!</definedName>
    <definedName name="MODULES">#REF!</definedName>
    <definedName name="MONTH_CONDITION">#REF!</definedName>
    <definedName name="MONTH_DETAILS">#REF!</definedName>
    <definedName name="mooram">#REF!</definedName>
    <definedName name="MOP">#REF!</definedName>
    <definedName name="motor_grader">#REF!</definedName>
    <definedName name="MP">#REF!</definedName>
    <definedName name="mr">#REF!</definedName>
    <definedName name="mrj.">#REF!</definedName>
    <definedName name="MS">[7]Crackwidth!$F$7</definedName>
    <definedName name="MS_bar">#REF!</definedName>
    <definedName name="MS_bar_6mm">#REF!</definedName>
    <definedName name="MS_Tube_40mm">#REF!</definedName>
    <definedName name="ms6_12">#REF!</definedName>
    <definedName name="ms6_13">#REF!</definedName>
    <definedName name="ms6_14">#REF!</definedName>
    <definedName name="ms6_15">#REF!</definedName>
    <definedName name="ms6_16">#REF!</definedName>
    <definedName name="ms6_17">#REF!</definedName>
    <definedName name="ms6_19">#REF!</definedName>
    <definedName name="ms6_20">#REF!</definedName>
    <definedName name="ms6_23">#REF!</definedName>
    <definedName name="ms6_3">#REF!</definedName>
    <definedName name="ms8_12">#REF!</definedName>
    <definedName name="ms8_13">#REF!</definedName>
    <definedName name="ms8_14">#REF!</definedName>
    <definedName name="ms8_15">#REF!</definedName>
    <definedName name="ms8_16">#REF!</definedName>
    <definedName name="ms8_17">#REF!</definedName>
    <definedName name="ms8_19">#REF!</definedName>
    <definedName name="ms8_20">#REF!</definedName>
    <definedName name="ms8_23">#REF!</definedName>
    <definedName name="ms8_3">#REF!</definedName>
    <definedName name="msbars">#REF!</definedName>
    <definedName name="MSBB">[7]Crackwidth!$F$8</definedName>
    <definedName name="MSBT">[7]Crackwidth!$F$9</definedName>
    <definedName name="msf">#REF!</definedName>
    <definedName name="mssplantrate">#REF!</definedName>
    <definedName name="MTE">[7]Diagrams!$F$90</definedName>
    <definedName name="MTLG">[7]Diagrams!$F$91</definedName>
    <definedName name="MTLQ">[7]Diagrams!$F$92</definedName>
    <definedName name="MTSG">[7]Diagrams!$F$93</definedName>
    <definedName name="mtsp">NA()</definedName>
    <definedName name="mtsp_1">NA()</definedName>
    <definedName name="mtsp_2">NA()</definedName>
    <definedName name="mtsp_3">#N/A</definedName>
    <definedName name="MTSQ">[7]Diagrams!$F$94</definedName>
    <definedName name="MTW">[7]Diagrams!$F$95</definedName>
    <definedName name="Mu">#REF!</definedName>
    <definedName name="Mugaliyahat">#REF!</definedName>
    <definedName name="mukesh" hidden="1">{#N/A,#N/A,TRUE,"Front";#N/A,#N/A,TRUE,"Simple Letter";#N/A,#N/A,TRUE,"Inside";#N/A,#N/A,TRUE,"Contents";#N/A,#N/A,TRUE,"Basis";#N/A,#N/A,TRUE,"Inclusions";#N/A,#N/A,TRUE,"Exclusions";#N/A,#N/A,TRUE,"Areas";#N/A,#N/A,TRUE,"Summary";#N/A,#N/A,TRUE,"Detail"}</definedName>
    <definedName name="Multinodes">[37]CCTV_EST1!#REF!</definedName>
    <definedName name="Mural_Tiles">#REF!</definedName>
    <definedName name="Muram">#REF!</definedName>
    <definedName name="muramfillpcc">#REF!</definedName>
    <definedName name="Mv">[7]STABILITY!$G$55</definedName>
    <definedName name="MY" hidden="1">[12]analysis!#REF!</definedName>
    <definedName name="MyRange">'[38]BOQ T4B'!$I$86,'[38]BOQ T4B'!$I$302,'[38]BOQ T4B'!$I$538,'[38]BOQ T4B'!$I$734,'[38]BOQ T4B'!$I$891,'[38]BOQ T4B'!$I$989</definedName>
    <definedName name="MyRange1">#REF!,#REF!,#REF!</definedName>
    <definedName name="MyRange2">#REF!,#REF!,#REF!</definedName>
    <definedName name="mz1_13">#REF!</definedName>
    <definedName name="mz1_14">#REF!</definedName>
    <definedName name="mz1_15">#REF!</definedName>
    <definedName name="mz1_16">#REF!</definedName>
    <definedName name="mz1_17">#REF!</definedName>
    <definedName name="mz1_19">#REF!</definedName>
    <definedName name="mz1_20">#REF!</definedName>
    <definedName name="mz1_21">#REF!</definedName>
    <definedName name="mz1_23">#REF!</definedName>
    <definedName name="mz1_3">#REF!</definedName>
    <definedName name="mz2_13">#REF!</definedName>
    <definedName name="mz2_14">#REF!</definedName>
    <definedName name="mz2_15">#REF!</definedName>
    <definedName name="mz2_16">#REF!</definedName>
    <definedName name="mz2_17">#REF!</definedName>
    <definedName name="mz2_19">#REF!</definedName>
    <definedName name="mz2_20">#REF!</definedName>
    <definedName name="mz2_21">#REF!</definedName>
    <definedName name="mz2_23">#REF!</definedName>
    <definedName name="mz2_3">#REF!</definedName>
    <definedName name="M행">#REF!</definedName>
    <definedName name="N">#REF!</definedName>
    <definedName name="N___0">#REF!</definedName>
    <definedName name="N___13">#REF!</definedName>
    <definedName name="n_30">#REF!</definedName>
    <definedName name="NAE">#REF!</definedName>
    <definedName name="Nalkheda">#REF!</definedName>
    <definedName name="Name">#REF!</definedName>
    <definedName name="NAVINIKARAN">#REF!</definedName>
    <definedName name="nbc" hidden="1">{#N/A,#N/A,TRUE,"Front";#N/A,#N/A,TRUE,"Simple Letter";#N/A,#N/A,TRUE,"Inside";#N/A,#N/A,TRUE,"Contents";#N/A,#N/A,TRUE,"Basis";#N/A,#N/A,TRUE,"Inclusions";#N/A,#N/A,TRUE,"Exclusions";#N/A,#N/A,TRUE,"Areas";#N/A,#N/A,TRUE,"Summary";#N/A,#N/A,TRUE,"Detail"}</definedName>
    <definedName name="NBN" hidden="1">[12]analysis!#REF!</definedName>
    <definedName name="ncu">#REF!</definedName>
    <definedName name="ND">#REF!</definedName>
    <definedName name="neoprene">#REF!</definedName>
    <definedName name="neoprinbearing">#REF!</definedName>
    <definedName name="net_total">#REF!</definedName>
    <definedName name="net_total_1">#REF!</definedName>
    <definedName name="net_total_1_1">NA()</definedName>
    <definedName name="net_total_1_1_1">NA()</definedName>
    <definedName name="net_total_1_8">NA()</definedName>
    <definedName name="net_total_2">NA()</definedName>
    <definedName name="net_total_2_1">NA()</definedName>
    <definedName name="net_total_3">#REF!</definedName>
    <definedName name="net_total_3_1">NA()</definedName>
    <definedName name="net_total_3_8">NA()</definedName>
    <definedName name="net_total_4">#REF!</definedName>
    <definedName name="net_total_4_1">NA()</definedName>
    <definedName name="net_total_4_1_1">NA()</definedName>
    <definedName name="net_total_4_8">NA()</definedName>
    <definedName name="net_total_5">#REF!</definedName>
    <definedName name="net_total_5_1">NA()</definedName>
    <definedName name="net_total_5_1_1">NA()</definedName>
    <definedName name="net_total_6">#REF!</definedName>
    <definedName name="net_total_6_1">NA()</definedName>
    <definedName name="net_total_6_1_1">NA()</definedName>
    <definedName name="net_total_7">#REF!</definedName>
    <definedName name="net_total_7_1">NA()</definedName>
    <definedName name="net_total_8">NA()</definedName>
    <definedName name="net_total_message">#REF!</definedName>
    <definedName name="net_total_message_1">#REF!</definedName>
    <definedName name="net_total_message_1_1">NA()</definedName>
    <definedName name="net_total_message_1_1_1">NA()</definedName>
    <definedName name="net_total_message_1_8">NA()</definedName>
    <definedName name="net_total_message_2">NA()</definedName>
    <definedName name="net_total_message_2_1">NA()</definedName>
    <definedName name="net_total_message_3">#REF!</definedName>
    <definedName name="net_total_message_3_1">NA()</definedName>
    <definedName name="net_total_message_3_8">NA()</definedName>
    <definedName name="net_total_message_4">#REF!</definedName>
    <definedName name="net_total_message_4_1">NA()</definedName>
    <definedName name="net_total_message_4_1_1">NA()</definedName>
    <definedName name="net_total_message_4_8">NA()</definedName>
    <definedName name="net_total_message_5">#REF!</definedName>
    <definedName name="net_total_message_5_1">NA()</definedName>
    <definedName name="net_total_message_5_1_1">NA()</definedName>
    <definedName name="net_total_message_6">#REF!</definedName>
    <definedName name="net_total_message_6_1">NA()</definedName>
    <definedName name="net_total_message_6_1_1">NA()</definedName>
    <definedName name="net_total_message_7">#REF!</definedName>
    <definedName name="net_total_message_7_1">NA()</definedName>
    <definedName name="net_total_message_8">NA()</definedName>
    <definedName name="NEW" hidden="1">#REF!</definedName>
    <definedName name="nfg">{#N/A,#N/A,TRUE,"Front";#N/A,#N/A,TRUE,"Simple Letter";#N/A,#N/A,TRUE,"Inside";#N/A,#N/A,TRUE,"Contents";#N/A,#N/A,TRUE,"Basis";#N/A,#N/A,TRUE,"Inclusions";#N/A,#N/A,TRUE,"Exclusions";#N/A,#N/A,TRUE,"Areas";#N/A,#N/A,TRUE,"Summary";#N/A,#N/A,TRUE,"Detail"}</definedName>
    <definedName name="ngfng" hidden="1">{#N/A,#N/A,FALSE,"Aging Summary";#N/A,#N/A,FALSE,"Ratio Analysis";#N/A,#N/A,FALSE,"Test 120 Day Accts";#N/A,#N/A,FALSE,"Tickmarks"}</definedName>
    <definedName name="NH4hume600">#REF!</definedName>
    <definedName name="nht">#REF!</definedName>
    <definedName name="NIPD">[39]Formulas!$B$54</definedName>
    <definedName name="nk">#REF!</definedName>
    <definedName name="NN">#REF!</definedName>
    <definedName name="NN___0">#REF!</definedName>
    <definedName name="NN___13">#REF!</definedName>
    <definedName name="nnnn" hidden="1">#REF!</definedName>
    <definedName name="no">{#N/A,#N/A,TRUE,"Front";#N/A,#N/A,TRUE,"Simple Letter";#N/A,#N/A,TRUE,"Inside";#N/A,#N/A,TRUE,"Contents";#N/A,#N/A,TRUE,"Basis";#N/A,#N/A,TRUE,"Inclusions";#N/A,#N/A,TRUE,"Exclusions";#N/A,#N/A,TRUE,"Areas";#N/A,#N/A,TRUE,"Summary";#N/A,#N/A,TRUE,"Detail"}</definedName>
    <definedName name="NO.">#REF!</definedName>
    <definedName name="nonmodular">#REF!</definedName>
    <definedName name="NoRowCause">#REF!</definedName>
    <definedName name="nothing">#REF!</definedName>
    <definedName name="np2hp300">#REF!</definedName>
    <definedName name="NP31000mm">#REF!</definedName>
    <definedName name="NP3300mm">#REF!</definedName>
    <definedName name="NP3450mm">#REF!</definedName>
    <definedName name="NP3HP450">#REF!</definedName>
    <definedName name="NP3HP600">#REF!</definedName>
    <definedName name="NP3HP750">#REF!</definedName>
    <definedName name="np3humepipe600">#REF!</definedName>
    <definedName name="np3humepipe750">#REF!</definedName>
    <definedName name="NP4Hume1.2">#REF!</definedName>
    <definedName name="NP4Hume1000">#REF!</definedName>
    <definedName name="NP4Hume1200">#REF!</definedName>
    <definedName name="NP4hume300">#REF!</definedName>
    <definedName name="NP4hume450">#REF!</definedName>
    <definedName name="NP4Hume600">#REF!</definedName>
    <definedName name="NP4Hume900">#REF!</definedName>
    <definedName name="nr_40">#REF!</definedName>
    <definedName name="nr_65">#REF!</definedName>
    <definedName name="NS">#REF!</definedName>
    <definedName name="nSkip">15</definedName>
    <definedName name="nspan">#REF!</definedName>
    <definedName name="NSSR1">#REF!</definedName>
    <definedName name="NSSR10">#REF!</definedName>
    <definedName name="NSSR100">#REF!</definedName>
    <definedName name="NSSR101">#REF!</definedName>
    <definedName name="NSSR102">#REF!</definedName>
    <definedName name="NSSR103">#REF!</definedName>
    <definedName name="NSSR104">#REF!</definedName>
    <definedName name="NSSR105">#REF!</definedName>
    <definedName name="NSSR106">#REF!</definedName>
    <definedName name="NSSR107">#REF!</definedName>
    <definedName name="NSSR108">#REF!</definedName>
    <definedName name="NSSR109">#REF!</definedName>
    <definedName name="NSSR11">#REF!</definedName>
    <definedName name="NSSR110">#REF!</definedName>
    <definedName name="NSSR111">#REF!</definedName>
    <definedName name="NSSR112">#REF!</definedName>
    <definedName name="NSSR113">#REF!</definedName>
    <definedName name="NSSR114">#REF!</definedName>
    <definedName name="NSSR115">#REF!</definedName>
    <definedName name="NSSR116">#REF!</definedName>
    <definedName name="NSSR117">#REF!</definedName>
    <definedName name="NSSR118">#REF!</definedName>
    <definedName name="NSSR119">#REF!</definedName>
    <definedName name="NSSR12">#REF!</definedName>
    <definedName name="NSSR120">#REF!</definedName>
    <definedName name="NSSR121">#REF!</definedName>
    <definedName name="NSSR122">#REF!</definedName>
    <definedName name="NSSR123">#REF!</definedName>
    <definedName name="NSSR124">#REF!</definedName>
    <definedName name="NSSR125">#REF!</definedName>
    <definedName name="NSSR126">#REF!</definedName>
    <definedName name="NSSR127">#REF!</definedName>
    <definedName name="NSSR128">#REF!</definedName>
    <definedName name="NSSR129">#REF!</definedName>
    <definedName name="NSSR13">#REF!</definedName>
    <definedName name="NSSR130">#REF!</definedName>
    <definedName name="NSSR131">#REF!</definedName>
    <definedName name="NSSR132">#REF!</definedName>
    <definedName name="NSSR133">#REF!</definedName>
    <definedName name="NSSR134">#REF!</definedName>
    <definedName name="NSSR135">#REF!</definedName>
    <definedName name="NSSR136">#REF!</definedName>
    <definedName name="NSSR137">#REF!</definedName>
    <definedName name="NSSR138">#REF!</definedName>
    <definedName name="NSSR139">#REF!</definedName>
    <definedName name="NSSR14">#REF!</definedName>
    <definedName name="NSSR140">#REF!</definedName>
    <definedName name="NSSR141">#REF!</definedName>
    <definedName name="NSSR142">#REF!</definedName>
    <definedName name="NSSR143">#REF!</definedName>
    <definedName name="NSSR144">#REF!</definedName>
    <definedName name="NSSR145">#REF!</definedName>
    <definedName name="NSSR146">#REF!</definedName>
    <definedName name="NSSR147">#REF!</definedName>
    <definedName name="NSSR148">#REF!</definedName>
    <definedName name="NSSR149">#REF!</definedName>
    <definedName name="NSSR15">#REF!</definedName>
    <definedName name="NSSR150">#REF!</definedName>
    <definedName name="NSSR151">#REF!</definedName>
    <definedName name="NSSR152">#REF!</definedName>
    <definedName name="NSSR153">#REF!</definedName>
    <definedName name="NSSR154">#REF!</definedName>
    <definedName name="NSSR155">#REF!</definedName>
    <definedName name="NSSR156">#REF!</definedName>
    <definedName name="NSSR157">#REF!</definedName>
    <definedName name="NSSR158">#REF!</definedName>
    <definedName name="NSSR159">#REF!</definedName>
    <definedName name="NSSR16">#REF!</definedName>
    <definedName name="NSSR160">#REF!</definedName>
    <definedName name="NSSR161">#REF!</definedName>
    <definedName name="NSSR162">#REF!</definedName>
    <definedName name="NSSR163">#REF!</definedName>
    <definedName name="NSSR164">#REF!</definedName>
    <definedName name="NSSR165">#REF!</definedName>
    <definedName name="NSSR166">#REF!</definedName>
    <definedName name="NSSR167">#REF!</definedName>
    <definedName name="NSSR168">#REF!</definedName>
    <definedName name="NSSR169">#REF!</definedName>
    <definedName name="NSSR17">#REF!</definedName>
    <definedName name="NSSR170">#REF!</definedName>
    <definedName name="NSSR171">#REF!</definedName>
    <definedName name="NSSR172">#REF!</definedName>
    <definedName name="NSSR173">#REF!</definedName>
    <definedName name="NSSR174">#REF!</definedName>
    <definedName name="NSSR18">#REF!</definedName>
    <definedName name="NSSR19">#REF!</definedName>
    <definedName name="NSSR2">#REF!</definedName>
    <definedName name="NSSR20">#REF!</definedName>
    <definedName name="NSSR21">#REF!</definedName>
    <definedName name="NSSR22">#REF!</definedName>
    <definedName name="NSSR23">#REF!</definedName>
    <definedName name="NSSR24">#REF!</definedName>
    <definedName name="NSSR25">#REF!</definedName>
    <definedName name="NSSR26">#REF!</definedName>
    <definedName name="NSSR27">#REF!</definedName>
    <definedName name="NSSR28">#REF!</definedName>
    <definedName name="NSSR29">#REF!</definedName>
    <definedName name="NSSR3">#REF!</definedName>
    <definedName name="NSSR30">#REF!</definedName>
    <definedName name="NSSR31">#REF!</definedName>
    <definedName name="NSSR32">#REF!</definedName>
    <definedName name="NSSR33">#REF!</definedName>
    <definedName name="NSSR34">#REF!</definedName>
    <definedName name="NSSR35">#REF!</definedName>
    <definedName name="NSSR36">#REF!</definedName>
    <definedName name="NSSR37">#REF!</definedName>
    <definedName name="NSSR38">#REF!</definedName>
    <definedName name="NSSR39">#REF!</definedName>
    <definedName name="NSSR4">#REF!</definedName>
    <definedName name="NSSR40">#REF!</definedName>
    <definedName name="NSSR41">#REF!</definedName>
    <definedName name="NSSR42">#REF!</definedName>
    <definedName name="NSSR43">#REF!</definedName>
    <definedName name="NSSR44">#REF!</definedName>
    <definedName name="NSSR45">#REF!</definedName>
    <definedName name="NSSR46">#REF!</definedName>
    <definedName name="NSSR47">#REF!</definedName>
    <definedName name="NSSR48">#REF!</definedName>
    <definedName name="NSSR49">#REF!</definedName>
    <definedName name="NSSR5">#REF!</definedName>
    <definedName name="NSSR50">#REF!</definedName>
    <definedName name="NSSR51">#REF!</definedName>
    <definedName name="NSSR52">#REF!</definedName>
    <definedName name="NSSR53">#REF!</definedName>
    <definedName name="NSSR54">#REF!</definedName>
    <definedName name="NSSR55">#REF!</definedName>
    <definedName name="NSSR56">#REF!</definedName>
    <definedName name="NSSR57">#REF!</definedName>
    <definedName name="NSSR58">#REF!</definedName>
    <definedName name="NSSR59">#REF!</definedName>
    <definedName name="NSSR6">#REF!</definedName>
    <definedName name="NSSR60">#REF!</definedName>
    <definedName name="NSSR61">#REF!</definedName>
    <definedName name="NSSR62">#REF!</definedName>
    <definedName name="NSSR63">#REF!</definedName>
    <definedName name="NSSR64">#REF!</definedName>
    <definedName name="NSSR65">#REF!</definedName>
    <definedName name="NSSR66">#REF!</definedName>
    <definedName name="NSSR67">#REF!</definedName>
    <definedName name="NSSR68">#REF!</definedName>
    <definedName name="NSSR69">#REF!</definedName>
    <definedName name="NSSR7">#REF!</definedName>
    <definedName name="NSSR70">#REF!</definedName>
    <definedName name="NSSR71">#REF!</definedName>
    <definedName name="NSSR72">#REF!</definedName>
    <definedName name="NSSR73">#REF!</definedName>
    <definedName name="NSSR74">#REF!</definedName>
    <definedName name="NSSR75">#REF!</definedName>
    <definedName name="NSSR76">#REF!</definedName>
    <definedName name="NSSR77">#REF!</definedName>
    <definedName name="NSSR78">#REF!</definedName>
    <definedName name="NSSR79">#REF!</definedName>
    <definedName name="NSSR8">#REF!</definedName>
    <definedName name="NSSR80">#REF!</definedName>
    <definedName name="NSSR81">#REF!</definedName>
    <definedName name="NSSR82">#REF!</definedName>
    <definedName name="NSSR83">#REF!</definedName>
    <definedName name="NSSR84">#REF!</definedName>
    <definedName name="NSSR85">#REF!</definedName>
    <definedName name="NSSR86">#REF!</definedName>
    <definedName name="NSSR87">#REF!</definedName>
    <definedName name="NSSR88">#REF!</definedName>
    <definedName name="NSSR89">#REF!</definedName>
    <definedName name="NSSR9">#REF!</definedName>
    <definedName name="NSSR90">#REF!</definedName>
    <definedName name="NSSR91">#REF!</definedName>
    <definedName name="NSSR92">#REF!</definedName>
    <definedName name="NSSR93">#REF!</definedName>
    <definedName name="NSSR94">#REF!</definedName>
    <definedName name="NSSR95">#REF!</definedName>
    <definedName name="NSSR96">#REF!</definedName>
    <definedName name="NSSR97">#REF!</definedName>
    <definedName name="NSSR98">#REF!</definedName>
    <definedName name="NSSR99">#REF!</definedName>
    <definedName name="Num_Pmt_Per_Year">#REF!</definedName>
    <definedName name="Number_of_Payments">MATCH(0.01,End_Bal,-1)+1</definedName>
    <definedName name="numf">"$#REF!.$#REF!$#REF!"</definedName>
    <definedName name="nut">#REF!</definedName>
    <definedName name="NW">#REF!</definedName>
    <definedName name="Nx">#REF!</definedName>
    <definedName name="Nx___0">#REF!</definedName>
    <definedName name="Nx___13">#REF!</definedName>
    <definedName name="Ny">#REF!</definedName>
    <definedName name="Ny___0">#REF!</definedName>
    <definedName name="Ny___13">#REF!</definedName>
    <definedName name="N행">#REF!</definedName>
    <definedName name="O">#REF!</definedName>
    <definedName name="Ø">[7]DATA!$F$34</definedName>
    <definedName name="oa">#REF!</definedName>
    <definedName name="oAst1">#REF!</definedName>
    <definedName name="oAst2">#REF!</definedName>
    <definedName name="oAst3">#REF!</definedName>
    <definedName name="oAst4">#REF!</definedName>
    <definedName name="Øb">[7]DATA!$F$38</definedName>
    <definedName name="obbbricks">#REF!</definedName>
    <definedName name="obpl">#REF!</definedName>
    <definedName name="ocgl">#REF!</definedName>
    <definedName name="oct">#REF!</definedName>
    <definedName name="octf">#N/A</definedName>
    <definedName name="oexudl">#REF!</definedName>
    <definedName name="ofcablescost">#N/A</definedName>
    <definedName name="offset">#REF!</definedName>
    <definedName name="oh">#REF!</definedName>
    <definedName name="oh_1">#REF!</definedName>
    <definedName name="oh_12">#REF!</definedName>
    <definedName name="oh_13">#REF!</definedName>
    <definedName name="oh_15">#REF!</definedName>
    <definedName name="oh_16">#REF!</definedName>
    <definedName name="oh_17">#REF!</definedName>
    <definedName name="oh_2">#REF!</definedName>
    <definedName name="OHP">[40]Quotation!$AC$4</definedName>
    <definedName name="OHP_3">#REF!</definedName>
    <definedName name="ohp1_13">#REF!</definedName>
    <definedName name="ohp1_14">#REF!</definedName>
    <definedName name="ohp1_15">#REF!</definedName>
    <definedName name="ohp1_16">#REF!</definedName>
    <definedName name="ohp1_17">#REF!</definedName>
    <definedName name="ohp1_19">#REF!</definedName>
    <definedName name="ohp1_20">#REF!</definedName>
    <definedName name="ohp1_21">#REF!</definedName>
    <definedName name="ohp1_23">#REF!</definedName>
    <definedName name="ohp1_3">#REF!</definedName>
    <definedName name="OK">[41]Sheet2!$D$7</definedName>
    <definedName name="old">#REF!</definedName>
    <definedName name="OLE_LINK3_1">#REF!</definedName>
    <definedName name="omaxm1">#REF!</definedName>
    <definedName name="omaxm2">#REF!</definedName>
    <definedName name="omaxm3">#REF!</definedName>
    <definedName name="omaxm4">#REF!</definedName>
    <definedName name="one">#REF!</definedName>
    <definedName name="one.1">#REF!</definedName>
    <definedName name="one.10">#REF!</definedName>
    <definedName name="one.11">#REF!</definedName>
    <definedName name="one.12">#REF!</definedName>
    <definedName name="one.13">#REF!</definedName>
    <definedName name="one.14">#REF!</definedName>
    <definedName name="one.15">#REF!</definedName>
    <definedName name="one.16">#REF!</definedName>
    <definedName name="one.17">#REF!</definedName>
    <definedName name="one.2">#REF!</definedName>
    <definedName name="one.3">#REF!</definedName>
    <definedName name="one.4">#REF!</definedName>
    <definedName name="one.5">#REF!</definedName>
    <definedName name="one.6">#REF!</definedName>
    <definedName name="one.7">#REF!</definedName>
    <definedName name="one.8">#REF!</definedName>
    <definedName name="one.9">#REF!</definedName>
    <definedName name="oo">#REF!</definedName>
    <definedName name="ooo">{#N/A,#N/A,TRUE,"Front";#N/A,#N/A,TRUE,"Simple Letter";#N/A,#N/A,TRUE,"Inside";#N/A,#N/A,TRUE,"Contents";#N/A,#N/A,TRUE,"Basis";#N/A,#N/A,TRUE,"Inclusions";#N/A,#N/A,TRUE,"Exclusions";#N/A,#N/A,TRUE,"Areas";#N/A,#N/A,TRUE,"Summary";#N/A,#N/A,TRUE,"Detail"}</definedName>
    <definedName name="ooooooooooo">{#N/A,#N/A,TRUE,"Front";#N/A,#N/A,TRUE,"Simple Letter";#N/A,#N/A,TRUE,"Inside";#N/A,#N/A,TRUE,"Contents";#N/A,#N/A,TRUE,"Basis";#N/A,#N/A,TRUE,"Inclusions";#N/A,#N/A,TRUE,"Exclusions";#N/A,#N/A,TRUE,"Areas";#N/A,#N/A,TRUE,"Summary";#N/A,#N/A,TRUE,"Detail"}</definedName>
    <definedName name="ooopp">#REF!</definedName>
    <definedName name="OP">#REF!</definedName>
    <definedName name="OPERATION">[42]Sheet2!$F$2:$F$4</definedName>
    <definedName name="OrderTable" hidden="1">#REF!</definedName>
    <definedName name="OrdinaryRodBinder">#REF!</definedName>
    <definedName name="OTM">[7]DATA!$F$62</definedName>
    <definedName name="oudl">#REF!</definedName>
    <definedName name="Overall_Summary_Title">#REF!</definedName>
    <definedName name="OVERHEADS">#REF!</definedName>
    <definedName name="OwnAcctNum">#REF!</definedName>
    <definedName name="O행">#REF!</definedName>
    <definedName name="p">#REF!</definedName>
    <definedName name="p___0">#REF!</definedName>
    <definedName name="p___13">#REF!</definedName>
    <definedName name="P_P">#REF!</definedName>
    <definedName name="pa">#REF!</definedName>
    <definedName name="pa___0">#REF!</definedName>
    <definedName name="pa___13">#REF!</definedName>
    <definedName name="pa_1">#REF!</definedName>
    <definedName name="pa_12">#REF!</definedName>
    <definedName name="pa_13">#REF!</definedName>
    <definedName name="pa_14">#REF!</definedName>
    <definedName name="pa_15">#REF!</definedName>
    <definedName name="pa_16">#REF!</definedName>
    <definedName name="pa_17">#REF!</definedName>
    <definedName name="pa_19">#REF!</definedName>
    <definedName name="pa_2">#REF!</definedName>
    <definedName name="pa_20">#REF!</definedName>
    <definedName name="pa_21">#REF!</definedName>
    <definedName name="pa_23">#REF!</definedName>
    <definedName name="pa_3">#REF!</definedName>
    <definedName name="PAD">#REF!</definedName>
    <definedName name="Pai">#REF!</definedName>
    <definedName name="Pai_1">#REF!</definedName>
    <definedName name="Pai_10">#REF!</definedName>
    <definedName name="Pai_11">#REF!</definedName>
    <definedName name="Pai_13">#REF!</definedName>
    <definedName name="Pai_14">#REF!</definedName>
    <definedName name="Pai_15">#REF!</definedName>
    <definedName name="Pai_16">#REF!</definedName>
    <definedName name="Pai_17">#REF!</definedName>
    <definedName name="Pai_18">#REF!</definedName>
    <definedName name="Pai_19">#REF!</definedName>
    <definedName name="Pai_20">#REF!</definedName>
    <definedName name="Pai_23">#REF!</definedName>
    <definedName name="Pai_3">#REF!</definedName>
    <definedName name="Pai_4">#REF!</definedName>
    <definedName name="Pai_8">#REF!</definedName>
    <definedName name="Pai_9">#REF!</definedName>
    <definedName name="painEpoxy">#REF!</definedName>
    <definedName name="Paint">#REF!</definedName>
    <definedName name="paintConcrete">#REF!</definedName>
    <definedName name="paintconcreteO">#REF!</definedName>
    <definedName name="painter">#REF!</definedName>
    <definedName name="painting">#REF!</definedName>
    <definedName name="paintLetter">#REF!</definedName>
    <definedName name="paintLetterO">#REF!</definedName>
    <definedName name="paintSteel">#REF!</definedName>
    <definedName name="paintsteelO">#REF!</definedName>
    <definedName name="Pan_Tilt_Drive_Dome">'[24]CCTV(old)'!#REF!</definedName>
    <definedName name="Pane2">#REF!</definedName>
    <definedName name="Pane2___0">#REF!</definedName>
    <definedName name="Pane2___13">#REF!</definedName>
    <definedName name="panellocation">#REF!</definedName>
    <definedName name="panelname">#REF!</definedName>
    <definedName name="parapet">#REF!</definedName>
    <definedName name="Part_ID">#REF!</definedName>
    <definedName name="pat">#REF!</definedName>
    <definedName name="paul">50000</definedName>
    <definedName name="paver">#REF!</definedName>
    <definedName name="Paving_Bitumen_S_90">#REF!</definedName>
    <definedName name="pavpaint">#REF!</definedName>
    <definedName name="pawan">#REF!</definedName>
    <definedName name="Pay_Date">#REF!</definedName>
    <definedName name="Pay_Num">#REF!</definedName>
    <definedName name="payment">#REF!</definedName>
    <definedName name="Payment_Date" localSheetId="5">DATE(YEAR([0]!Loan_Start),MONTH([0]!Loan_Start)+Payment_Number,DAY([0]!Loan_Start))</definedName>
    <definedName name="Payment_Date" localSheetId="4">DATE(YEAR([0]!Loan_Start),MONTH([0]!Loan_Start)+Payment_Number,DAY([0]!Loan_Start))</definedName>
    <definedName name="Payment_Date">DATE(YEAR(Loan_Start),MONTH(Loan_Start)+Payment_Number,DAY(Loan_Start))</definedName>
    <definedName name="pb">#REF!</definedName>
    <definedName name="pb___0">#REF!</definedName>
    <definedName name="pb___11">#REF!</definedName>
    <definedName name="pb___12">#REF!</definedName>
    <definedName name="pc">#REF!</definedName>
    <definedName name="PCC">#REF!</definedName>
    <definedName name="PCC_1">NA()</definedName>
    <definedName name="PCC_3">#REF!</definedName>
    <definedName name="PCC_3_1">NA()</definedName>
    <definedName name="PCC_4">#REF!</definedName>
    <definedName name="PCC_4_1">NA()</definedName>
    <definedName name="PCC_5">#REF!</definedName>
    <definedName name="PCC_5_1">NA()</definedName>
    <definedName name="PCC_6">#N/A</definedName>
    <definedName name="pcc_utility">#REF!</definedName>
    <definedName name="pcc1.3.6pcc">#REF!</definedName>
    <definedName name="pcc148_3">#REF!</definedName>
    <definedName name="pccm15foundnpcc">#REF!</definedName>
    <definedName name="pccut">#REF!</definedName>
    <definedName name="pcl">#REF!</definedName>
    <definedName name="PD">#REF!</definedName>
    <definedName name="PF">#REF!</definedName>
    <definedName name="PFC">#REF!</definedName>
    <definedName name="PFL">#REF!</definedName>
    <definedName name="pH">#REF!</definedName>
    <definedName name="pH___0">#REF!</definedName>
    <definedName name="pH___13">#REF!</definedName>
    <definedName name="PhaseCode">#REF!</definedName>
    <definedName name="Phone">#REF!</definedName>
    <definedName name="PhonesQty">"$#REF!.$#REF!$#REF!"</definedName>
    <definedName name="pi_3">#REF!</definedName>
    <definedName name="Pier">#REF!</definedName>
    <definedName name="piercap">#REF!</definedName>
    <definedName name="pile">#REF!</definedName>
    <definedName name="pilecap">#REF!</definedName>
    <definedName name="pileinraftCount">#REF!</definedName>
    <definedName name="pilingrig">#REF!</definedName>
    <definedName name="pin">#REF!</definedName>
    <definedName name="PIPE">#REF!</definedName>
    <definedName name="PIPE_CI_100">#REF!</definedName>
    <definedName name="PIPE_CI_1000">#REF!</definedName>
    <definedName name="PIPE_CI_125">#REF!</definedName>
    <definedName name="PIPE_CI_150">#REF!</definedName>
    <definedName name="PIPE_CI_200">#REF!</definedName>
    <definedName name="PIPE_CI_250">#REF!</definedName>
    <definedName name="PIPE_CI_300">#REF!</definedName>
    <definedName name="PIPE_CI_350">#REF!</definedName>
    <definedName name="PIPE_CI_400">#REF!</definedName>
    <definedName name="PIPE_CI_450">#REF!</definedName>
    <definedName name="PIPE_CI_500">#REF!</definedName>
    <definedName name="PIPE_CI_600">#REF!</definedName>
    <definedName name="PIPE_CI_700">#REF!</definedName>
    <definedName name="PIPE_CI_80">#REF!</definedName>
    <definedName name="PIPE_CI_800">#REF!</definedName>
    <definedName name="PIPE_CI_900">#REF!</definedName>
    <definedName name="PIPE_CI_LARGE">#REF!</definedName>
    <definedName name="PIPE_CI_SMALL">#REF!</definedName>
    <definedName name="PIPE_GI_600">#REF!</definedName>
    <definedName name="PIPE_GI_700">#REF!</definedName>
    <definedName name="PIPE_GI_80">#REF!</definedName>
    <definedName name="pipe_rack">#REF!</definedName>
    <definedName name="PipeSize">#N/A</definedName>
    <definedName name="pipeThick">#REF!</definedName>
    <definedName name="pipethickgul">#REF!</definedName>
    <definedName name="pipethickhp2">#REF!</definedName>
    <definedName name="PipingDetail">#N/A</definedName>
    <definedName name="PitchChainage">#REF!</definedName>
    <definedName name="pitching">#REF!</definedName>
    <definedName name="PitchLength">#REF!</definedName>
    <definedName name="pjt">#REF!</definedName>
    <definedName name="pkgblock">#REF!</definedName>
    <definedName name="pl">#REF!</definedName>
    <definedName name="plast1.3pcc">#REF!</definedName>
    <definedName name="Plasticizer">#REF!</definedName>
    <definedName name="platecompactor">#REF!</definedName>
    <definedName name="plbeams">#REF!</definedName>
    <definedName name="PLF">#REF!</definedName>
    <definedName name="PLL">#REF!</definedName>
    <definedName name="Plu">#REF!</definedName>
    <definedName name="Plu_1">#REF!</definedName>
    <definedName name="Plu_10">#REF!</definedName>
    <definedName name="Plu_11">#REF!</definedName>
    <definedName name="Plu_13">#REF!</definedName>
    <definedName name="Plu_14">#REF!</definedName>
    <definedName name="Plu_15">#REF!</definedName>
    <definedName name="Plu_16">#REF!</definedName>
    <definedName name="Plu_17">#REF!</definedName>
    <definedName name="Plu_18">#REF!</definedName>
    <definedName name="Plu_19">#REF!</definedName>
    <definedName name="Plu_20">#REF!</definedName>
    <definedName name="Plu_23">#REF!</definedName>
    <definedName name="Plu_3">#REF!</definedName>
    <definedName name="Plu_4">#REF!</definedName>
    <definedName name="Plu_8">#REF!</definedName>
    <definedName name="Plu_9">#REF!</definedName>
    <definedName name="plumber">#REF!</definedName>
    <definedName name="PM_Dozer_D50_1">#REF!</definedName>
    <definedName name="PM_EmulsionSprayer">#REF!</definedName>
    <definedName name="PM_FrontEndLoader_1cum_Soil">#REF!</definedName>
    <definedName name="PM_MotorGrader_1">#REF!</definedName>
    <definedName name="PM_SmoothWheeled_80_100kN_TandemRoller">#REF!</definedName>
    <definedName name="PM_VibratoryRoller_80_100kN_1">#REF!</definedName>
    <definedName name="pmp">#REF!</definedName>
    <definedName name="po" hidden="1">#REF!</definedName>
    <definedName name="point">#REF!</definedName>
    <definedName name="ponrajan">#N/A</definedName>
    <definedName name="pot">#REF!</definedName>
    <definedName name="Powder">#REF!</definedName>
    <definedName name="pp">#REF!</definedName>
    <definedName name="ppo">#REF!</definedName>
    <definedName name="ppp">#REF!</definedName>
    <definedName name="ppppp">#REF!</definedName>
    <definedName name="PR">#REF!</definedName>
    <definedName name="prafull">#REF!</definedName>
    <definedName name="praptra">{"Book1","September 2007 A,B 30-09-07.xls"}</definedName>
    <definedName name="Praptra2B" hidden="1">#REF!</definedName>
    <definedName name="Prelim">#REF!</definedName>
    <definedName name="Prelm_Exp">#REF!</definedName>
    <definedName name="Premould20">#REF!</definedName>
    <definedName name="premoulded">#REF!</definedName>
    <definedName name="prepared.by" hidden="1">[8]Database!$D$6:$D$26</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c">#REF!</definedName>
    <definedName name="Principal">#REF!</definedName>
    <definedName name="PRINT">#REF!</definedName>
    <definedName name="_xlnm.Print_Area" localSheetId="2">Abstract!$A$1:$G$31</definedName>
    <definedName name="_xlnm.Print_Area" localSheetId="5">'AType Cottage'!$A$1:$N$43</definedName>
    <definedName name="_xlnm.Print_Area" localSheetId="12">'Check list'!$A$1:$C$26</definedName>
    <definedName name="_xlnm.Print_Area" localSheetId="9">CS!$A$1:$O$18</definedName>
    <definedName name="_xlnm.Print_Area" localSheetId="14">'Electrical Works'!$A$1:$G$39</definedName>
    <definedName name="_xlnm.Print_Area" localSheetId="6">furniture!$A$1:$F$19</definedName>
    <definedName name="_xlnm.Print_Area" localSheetId="7">'Furniture analysis'!$A$1:$I$141</definedName>
    <definedName name="_xlnm.Print_Area" localSheetId="15">PLAN!$A$1:$P$43</definedName>
    <definedName name="_xlnm.Print_Area" localSheetId="4">'Rennovation BOQ'!$A$1:$M$46</definedName>
    <definedName name="_xlnm.Print_Area" localSheetId="3">'Rennovation Measurement'!$A$1:$N$315</definedName>
    <definedName name="_xlnm.Print_Area" localSheetId="13">'Sanitart Works'!$A$1:$N$40</definedName>
    <definedName name="_xlnm.Print_Area" localSheetId="16">'Septic Tank'!$A$1:$M$36</definedName>
    <definedName name="Print_Area_MI">#REF!</definedName>
    <definedName name="PRINT_AREA_MI___0">#REF!</definedName>
    <definedName name="Print_Area_MI_2">#REF!</definedName>
    <definedName name="Print_Area_MI_3">#REF!</definedName>
    <definedName name="Print_Area_MI_3_1">NA()</definedName>
    <definedName name="print_area_mi1">#REF!</definedName>
    <definedName name="Print_Area_Reset">OFFSET(Full_Print,0,0,Last_Row)</definedName>
    <definedName name="print_area2">#N/A</definedName>
    <definedName name="PRINT_PREVIEW">#REF!</definedName>
    <definedName name="Print_Tiltes">#REF!</definedName>
    <definedName name="Print_Titel">#REF!</definedName>
    <definedName name="Print_Titeles">#REF!</definedName>
    <definedName name="Print_Titels">#REF!</definedName>
    <definedName name="Print_Title">#REF!</definedName>
    <definedName name="_xlnm.Print_Titles" localSheetId="5">'AType Cottage'!$4:$4</definedName>
    <definedName name="_xlnm.Print_Titles" localSheetId="14">'Electrical Works'!$2:$2</definedName>
    <definedName name="_xlnm.Print_Titles" localSheetId="4">'Rennovation BOQ'!$2:$2</definedName>
    <definedName name="_xlnm.Print_Titles" localSheetId="13">'Sanitart Works'!$4:$4</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Form" hidden="1">#REF!</definedName>
    <definedName name="ProdPct1">#REF!</definedName>
    <definedName name="ProdPct2">#REF!</definedName>
    <definedName name="ProdPct3">#REF!</definedName>
    <definedName name="ProdPct4">#REF!</definedName>
    <definedName name="ProdPct5">#REF!</definedName>
    <definedName name="Product" hidden="1">#REF!</definedName>
    <definedName name="product_discount">#REF!</definedName>
    <definedName name="product_discount_1">#REF!</definedName>
    <definedName name="product_discount_1_1">NA()</definedName>
    <definedName name="product_discount_1_1_1">NA()</definedName>
    <definedName name="product_discount_1_8">NA()</definedName>
    <definedName name="product_discount_2">NA()</definedName>
    <definedName name="product_discount_2_1">NA()</definedName>
    <definedName name="product_discount_3">#REF!</definedName>
    <definedName name="product_discount_3_1">NA()</definedName>
    <definedName name="product_discount_3_8">NA()</definedName>
    <definedName name="product_discount_4">#REF!</definedName>
    <definedName name="product_discount_4_1">NA()</definedName>
    <definedName name="product_discount_4_1_1">NA()</definedName>
    <definedName name="product_discount_4_8">NA()</definedName>
    <definedName name="product_discount_5">#REF!</definedName>
    <definedName name="product_discount_5_1">NA()</definedName>
    <definedName name="product_discount_5_1_1">NA()</definedName>
    <definedName name="product_discount_6">#REF!</definedName>
    <definedName name="product_discount_6_1">NA()</definedName>
    <definedName name="product_discount_6_1_1">NA()</definedName>
    <definedName name="product_discount_7">#REF!</definedName>
    <definedName name="product_discount_7_1">NA()</definedName>
    <definedName name="product_discount_8">NA()</definedName>
    <definedName name="product_end">#REF!</definedName>
    <definedName name="product_end_1">#REF!</definedName>
    <definedName name="product_end_1_1">NA()</definedName>
    <definedName name="product_end_1_1_1">NA()</definedName>
    <definedName name="product_end_1_8">NA()</definedName>
    <definedName name="product_end_2">NA()</definedName>
    <definedName name="product_end_2_1">NA()</definedName>
    <definedName name="product_end_3">#REF!</definedName>
    <definedName name="product_end_3_1">NA()</definedName>
    <definedName name="product_end_3_8">NA()</definedName>
    <definedName name="product_end_4">#REF!</definedName>
    <definedName name="product_end_4_1">NA()</definedName>
    <definedName name="product_end_4_1_1">NA()</definedName>
    <definedName name="product_end_4_8">NA()</definedName>
    <definedName name="product_end_5">#REF!</definedName>
    <definedName name="product_end_5_1">NA()</definedName>
    <definedName name="product_end_5_1_1">NA()</definedName>
    <definedName name="product_end_6">#REF!</definedName>
    <definedName name="product_end_6_1">NA()</definedName>
    <definedName name="product_end_6_1_1">NA()</definedName>
    <definedName name="product_end_7">#REF!</definedName>
    <definedName name="product_end_7_1">NA()</definedName>
    <definedName name="product_end_8">NA()</definedName>
    <definedName name="product_nettotal">#REF!</definedName>
    <definedName name="product_nettotal_1">#REF!</definedName>
    <definedName name="product_nettotal_1_1">NA()</definedName>
    <definedName name="product_nettotal_1_1_1">NA()</definedName>
    <definedName name="product_nettotal_1_8">NA()</definedName>
    <definedName name="product_nettotal_2">NA()</definedName>
    <definedName name="product_nettotal_2_1">NA()</definedName>
    <definedName name="product_nettotal_3">#REF!</definedName>
    <definedName name="product_nettotal_3_1">NA()</definedName>
    <definedName name="product_nettotal_3_8">NA()</definedName>
    <definedName name="product_nettotal_4">#REF!</definedName>
    <definedName name="product_nettotal_4_1">NA()</definedName>
    <definedName name="product_nettotal_4_1_1">NA()</definedName>
    <definedName name="product_nettotal_4_8">NA()</definedName>
    <definedName name="product_nettotal_5">#REF!</definedName>
    <definedName name="product_nettotal_5_1">NA()</definedName>
    <definedName name="product_nettotal_5_1_1">NA()</definedName>
    <definedName name="product_nettotal_6">#REF!</definedName>
    <definedName name="product_nettotal_6_1">NA()</definedName>
    <definedName name="product_nettotal_6_1_1">NA()</definedName>
    <definedName name="product_nettotal_7">#REF!</definedName>
    <definedName name="product_nettotal_7_1">NA()</definedName>
    <definedName name="product_nettotal_8">NA()</definedName>
    <definedName name="product_start">#REF!</definedName>
    <definedName name="product_start_1">#REF!</definedName>
    <definedName name="product_start_1_1">NA()</definedName>
    <definedName name="product_start_1_1_1">NA()</definedName>
    <definedName name="product_start_1_8">NA()</definedName>
    <definedName name="product_start_2">NA()</definedName>
    <definedName name="product_start_2_1">NA()</definedName>
    <definedName name="product_start_3">#REF!</definedName>
    <definedName name="product_start_3_1">NA()</definedName>
    <definedName name="product_start_3_8">NA()</definedName>
    <definedName name="product_start_4">#REF!</definedName>
    <definedName name="product_start_4_1">NA()</definedName>
    <definedName name="product_start_4_1_1">NA()</definedName>
    <definedName name="product_start_4_8">NA()</definedName>
    <definedName name="product_start_5">#REF!</definedName>
    <definedName name="product_start_5_1">NA()</definedName>
    <definedName name="product_start_5_1_1">NA()</definedName>
    <definedName name="product_start_6">#REF!</definedName>
    <definedName name="product_start_6_1">NA()</definedName>
    <definedName name="product_start_6_1_1">NA()</definedName>
    <definedName name="product_start_7">#REF!</definedName>
    <definedName name="product_start_7_1">NA()</definedName>
    <definedName name="product_start_8">NA()</definedName>
    <definedName name="product_subtotal">#REF!</definedName>
    <definedName name="product_subtotal_1">#REF!</definedName>
    <definedName name="product_subtotal_1_1">NA()</definedName>
    <definedName name="product_subtotal_1_1_1">NA()</definedName>
    <definedName name="product_subtotal_1_8">NA()</definedName>
    <definedName name="product_subtotal_2">NA()</definedName>
    <definedName name="product_subtotal_2_1">NA()</definedName>
    <definedName name="product_subtotal_3">#REF!</definedName>
    <definedName name="product_subtotal_3_1">NA()</definedName>
    <definedName name="product_subtotal_3_8">NA()</definedName>
    <definedName name="product_subtotal_4">#REF!</definedName>
    <definedName name="product_subtotal_4_1">NA()</definedName>
    <definedName name="product_subtotal_4_1_1">NA()</definedName>
    <definedName name="product_subtotal_4_8">NA()</definedName>
    <definedName name="product_subtotal_5">#REF!</definedName>
    <definedName name="product_subtotal_5_1">NA()</definedName>
    <definedName name="product_subtotal_5_1_1">NA()</definedName>
    <definedName name="product_subtotal_6">#REF!</definedName>
    <definedName name="product_subtotal_6_1">NA()</definedName>
    <definedName name="product_subtotal_6_1_1">NA()</definedName>
    <definedName name="product_subtotal_7">#REF!</definedName>
    <definedName name="product_subtotal_7_1">NA()</definedName>
    <definedName name="product_subtotal_8">NA()</definedName>
    <definedName name="prof_svcs_end">#REF!</definedName>
    <definedName name="prof_svcs_end_1">#REF!</definedName>
    <definedName name="prof_svcs_end_1_1">NA()</definedName>
    <definedName name="prof_svcs_end_1_1_1">NA()</definedName>
    <definedName name="prof_svcs_end_1_8">NA()</definedName>
    <definedName name="prof_svcs_end_2">NA()</definedName>
    <definedName name="prof_svcs_end_2_1">NA()</definedName>
    <definedName name="prof_svcs_end_3">#REF!</definedName>
    <definedName name="prof_svcs_end_3_1">NA()</definedName>
    <definedName name="prof_svcs_end_3_8">NA()</definedName>
    <definedName name="prof_svcs_end_4">#REF!</definedName>
    <definedName name="prof_svcs_end_4_1">NA()</definedName>
    <definedName name="prof_svcs_end_4_1_1">NA()</definedName>
    <definedName name="prof_svcs_end_4_8">NA()</definedName>
    <definedName name="prof_svcs_end_5">#REF!</definedName>
    <definedName name="prof_svcs_end_5_1">NA()</definedName>
    <definedName name="prof_svcs_end_5_1_1">NA()</definedName>
    <definedName name="prof_svcs_end_6">#REF!</definedName>
    <definedName name="prof_svcs_end_6_1">NA()</definedName>
    <definedName name="prof_svcs_end_6_1_1">NA()</definedName>
    <definedName name="prof_svcs_end_7">#REF!</definedName>
    <definedName name="prof_svcs_end_7_1">NA()</definedName>
    <definedName name="prof_svcs_end_8">NA()</definedName>
    <definedName name="prof_svcs_start">#REF!</definedName>
    <definedName name="prof_svcs_start_1">#REF!</definedName>
    <definedName name="prof_svcs_start_1_1">NA()</definedName>
    <definedName name="prof_svcs_start_1_1_1">NA()</definedName>
    <definedName name="prof_svcs_start_1_8">NA()</definedName>
    <definedName name="prof_svcs_start_2">NA()</definedName>
    <definedName name="prof_svcs_start_2_1">NA()</definedName>
    <definedName name="prof_svcs_start_3">#REF!</definedName>
    <definedName name="prof_svcs_start_3_1">NA()</definedName>
    <definedName name="prof_svcs_start_3_8">NA()</definedName>
    <definedName name="prof_svcs_start_4">#REF!</definedName>
    <definedName name="prof_svcs_start_4_1">NA()</definedName>
    <definedName name="prof_svcs_start_4_1_1">NA()</definedName>
    <definedName name="prof_svcs_start_4_8">NA()</definedName>
    <definedName name="prof_svcs_start_5">#REF!</definedName>
    <definedName name="prof_svcs_start_5_1">NA()</definedName>
    <definedName name="prof_svcs_start_5_1_1">NA()</definedName>
    <definedName name="prof_svcs_start_6">#REF!</definedName>
    <definedName name="prof_svcs_start_6_1">NA()</definedName>
    <definedName name="prof_svcs_start_6_1_1">NA()</definedName>
    <definedName name="prof_svcs_start_7">#REF!</definedName>
    <definedName name="prof_svcs_start_7_1">NA()</definedName>
    <definedName name="prof_svcs_start_8">NA()</definedName>
    <definedName name="ProjAddress1">#REF!</definedName>
    <definedName name="ProjAddress2">#REF!</definedName>
    <definedName name="ProjCity">#REF!</definedName>
    <definedName name="ProjCountry">#REF!</definedName>
    <definedName name="ProjCounty">#REF!</definedName>
    <definedName name="project">#REF!</definedName>
    <definedName name="ProjectLocation">#REF!</definedName>
    <definedName name="ProjectName">"Test"</definedName>
    <definedName name="ProjectName1">"Test"</definedName>
    <definedName name="ProjectName2">"Test"</definedName>
    <definedName name="ProjectName3">"Test"</definedName>
    <definedName name="ProjectNumber">#REF!</definedName>
    <definedName name="ProjectSubtitle">#REF!</definedName>
    <definedName name="ProjectTitle">#REF!</definedName>
    <definedName name="ProjName">#REF!</definedName>
    <definedName name="ProjNum">#REF!</definedName>
    <definedName name="ProjPostal">#REF!</definedName>
    <definedName name="ProjState">#REF!</definedName>
    <definedName name="Prop_2m">#REF!</definedName>
    <definedName name="PROVI">#REF!</definedName>
    <definedName name="PRSanctions">#REF!</definedName>
    <definedName name="PRWSEP05">#REF!</definedName>
    <definedName name="PS">#REF!</definedName>
    <definedName name="PS___0">#REF!</definedName>
    <definedName name="PS___13">#REF!</definedName>
    <definedName name="ps_app">#REF!</definedName>
    <definedName name="ps_est">#REF!</definedName>
    <definedName name="ps_max">#REF!</definedName>
    <definedName name="ps_paid">#REF!</definedName>
    <definedName name="ps_quo">#REF!</definedName>
    <definedName name="ps_rec">#REF!</definedName>
    <definedName name="PSABillingMethod">#REF!</definedName>
    <definedName name="PSNOTE1">#REF!</definedName>
    <definedName name="PSNOTE1_1">#REF!</definedName>
    <definedName name="PSNOTE1_1_1">NA()</definedName>
    <definedName name="PSNOTE1_1_1_1">NA()</definedName>
    <definedName name="PSNOTE1_1_8">NA()</definedName>
    <definedName name="PSNOTE1_2">NA()</definedName>
    <definedName name="PSNOTE1_2_1">NA()</definedName>
    <definedName name="PSNOTE1_3">#REF!</definedName>
    <definedName name="PSNOTE1_3_1">NA()</definedName>
    <definedName name="PSNOTE1_3_8">NA()</definedName>
    <definedName name="PSNOTE1_4">#REF!</definedName>
    <definedName name="PSNOTE1_4_1">NA()</definedName>
    <definedName name="PSNOTE1_4_1_1">NA()</definedName>
    <definedName name="PSNOTE1_4_8">NA()</definedName>
    <definedName name="PSNOTE1_5">#REF!</definedName>
    <definedName name="PSNOTE1_5_1">NA()</definedName>
    <definedName name="PSNOTE1_5_1_1">NA()</definedName>
    <definedName name="PSNOTE1_6">#REF!</definedName>
    <definedName name="PSNOTE1_6_1">NA()</definedName>
    <definedName name="PSNOTE1_6_1_1">NA()</definedName>
    <definedName name="PSNOTE1_7">#REF!</definedName>
    <definedName name="PSNOTE1_7_1">NA()</definedName>
    <definedName name="PSNOTE1_8">NA()</definedName>
    <definedName name="PSNOTE2">#REF!</definedName>
    <definedName name="PSNOTE2_1">#REF!</definedName>
    <definedName name="PSNOTE2_1_1">NA()</definedName>
    <definedName name="PSNOTE2_1_1_1">NA()</definedName>
    <definedName name="PSNOTE2_1_8">NA()</definedName>
    <definedName name="PSNOTE2_2">NA()</definedName>
    <definedName name="PSNOTE2_2_1">NA()</definedName>
    <definedName name="PSNOTE2_3">#REF!</definedName>
    <definedName name="PSNOTE2_3_1">NA()</definedName>
    <definedName name="PSNOTE2_3_8">NA()</definedName>
    <definedName name="PSNOTE2_4">#REF!</definedName>
    <definedName name="PSNOTE2_4_1">NA()</definedName>
    <definedName name="PSNOTE2_4_1_1">NA()</definedName>
    <definedName name="PSNOTE2_4_8">NA()</definedName>
    <definedName name="PSNOTE2_5">#REF!</definedName>
    <definedName name="PSNOTE2_5_1">NA()</definedName>
    <definedName name="PSNOTE2_5_1_1">NA()</definedName>
    <definedName name="PSNOTE2_6">#REF!</definedName>
    <definedName name="PSNOTE2_6_1">NA()</definedName>
    <definedName name="PSNOTE2_6_1_1">NA()</definedName>
    <definedName name="PSNOTE2_7">#REF!</definedName>
    <definedName name="PSNOTE2_7_1">NA()</definedName>
    <definedName name="PSNOTE2_8">NA()</definedName>
    <definedName name="PSNOTE3">#REF!</definedName>
    <definedName name="PSNOTE3_1">#REF!</definedName>
    <definedName name="PSNOTE3_1_1">NA()</definedName>
    <definedName name="PSNOTE3_1_1_1">NA()</definedName>
    <definedName name="PSNOTE3_1_8">NA()</definedName>
    <definedName name="PSNOTE3_2">NA()</definedName>
    <definedName name="PSNOTE3_2_1">NA()</definedName>
    <definedName name="PSNOTE3_3">#REF!</definedName>
    <definedName name="PSNOTE3_3_1">NA()</definedName>
    <definedName name="PSNOTE3_3_8">NA()</definedName>
    <definedName name="PSNOTE3_4">#REF!</definedName>
    <definedName name="PSNOTE3_4_1">NA()</definedName>
    <definedName name="PSNOTE3_4_1_1">NA()</definedName>
    <definedName name="PSNOTE3_4_8">NA()</definedName>
    <definedName name="PSNOTE3_5">#REF!</definedName>
    <definedName name="PSNOTE3_5_1">NA()</definedName>
    <definedName name="PSNOTE3_5_1_1">NA()</definedName>
    <definedName name="PSNOTE3_6">#REF!</definedName>
    <definedName name="PSNOTE3_6_1">NA()</definedName>
    <definedName name="PSNOTE3_6_1_1">NA()</definedName>
    <definedName name="PSNOTE3_7">#REF!</definedName>
    <definedName name="PSNOTE3_7_1">NA()</definedName>
    <definedName name="PSNOTE3_8">NA()</definedName>
    <definedName name="pss">#REF!</definedName>
    <definedName name="Ptroller">#REF!</definedName>
    <definedName name="Pugmill">#REF!</definedName>
    <definedName name="Pumping_Charge">#REF!</definedName>
    <definedName name="Punha" hidden="1">#REF!</definedName>
    <definedName name="pvcpipe100">#REF!</definedName>
    <definedName name="pvcpipe150">#REF!</definedName>
    <definedName name="pvcpipe50">#REF!</definedName>
    <definedName name="pvf">#REF!</definedName>
    <definedName name="pwd">#REF!</definedName>
    <definedName name="pwr">{#N/A,#N/A,TRUE,"Front";#N/A,#N/A,TRUE,"Simple Letter";#N/A,#N/A,TRUE,"Inside";#N/A,#N/A,TRUE,"Contents";#N/A,#N/A,TRUE,"Basis";#N/A,#N/A,TRUE,"Inclusions";#N/A,#N/A,TRUE,"Exclusions";#N/A,#N/A,TRUE,"Areas";#N/A,#N/A,TRUE,"Summary";#N/A,#N/A,TRUE,"Detail"}</definedName>
    <definedName name="P행">#REF!</definedName>
    <definedName name="Q">#REF!</definedName>
    <definedName name="Q_BkSoling1m">#REF!</definedName>
    <definedName name="Q_BOEdismantle">#REF!</definedName>
    <definedName name="Q_WBMdismantle">#REF!</definedName>
    <definedName name="Q1Q">#REF!</definedName>
    <definedName name="qap" hidden="1">{"'Typical Costs Estimates'!$C$158:$H$161"}</definedName>
    <definedName name="QB">[7]DATA!$F$40</definedName>
    <definedName name="Qc">#REF!</definedName>
    <definedName name="Qc___0">#REF!</definedName>
    <definedName name="Qc___13">#REF!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#REF!</definedName>
    <definedName name="qqq">#N/A</definedName>
    <definedName name="qry6mm">#REF!</definedName>
    <definedName name="qryBinding">#REF!</definedName>
    <definedName name="qryCS">#REF!</definedName>
    <definedName name="QS">[7]DATA!$F$37</definedName>
    <definedName name="Qspan">#REF!</definedName>
    <definedName name="qtiu">#REF!</definedName>
    <definedName name="qtr">#REF!</definedName>
    <definedName name="qttty" hidden="1">{#N/A,#N/A,TRUE,"Front";#N/A,#N/A,TRUE,"Simple Letter";#N/A,#N/A,TRUE,"Inside";#N/A,#N/A,TRUE,"Contents";#N/A,#N/A,TRUE,"Basis";#N/A,#N/A,TRUE,"Inclusions";#N/A,#N/A,TRUE,"Exclusions";#N/A,#N/A,TRUE,"Areas";#N/A,#N/A,TRUE,"Summary";#N/A,#N/A,TRUE,"Detail"}</definedName>
    <definedName name="quantity">#REF!</definedName>
    <definedName name="QuarryCS">#REF!</definedName>
    <definedName name="QuarryRBM">#REF!</definedName>
    <definedName name="QuarryStDust">#REF!</definedName>
    <definedName name="quarter_1">#REF!</definedName>
    <definedName name="quarter_2">#REF!</definedName>
    <definedName name="quarter_3">#REF!</definedName>
    <definedName name="quarter_4">#REF!</definedName>
    <definedName name="quarterly_report">#REF!</definedName>
    <definedName name="quote_date">#REF!</definedName>
    <definedName name="quote_date_1">#REF!</definedName>
    <definedName name="quote_date_1_1">NA()</definedName>
    <definedName name="quote_date_1_1_1">NA()</definedName>
    <definedName name="quote_date_1_8">NA()</definedName>
    <definedName name="quote_date_2">NA()</definedName>
    <definedName name="quote_date_2_1">NA()</definedName>
    <definedName name="quote_date_3">#REF!</definedName>
    <definedName name="quote_date_3_1">NA()</definedName>
    <definedName name="quote_date_3_8">NA()</definedName>
    <definedName name="quote_date_4">#REF!</definedName>
    <definedName name="quote_date_4_1">NA()</definedName>
    <definedName name="quote_date_4_1_1">NA()</definedName>
    <definedName name="quote_date_4_8">NA()</definedName>
    <definedName name="quote_date_5">#REF!</definedName>
    <definedName name="quote_date_5_1">NA()</definedName>
    <definedName name="quote_date_5_1_1">NA()</definedName>
    <definedName name="quote_date_6">#REF!</definedName>
    <definedName name="quote_date_6_1">NA()</definedName>
    <definedName name="quote_date_6_1_1">NA()</definedName>
    <definedName name="quote_date_7">#REF!</definedName>
    <definedName name="quote_date_7_1">NA()</definedName>
    <definedName name="quote_date_8">NA()</definedName>
    <definedName name="QW">[13]DATA!$H$63</definedName>
    <definedName name="qwe" hidden="1">{#N/A,#N/A,TRUE,"Front";#N/A,#N/A,TRUE,"Simple Letter";#N/A,#N/A,TRUE,"Inside";#N/A,#N/A,TRUE,"Contents";#N/A,#N/A,TRUE,"Basis";#N/A,#N/A,TRUE,"Inclusions";#N/A,#N/A,TRUE,"Exclusions";#N/A,#N/A,TRUE,"Areas";#N/A,#N/A,TRUE,"Summary";#N/A,#N/A,TRUE,"Detail"}</definedName>
    <definedName name="qwertyu" hidden="1">{#N/A,#N/A,TRUE,"Front";#N/A,#N/A,TRUE,"Simple Letter";#N/A,#N/A,TRUE,"Inside";#N/A,#N/A,TRUE,"Contents";#N/A,#N/A,TRUE,"Basis";#N/A,#N/A,TRUE,"Inclusions";#N/A,#N/A,TRUE,"Exclusions";#N/A,#N/A,TRUE,"Areas";#N/A,#N/A,TRUE,"Summary";#N/A,#N/A,TRUE,"Detail"}</definedName>
    <definedName name="qwr">{#N/A,#N/A,TRUE,"Front";#N/A,#N/A,TRUE,"Simple Letter";#N/A,#N/A,TRUE,"Inside";#N/A,#N/A,TRUE,"Contents";#N/A,#N/A,TRUE,"Basis";#N/A,#N/A,TRUE,"Inclusions";#N/A,#N/A,TRUE,"Exclusions";#N/A,#N/A,TRUE,"Areas";#N/A,#N/A,TRUE,"Summary";#N/A,#N/A,TRUE,"Detail"}</definedName>
    <definedName name="Q행">#REF!</definedName>
    <definedName name="r.1">#REF!</definedName>
    <definedName name="R_">#REF!</definedName>
    <definedName name="ra">#REF!</definedName>
    <definedName name="radha">#REF!</definedName>
    <definedName name="Raj" hidden="1">{"'Sheet1'!$A$4386:$N$4591"}</definedName>
    <definedName name="raja">#REF!</definedName>
    <definedName name="Rajesh">#REF!</definedName>
    <definedName name="Rajnagar_Marble">#REF!</definedName>
    <definedName name="raju">#REF!</definedName>
    <definedName name="rama">[43]cal!#REF!</definedName>
    <definedName name="Ramkola">#REF!</definedName>
    <definedName name="Rampura">#REF!</definedName>
    <definedName name="range" hidden="1">[10]SCHEDULE!$AJ$10:$AJ$32</definedName>
    <definedName name="range1">#REF!</definedName>
    <definedName name="range11">#REF!</definedName>
    <definedName name="range2">#REF!</definedName>
    <definedName name="RANGE21">#REF!</definedName>
    <definedName name="range3">#REF!</definedName>
    <definedName name="Ranjit">#REF!</definedName>
    <definedName name="rar">{"Book1","Bhabuwa to Pindarn Link  Road (1 Km).xls","Gujeni  Link  Road (2 Km).xls"}</definedName>
    <definedName name="rare">#REF!</definedName>
    <definedName name="rateG2COMP">#REF!</definedName>
    <definedName name="Ratna_A_Border">#REF!</definedName>
    <definedName name="Ratna_A_dark_base">#REF!</definedName>
    <definedName name="Ratna_A_Floor">#REF!</definedName>
    <definedName name="Ratna_A_Highlighter">#REF!</definedName>
    <definedName name="Ratna_A_light_base">#REF!</definedName>
    <definedName name="Ratna_Ezio_C_Border">#REF!</definedName>
    <definedName name="Ratna_Ezio_C_dark_base">#REF!</definedName>
    <definedName name="Ratna_Ezio_C_Floor">#REF!</definedName>
    <definedName name="Ratna_Ezio_C_Highlighter">#REF!</definedName>
    <definedName name="Ratna_Ezio_C_light_base">#REF!</definedName>
    <definedName name="Ratna_Sireno_A_Border">#REF!</definedName>
    <definedName name="Ratna_Sireno_A_dark_base">#REF!</definedName>
    <definedName name="Ratna_Sireno_A_Floor">#REF!</definedName>
    <definedName name="Ratna_Sireno_A_Highlighter">#REF!</definedName>
    <definedName name="Ratna_Sireno_A_light_base">#REF!</definedName>
    <definedName name="RATNAGIRI">#REF!</definedName>
    <definedName name="RATS">#REF!</definedName>
    <definedName name="rav">{"Book1","Bhabuwa to Pindarn Link  Road (1 Km).xls","Gujeni  Link  Road (2 Km).xls"}</definedName>
    <definedName name="ravi" hidden="1">{#N/A,#N/A,TRUE,"Front";#N/A,#N/A,TRUE,"Simple Letter";#N/A,#N/A,TRUE,"Inside";#N/A,#N/A,TRUE,"Contents";#N/A,#N/A,TRUE,"Basis";#N/A,#N/A,TRUE,"Inclusions";#N/A,#N/A,TRUE,"Exclusions";#N/A,#N/A,TRUE,"Areas";#N/A,#N/A,TRUE,"Summary";#N/A,#N/A,TRUE,"Detail"}</definedName>
    <definedName name="ravikabt">#REF!</definedName>
    <definedName name="ravikant">#REF!</definedName>
    <definedName name="ravt" hidden="1">#REF!</definedName>
    <definedName name="ravu">#REF!</definedName>
    <definedName name="rb">#REF!</definedName>
    <definedName name="RCArea" hidden="1">#REF!</definedName>
    <definedName name="rcc">#REF!</definedName>
    <definedName name="rcc_columns">#REF!</definedName>
    <definedName name="rccm20pcc">#REF!</definedName>
    <definedName name="rccm30pcc">#REF!</definedName>
    <definedName name="rcwbgl">#REF!</definedName>
    <definedName name="rcwbgl2">#REF!</definedName>
    <definedName name="rd">#REF!</definedName>
    <definedName name="rdtd">#N/A</definedName>
    <definedName name="Re">#REF!</definedName>
    <definedName name="Re___0">#REF!</definedName>
    <definedName name="Re___13">#REF!</definedName>
    <definedName name="re_13">#REF!</definedName>
    <definedName name="re_14">#REF!</definedName>
    <definedName name="re_15">#REF!</definedName>
    <definedName name="re_16">#REF!</definedName>
    <definedName name="re_17">#REF!</definedName>
    <definedName name="re_19">#REF!</definedName>
    <definedName name="re_20">#REF!</definedName>
    <definedName name="re_23">#REF!</definedName>
    <definedName name="re_3">#REF!</definedName>
    <definedName name="ReaderWiegand">'[24]ACS(1)'!#REF!</definedName>
    <definedName name="_xlnm.Recorder">#REF!</definedName>
    <definedName name="RECOUT">#N/A</definedName>
    <definedName name="rectangle26">#REF!</definedName>
    <definedName name="red">#REF!</definedName>
    <definedName name="reerer">#REF!</definedName>
    <definedName name="ref">#REF!</definedName>
    <definedName name="Ref._No.____17169_GA_2006">"range4"</definedName>
    <definedName name="Ref__No_____17169_GA_2006">"range4"</definedName>
    <definedName name="RefDwg">#N/A</definedName>
    <definedName name="Reflected_interlocking_80">#REF!</definedName>
    <definedName name="region_type">#REF!</definedName>
    <definedName name="region_type_1">#REF!</definedName>
    <definedName name="region_type_1_1">NA()</definedName>
    <definedName name="region_type_1_1_1">NA()</definedName>
    <definedName name="region_type_1_8">NA()</definedName>
    <definedName name="region_type_2">NA()</definedName>
    <definedName name="region_type_2_1">NA()</definedName>
    <definedName name="region_type_3">#REF!</definedName>
    <definedName name="region_type_3_1">NA()</definedName>
    <definedName name="region_type_3_8">NA()</definedName>
    <definedName name="region_type_4">#REF!</definedName>
    <definedName name="region_type_4_1">NA()</definedName>
    <definedName name="region_type_4_1_1">NA()</definedName>
    <definedName name="region_type_4_8">NA()</definedName>
    <definedName name="region_type_5">#REF!</definedName>
    <definedName name="region_type_5_1">NA()</definedName>
    <definedName name="region_type_5_1_1">NA()</definedName>
    <definedName name="region_type_6">#REF!</definedName>
    <definedName name="region_type_6_1">NA()</definedName>
    <definedName name="region_type_6_1_1">NA()</definedName>
    <definedName name="region_type_7">#REF!</definedName>
    <definedName name="region_type_7_1">NA()</definedName>
    <definedName name="region_type_8">NA()</definedName>
    <definedName name="REGULAR_STAFF">#REF!</definedName>
    <definedName name="REGULATOR">#REF!</definedName>
    <definedName name="rel">#REF!</definedName>
    <definedName name="rel_1">NA()</definedName>
    <definedName name="rel_2">NA()</definedName>
    <definedName name="rel_4">#N/A</definedName>
    <definedName name="repeat">#REF!</definedName>
    <definedName name="report">#REF!</definedName>
    <definedName name="report2" hidden="1">{#N/A,#N/A,TRUE,"Front";#N/A,#N/A,TRUE,"Simple Letter";#N/A,#N/A,TRUE,"Inside";#N/A,#N/A,TRUE,"Contents";#N/A,#N/A,TRUE,"Basis";#N/A,#N/A,TRUE,"Inclusions";#N/A,#N/A,TRUE,"Exclusions";#N/A,#N/A,TRUE,"Areas";#N/A,#N/A,TRUE,"Summary";#N/A,#N/A,TRUE,"Detail"}</definedName>
    <definedName name="request_delivery">#REF!</definedName>
    <definedName name="request_delivery_1">#REF!</definedName>
    <definedName name="request_delivery_1_1">NA()</definedName>
    <definedName name="request_delivery_1_1_1">NA()</definedName>
    <definedName name="request_delivery_1_8">NA()</definedName>
    <definedName name="request_delivery_2">NA()</definedName>
    <definedName name="request_delivery_2_1">NA()</definedName>
    <definedName name="request_delivery_3">#REF!</definedName>
    <definedName name="request_delivery_3_1">NA()</definedName>
    <definedName name="request_delivery_3_8">NA()</definedName>
    <definedName name="request_delivery_4">#REF!</definedName>
    <definedName name="request_delivery_4_1">NA()</definedName>
    <definedName name="request_delivery_4_1_1">NA()</definedName>
    <definedName name="request_delivery_4_8">NA()</definedName>
    <definedName name="request_delivery_5">#REF!</definedName>
    <definedName name="request_delivery_5_1">NA()</definedName>
    <definedName name="request_delivery_5_1_1">NA()</definedName>
    <definedName name="request_delivery_6">#REF!</definedName>
    <definedName name="request_delivery_6_1">NA()</definedName>
    <definedName name="request_delivery_6_1_1">NA()</definedName>
    <definedName name="request_delivery_7">#REF!</definedName>
    <definedName name="request_delivery_7_1">NA()</definedName>
    <definedName name="request_delivery_8">NA()</definedName>
    <definedName name="retaining">#REF!</definedName>
    <definedName name="return">[44]Sheet2!$P$2:$P$5</definedName>
    <definedName name="Rev">#REF!</definedName>
    <definedName name="Rev_1">NA()</definedName>
    <definedName name="Rev_2">NA()</definedName>
    <definedName name="Rev_4">#N/A</definedName>
    <definedName name="Revision">#REF!</definedName>
    <definedName name="rgrgrg">#REF!</definedName>
    <definedName name="rhd">#REF!</definedName>
    <definedName name="rig">#REF!</definedName>
    <definedName name="rig_1">NA()</definedName>
    <definedName name="rig_2">NA()</definedName>
    <definedName name="rig_4">#N/A</definedName>
    <definedName name="rimc">#REF!</definedName>
    <definedName name="Rising_Design">'[45]Rising Main'!$C$1:$E$28</definedName>
    <definedName name="Rl">#REF!</definedName>
    <definedName name="Rl___0">#REF!</definedName>
    <definedName name="Rl___13">#REF!</definedName>
    <definedName name="rm4e">"$#REF!.$#REF!$#REF!"</definedName>
    <definedName name="RMC">#REF!</definedName>
    <definedName name="RMC_Production_cost">#REF!</definedName>
    <definedName name="rmcm15">#REF!</definedName>
    <definedName name="rmcm25">#REF!</definedName>
    <definedName name="rmcm30">#REF!</definedName>
    <definedName name="rmcm35">#REF!</definedName>
    <definedName name="rmcm40">#REF!</definedName>
    <definedName name="rmcm5">#REF!</definedName>
    <definedName name="rmcm7.5">#REF!</definedName>
    <definedName name="RMR_Briks150_Km3">#REF!</definedName>
    <definedName name="rngwng2">#REF!</definedName>
    <definedName name="rngwng3">#REF!</definedName>
    <definedName name="rngwng4">#REF!</definedName>
    <definedName name="rngwng5">#REF!</definedName>
    <definedName name="rngwng6">#REF!</definedName>
    <definedName name="road">#REF!</definedName>
    <definedName name="roadexcavation1pcc">#REF!</definedName>
    <definedName name="roadway">#REF!</definedName>
    <definedName name="robot">#REF!</definedName>
    <definedName name="robot_1">NA()</definedName>
    <definedName name="robot_2">NA()</definedName>
    <definedName name="robot_4">#N/A</definedName>
    <definedName name="ROBR">#REF!</definedName>
    <definedName name="Rodbinder">#REF!</definedName>
    <definedName name="ROEX">#REF!</definedName>
    <definedName name="ROHO">#REF!</definedName>
    <definedName name="roll">#REF!</definedName>
    <definedName name="roller">#REF!</definedName>
    <definedName name="rope">#REF!</definedName>
    <definedName name="rose">#N/A</definedName>
    <definedName name="rosid">#REF!</definedName>
    <definedName name="rosid_1">NA()</definedName>
    <definedName name="rosid_2">NA()</definedName>
    <definedName name="rosid_4">#N/A</definedName>
    <definedName name="rotavator">#REF!</definedName>
    <definedName name="roughstone">#REF!</definedName>
    <definedName name="rowgul">#REF!</definedName>
    <definedName name="rowhp1">#REF!</definedName>
    <definedName name="rowhp2">#REF!</definedName>
    <definedName name="rowhp3">#REF!</definedName>
    <definedName name="rp" hidden="1">{"'Sheet1'!$A$4386:$N$4591"}</definedName>
    <definedName name="rr">#REF!</definedName>
    <definedName name="rrcost">#N/A</definedName>
    <definedName name="rrr">#REF!</definedName>
    <definedName name="rrrr">#REF!</definedName>
    <definedName name="RRRRRRRRRR">#REF!</definedName>
    <definedName name="rrrrrrrrrrrrrrrr">#REF!</definedName>
    <definedName name="Rs">#REF!</definedName>
    <definedName name="Rs___0">#REF!</definedName>
    <definedName name="Rs___13">#REF!</definedName>
    <definedName name="Rse">#REF!</definedName>
    <definedName name="Rse___0">#REF!</definedName>
    <definedName name="Rse___13">#REF!</definedName>
    <definedName name="rt">#REF!</definedName>
    <definedName name="rt_EWCart">#REF!</definedName>
    <definedName name="rt_Udrain">#REF!</definedName>
    <definedName name="rt1622mm">#REF!</definedName>
    <definedName name="rt2.6mm">#REF!</definedName>
    <definedName name="rt2560Kg">#REF!</definedName>
    <definedName name="rt5.6mm">#REF!</definedName>
    <definedName name="rt6mm">#REF!</definedName>
    <definedName name="rtBinding">#REF!</definedName>
    <definedName name="rtBricsIstclass">#REF!</definedName>
    <definedName name="rtCementTonne">#REF!</definedName>
    <definedName name="rtcmt">#REF!</definedName>
    <definedName name="rtcmtO">#REF!</definedName>
    <definedName name="rtConcrete">#REF!</definedName>
    <definedName name="rtCRMB">#REF!</definedName>
    <definedName name="rtDismantleBOE">#REF!</definedName>
    <definedName name="rtdismantleBT">#REF!</definedName>
    <definedName name="rtDismantleWBM">#REF!</definedName>
    <definedName name="rtEW_Cart">#REF!</definedName>
    <definedName name="rtEWcart">#REF!</definedName>
    <definedName name="rtEWex">#REF!</definedName>
    <definedName name="rtEWExec">#REF!</definedName>
    <definedName name="rtFilter">#REF!</definedName>
    <definedName name="rtHP">#REF!</definedName>
    <definedName name="rtInterlockingTiles">#REF!</definedName>
    <definedName name="rtKC_drain">#REF!</definedName>
    <definedName name="rtKCDrain">#REF!</definedName>
    <definedName name="rtNP31000mm">#REF!</definedName>
    <definedName name="rtNP3300mm">#REF!</definedName>
    <definedName name="rtNP3450mm">#REF!</definedName>
    <definedName name="rtPre">#REF!</definedName>
    <definedName name="rtt">#REF!</definedName>
    <definedName name="rttt">#REF!</definedName>
    <definedName name="rty">#N/A</definedName>
    <definedName name="R행">#REF!</definedName>
    <definedName name="S">#REF!</definedName>
    <definedName name="S0">#REF!</definedName>
    <definedName name="S1_">#REF!</definedName>
    <definedName name="S2_">#REF!</definedName>
    <definedName name="Sa">#REF!</definedName>
    <definedName name="sa_12">#REF!</definedName>
    <definedName name="sa_13">#REF!</definedName>
    <definedName name="sa_14">#REF!</definedName>
    <definedName name="sa_15">#REF!</definedName>
    <definedName name="sa_16">#REF!</definedName>
    <definedName name="sa_17">#REF!</definedName>
    <definedName name="sa_19">#REF!</definedName>
    <definedName name="sa_20">#REF!</definedName>
    <definedName name="sa_21">#REF!</definedName>
    <definedName name="sa_23">#REF!</definedName>
    <definedName name="sa_3">#REF!</definedName>
    <definedName name="SAD">#REF!</definedName>
    <definedName name="SADASDSAD">#REF!</definedName>
    <definedName name="Safeda_Balli">#REF!</definedName>
    <definedName name="sah">#REF!</definedName>
    <definedName name="sak">#REF!</definedName>
    <definedName name="SALARY">#REF!</definedName>
    <definedName name="salballies">#REF!</definedName>
    <definedName name="SalesMgr">#REF!</definedName>
    <definedName name="SALESNO">[46]Sheet1!$A$20:$A$25</definedName>
    <definedName name="samp">#REF!</definedName>
    <definedName name="SAN">'[14]CIVIL WORK'!#REF!</definedName>
    <definedName name="sand">#REF!</definedName>
    <definedName name="Sand_13">#REF!</definedName>
    <definedName name="Sand_14">#REF!</definedName>
    <definedName name="Sand_15">#REF!</definedName>
    <definedName name="Sand_16">#REF!</definedName>
    <definedName name="Sand_17">#REF!</definedName>
    <definedName name="Sand_19">#REF!</definedName>
    <definedName name="Sand_20">#REF!</definedName>
    <definedName name="Sand_21">#REF!</definedName>
    <definedName name="Sand_23">#REF!</definedName>
    <definedName name="Sand_3">#REF!</definedName>
    <definedName name="sandfill">#REF!</definedName>
    <definedName name="sandfilling">#REF!</definedName>
    <definedName name="sandfillingO">#REF!</definedName>
    <definedName name="sandlead">#REF!</definedName>
    <definedName name="Sanitary">#REF!</definedName>
    <definedName name="SANJAY">#REF!</definedName>
    <definedName name="SARAVANAN">#REF!</definedName>
    <definedName name="sarkna">#REF!</definedName>
    <definedName name="sasasa">#REF!</definedName>
    <definedName name="saucomd">#N/A</definedName>
    <definedName name="saucstf">#N/A</definedName>
    <definedName name="saud">#REF!</definedName>
    <definedName name="saudirf">#N/A</definedName>
    <definedName name="sauf">#REF!</definedName>
    <definedName name="sauif">#REF!</definedName>
    <definedName name="sauspad">#N/A</definedName>
    <definedName name="sausysd">#N/A</definedName>
    <definedName name="sb11.2">#REF!</definedName>
    <definedName name="sb13.2">#REF!</definedName>
    <definedName name="sb2.36">#REF!</definedName>
    <definedName name="sb22.453">#REF!</definedName>
    <definedName name="SB2550Kabrai">#REF!</definedName>
    <definedName name="SB2550Lal">#REF!</definedName>
    <definedName name="SB4563Kabrai">#REF!</definedName>
    <definedName name="SB4563Lal">#REF!</definedName>
    <definedName name="sb6.7">#REF!</definedName>
    <definedName name="SBB">[7]DESIGN!$G$73</definedName>
    <definedName name="Sbe">#REF!</definedName>
    <definedName name="sboulder">#REF!</definedName>
    <definedName name="SBT">[7]DESIGN!$G$95</definedName>
    <definedName name="SC">#REF!</definedName>
    <definedName name="SC_1">#REF!</definedName>
    <definedName name="SC_1_1">NA()</definedName>
    <definedName name="SC_1_1_1">NA()</definedName>
    <definedName name="SC_1_8">NA()</definedName>
    <definedName name="sc_12">#REF!</definedName>
    <definedName name="sc_13">#REF!</definedName>
    <definedName name="sc_15">#REF!</definedName>
    <definedName name="sc_16">#REF!</definedName>
    <definedName name="sc_17">#REF!</definedName>
    <definedName name="SC_2">NA()</definedName>
    <definedName name="SC_2_1">NA()</definedName>
    <definedName name="SC_3">#REF!</definedName>
    <definedName name="SC_3_1">NA()</definedName>
    <definedName name="SC_3_8">NA()</definedName>
    <definedName name="SC_4">#REF!</definedName>
    <definedName name="SC_4_1">NA()</definedName>
    <definedName name="SC_4_1_1">NA()</definedName>
    <definedName name="SC_4_8">NA()</definedName>
    <definedName name="SC_5">#REF!</definedName>
    <definedName name="SC_5_1">NA()</definedName>
    <definedName name="SC_5_1_1">NA()</definedName>
    <definedName name="SC_6">#REF!</definedName>
    <definedName name="SC_6_1">NA()</definedName>
    <definedName name="SC_6_1_1">NA()</definedName>
    <definedName name="SC_7">#REF!</definedName>
    <definedName name="SC_7_1">NA()</definedName>
    <definedName name="SC_8">NA()</definedName>
    <definedName name="Scaffolding">#REF!</definedName>
    <definedName name="SCC">#REF!</definedName>
    <definedName name="SCD">#REF!</definedName>
    <definedName name="SCE">#REF!</definedName>
    <definedName name="SCED">#REF!</definedName>
    <definedName name="Sched_Pay">#REF!</definedName>
    <definedName name="schedule.nos" hidden="1">'[8]schedule nos'!$A$1:$A$99</definedName>
    <definedName name="Scheduled_Extra_Payments">#REF!</definedName>
    <definedName name="Scheduled_Interest_Rate">#REF!</definedName>
    <definedName name="Scheduled_Monthly_Payment">#REF!</definedName>
    <definedName name="scheduleType">"valve"</definedName>
    <definedName name="schools">#REF!</definedName>
    <definedName name="scope_non_jc">#REF!</definedName>
    <definedName name="SCOPE1">[46]Sheet1!$A$1:$A$8</definedName>
    <definedName name="scraper">#REF!</definedName>
    <definedName name="sd" hidden="1">{#N/A,#N/A,TRUE,"Front";#N/A,#N/A,TRUE,"Simple Letter";#N/A,#N/A,TRUE,"Inside";#N/A,#N/A,TRUE,"Contents";#N/A,#N/A,TRUE,"Basis";#N/A,#N/A,TRUE,"Inclusions";#N/A,#N/A,TRUE,"Exclusions";#N/A,#N/A,TRUE,"Areas";#N/A,#N/A,TRUE,"Summary";#N/A,#N/A,TRUE,"Detail"}</definedName>
    <definedName name="sd1_3">#REF!</definedName>
    <definedName name="sd10_3">#REF!</definedName>
    <definedName name="sd11_3">#REF!</definedName>
    <definedName name="sd12_3">#REF!</definedName>
    <definedName name="sd13_3">#REF!</definedName>
    <definedName name="sd14_3">#REF!</definedName>
    <definedName name="sd2_3">#REF!</definedName>
    <definedName name="sd3_3">#REF!</definedName>
    <definedName name="sd4_13">#REF!</definedName>
    <definedName name="sd4_14">#REF!</definedName>
    <definedName name="sd4_15">#REF!</definedName>
    <definedName name="sd4_16">#REF!</definedName>
    <definedName name="sd4_17">#REF!</definedName>
    <definedName name="sd4_18">#REF!</definedName>
    <definedName name="sd4_19">#REF!</definedName>
    <definedName name="sd4_20">#REF!</definedName>
    <definedName name="sd4_23">#REF!</definedName>
    <definedName name="sd4_3">#REF!</definedName>
    <definedName name="sd5_3">#REF!</definedName>
    <definedName name="sd6_3">#REF!</definedName>
    <definedName name="sd7_3">#REF!</definedName>
    <definedName name="sd8_3">#REF!</definedName>
    <definedName name="sd9_3">#REF!</definedName>
    <definedName name="Sdate">#REF!</definedName>
    <definedName name="Sdate_1">NA()</definedName>
    <definedName name="Sdate_2">NA()</definedName>
    <definedName name="Sdate_4">#N/A</definedName>
    <definedName name="sdbcc" hidden="1">#REF!</definedName>
    <definedName name="sdcsxcvs" hidden="1">{"'Typical Costs Estimates'!$C$158:$H$161"}</definedName>
    <definedName name="sdd" hidden="1">{#N/A,#N/A,TRUE,"Front";#N/A,#N/A,TRUE,"Simple Letter";#N/A,#N/A,TRUE,"Inside";#N/A,#N/A,TRUE,"Contents";#N/A,#N/A,TRUE,"Basis";#N/A,#N/A,TRUE,"Inclusions";#N/A,#N/A,TRUE,"Exclusions";#N/A,#N/A,TRUE,"Areas";#N/A,#N/A,TRUE,"Summary";#N/A,#N/A,TRUE,"Detail"}</definedName>
    <definedName name="SDF">#REF!</definedName>
    <definedName name="sdfasd">#REF!</definedName>
    <definedName name="sdfg" hidden="1">[4]Cash2!$J$16:$J$36</definedName>
    <definedName name="sdfs" hidden="1">#REF!</definedName>
    <definedName name="sdkljh">#REF!</definedName>
    <definedName name="sdpl">#REF!</definedName>
    <definedName name="SDPLBS">#REF!</definedName>
    <definedName name="SDPLFA">#REF!</definedName>
    <definedName name="SDPLPL">#REF!</definedName>
    <definedName name="sdsd">#REF!</definedName>
    <definedName name="se">#REF!</definedName>
    <definedName name="SEATING">#REF!</definedName>
    <definedName name="sec_deposit">#REF!</definedName>
    <definedName name="SECTION">#REF!</definedName>
    <definedName name="Section_1_Title">#REF!</definedName>
    <definedName name="Section_2_Title">#REF!</definedName>
    <definedName name="Section_3_Title">#REF!</definedName>
    <definedName name="Section_4_Title">#REF!</definedName>
    <definedName name="Section_5_Title">#REF!</definedName>
    <definedName name="Section_6_Title">#REF!</definedName>
    <definedName name="Section_7_Title">#REF!</definedName>
    <definedName name="Section_8_Title">#REF!</definedName>
    <definedName name="secured">#REF!</definedName>
    <definedName name="sef">#REF!</definedName>
    <definedName name="segment">#REF!</definedName>
    <definedName name="SelectedLanguage">#REF!</definedName>
    <definedName name="Self">{"Book1","Bhabuwa to Pindarn Link  Road (1 Km).xls","Gujeni  Link  Road (2 Km).xls"}</definedName>
    <definedName name="Semi">'[32]labour rates'!$C$6</definedName>
    <definedName name="sencount" hidden="1">1</definedName>
    <definedName name="senserpaver">#REF!</definedName>
    <definedName name="serf">"$#REF!.$B$9"</definedName>
    <definedName name="servf">#N/A</definedName>
    <definedName name="Service">#N/A</definedName>
    <definedName name="serving">#REF!</definedName>
    <definedName name="Setflag">#REF!</definedName>
    <definedName name="SEWERAGE">#REF!</definedName>
    <definedName name="SF">#REF!</definedName>
    <definedName name="sf_13">#REF!</definedName>
    <definedName name="sf_14">#REF!</definedName>
    <definedName name="sf_15">#REF!</definedName>
    <definedName name="sf_16">#REF!</definedName>
    <definedName name="sf_17">#REF!</definedName>
    <definedName name="sf_18">#REF!</definedName>
    <definedName name="sf_19">#REF!</definedName>
    <definedName name="sf_20">#REF!</definedName>
    <definedName name="sf_23">#REF!</definedName>
    <definedName name="sf_3">#REF!</definedName>
    <definedName name="sfasf">#REF!</definedName>
    <definedName name="sfdf">#REF!</definedName>
    <definedName name="SFS">#REF!</definedName>
    <definedName name="sgh">#REF!</definedName>
    <definedName name="SGK">[7]DATA!$F$44</definedName>
    <definedName name="sh">#REF!</definedName>
    <definedName name="shape.codes" hidden="1">[8]SCHEDULE!$BC$9:$BS$9</definedName>
    <definedName name="shd">"$#REF!.$B$3"</definedName>
    <definedName name="she">#REF!</definedName>
    <definedName name="sheet1">{#N/A,#N/A,TRUE,"Front";#N/A,#N/A,TRUE,"Simple Letter";#N/A,#N/A,TRUE,"Inside";#N/A,#N/A,TRUE,"Contents";#N/A,#N/A,TRUE,"Basis";#N/A,#N/A,TRUE,"Inclusions";#N/A,#N/A,TRUE,"Exclusions";#N/A,#N/A,TRUE,"Areas";#N/A,#N/A,TRUE,"Summary";#N/A,#N/A,TRUE,"Detail"}</definedName>
    <definedName name="sheet1___0">#REF!</definedName>
    <definedName name="sheet1___13">#REF!</definedName>
    <definedName name="Sheet2">{#N/A,#N/A,TRUE,"Front";#N/A,#N/A,TRUE,"Simple Letter";#N/A,#N/A,TRUE,"Inside";#N/A,#N/A,TRUE,"Contents";#N/A,#N/A,TRUE,"Basis";#N/A,#N/A,TRUE,"Inclusions";#N/A,#N/A,TRUE,"Exclusions";#N/A,#N/A,TRUE,"Areas";#N/A,#N/A,TRUE,"Summary";#N/A,#N/A,TRUE,"Detail"}</definedName>
    <definedName name="Sheet3">#REF!</definedName>
    <definedName name="shet">#REF!</definedName>
    <definedName name="shf">#REF!</definedName>
    <definedName name="shjk">#REF!</definedName>
    <definedName name="Shoulder">#REF!</definedName>
    <definedName name="SHT">RIGHT(CELL("FILENAME",INDIRECT("A1")),LEN(CELL("FILENAME",INDIRECT("A1")))-FIND("]",CELL("FILENAME",INDIRECT("A1"))))</definedName>
    <definedName name="shuttering" hidden="1">{#N/A,#N/A,TRUE,"Front";#N/A,#N/A,TRUE,"Simple Letter";#N/A,#N/A,TRUE,"Inside";#N/A,#N/A,TRUE,"Contents";#N/A,#N/A,TRUE,"Basis";#N/A,#N/A,TRUE,"Inclusions";#N/A,#N/A,TRUE,"Exclusions";#N/A,#N/A,TRUE,"Areas";#N/A,#N/A,TRUE,"Summary";#N/A,#N/A,TRUE,"Detail"}</definedName>
    <definedName name="shutteringtimb">#REF!</definedName>
    <definedName name="shutteringtimber">#REF!</definedName>
    <definedName name="si">#REF!</definedName>
    <definedName name="sid">#REF!</definedName>
    <definedName name="SIGLINE1">#REF!</definedName>
    <definedName name="SIGLINE1_1">#REF!</definedName>
    <definedName name="SIGLINE1_1_1">NA()</definedName>
    <definedName name="SIGLINE1_1_1_1">NA()</definedName>
    <definedName name="SIGLINE1_1_8">NA()</definedName>
    <definedName name="SIGLINE1_2">NA()</definedName>
    <definedName name="SIGLINE1_2_1">NA()</definedName>
    <definedName name="SIGLINE1_3">#REF!</definedName>
    <definedName name="SIGLINE1_3_1">NA()</definedName>
    <definedName name="SIGLINE1_3_8">NA()</definedName>
    <definedName name="SIGLINE1_4">#REF!</definedName>
    <definedName name="SIGLINE1_4_1">NA()</definedName>
    <definedName name="SIGLINE1_4_1_1">NA()</definedName>
    <definedName name="SIGLINE1_4_8">NA()</definedName>
    <definedName name="SIGLINE1_5">#REF!</definedName>
    <definedName name="SIGLINE1_5_1">NA()</definedName>
    <definedName name="SIGLINE1_5_1_1">NA()</definedName>
    <definedName name="SIGLINE1_6">#REF!</definedName>
    <definedName name="SIGLINE1_6_1">NA()</definedName>
    <definedName name="SIGLINE1_6_1_1">NA()</definedName>
    <definedName name="SIGLINE1_7">#REF!</definedName>
    <definedName name="SIGLINE1_7_1">NA()</definedName>
    <definedName name="SIGLINE1_8">NA()</definedName>
    <definedName name="SIGLINE2">#REF!</definedName>
    <definedName name="SIGLINE2_1">#REF!</definedName>
    <definedName name="SIGLINE2_1_1">NA()</definedName>
    <definedName name="SIGLINE2_1_1_1">NA()</definedName>
    <definedName name="SIGLINE2_1_8">NA()</definedName>
    <definedName name="SIGLINE2_2">NA()</definedName>
    <definedName name="SIGLINE2_2_1">NA()</definedName>
    <definedName name="SIGLINE2_3">#REF!</definedName>
    <definedName name="SIGLINE2_3_1">NA()</definedName>
    <definedName name="SIGLINE2_3_8">NA()</definedName>
    <definedName name="SIGLINE2_4">#REF!</definedName>
    <definedName name="SIGLINE2_4_1">NA()</definedName>
    <definedName name="SIGLINE2_4_1_1">NA()</definedName>
    <definedName name="SIGLINE2_4_8">NA()</definedName>
    <definedName name="SIGLINE2_5">#REF!</definedName>
    <definedName name="SIGLINE2_5_1">NA()</definedName>
    <definedName name="SIGLINE2_5_1_1">NA()</definedName>
    <definedName name="SIGLINE2_6">#REF!</definedName>
    <definedName name="SIGLINE2_6_1">NA()</definedName>
    <definedName name="SIGLINE2_6_1_1">NA()</definedName>
    <definedName name="SIGLINE2_7">#REF!</definedName>
    <definedName name="SIGLINE2_7_1">NA()</definedName>
    <definedName name="SIGLINE2_8">NA()</definedName>
    <definedName name="SIGLINE3">#REF!</definedName>
    <definedName name="SIGLINE3_1">#REF!</definedName>
    <definedName name="SIGLINE3_1_1">NA()</definedName>
    <definedName name="SIGLINE3_1_1_1">NA()</definedName>
    <definedName name="SIGLINE3_1_8">NA()</definedName>
    <definedName name="SIGLINE3_2">NA()</definedName>
    <definedName name="SIGLINE3_2_1">NA()</definedName>
    <definedName name="SIGLINE3_3">#REF!</definedName>
    <definedName name="SIGLINE3_3_1">NA()</definedName>
    <definedName name="SIGLINE3_3_8">NA()</definedName>
    <definedName name="SIGLINE3_4">#REF!</definedName>
    <definedName name="SIGLINE3_4_1">NA()</definedName>
    <definedName name="SIGLINE3_4_1_1">NA()</definedName>
    <definedName name="SIGLINE3_4_8">NA()</definedName>
    <definedName name="SIGLINE3_5">#REF!</definedName>
    <definedName name="SIGLINE3_5_1">NA()</definedName>
    <definedName name="SIGLINE3_5_1_1">NA()</definedName>
    <definedName name="SIGLINE3_6">#REF!</definedName>
    <definedName name="SIGLINE3_6_1">NA()</definedName>
    <definedName name="SIGLINE3_6_1_1">NA()</definedName>
    <definedName name="SIGLINE3_7">#REF!</definedName>
    <definedName name="SIGLINE3_7_1">NA()</definedName>
    <definedName name="SIGLINE3_8">NA()</definedName>
    <definedName name="SIGLINE4">#REF!</definedName>
    <definedName name="SIGLINE4_1">#REF!</definedName>
    <definedName name="SIGLINE4_1_1">NA()</definedName>
    <definedName name="SIGLINE4_1_1_1">NA()</definedName>
    <definedName name="SIGLINE4_1_8">NA()</definedName>
    <definedName name="SIGLINE4_2">NA()</definedName>
    <definedName name="SIGLINE4_2_1">NA()</definedName>
    <definedName name="SIGLINE4_3">#REF!</definedName>
    <definedName name="SIGLINE4_3_1">NA()</definedName>
    <definedName name="SIGLINE4_3_8">NA()</definedName>
    <definedName name="SIGLINE4_4">#REF!</definedName>
    <definedName name="SIGLINE4_4_1">NA()</definedName>
    <definedName name="SIGLINE4_4_1_1">NA()</definedName>
    <definedName name="SIGLINE4_4_8">NA()</definedName>
    <definedName name="SIGLINE4_5">#REF!</definedName>
    <definedName name="SIGLINE4_5_1">NA()</definedName>
    <definedName name="SIGLINE4_5_1_1">NA()</definedName>
    <definedName name="SIGLINE4_6">#REF!</definedName>
    <definedName name="SIGLINE4_6_1">NA()</definedName>
    <definedName name="SIGLINE4_6_1_1">NA()</definedName>
    <definedName name="SIGLINE4_7">#REF!</definedName>
    <definedName name="SIGLINE4_7_1">NA()</definedName>
    <definedName name="SIGLINE4_8">NA()</definedName>
    <definedName name="sigma0.2">#REF!</definedName>
    <definedName name="sigma0_2">#REF!</definedName>
    <definedName name="sigmab">#REF!</definedName>
    <definedName name="sigmah">#REF!</definedName>
    <definedName name="sigmat">#REF!</definedName>
    <definedName name="Single_Clip">#REF!</definedName>
    <definedName name="site.ref" hidden="1">[8]Database!$B$6:$B$26</definedName>
    <definedName name="SiteEstablishmentandOH">5.5/100</definedName>
    <definedName name="SiteID">#REF!</definedName>
    <definedName name="SiteType">#REF!</definedName>
    <definedName name="SIXTH">#N/A</definedName>
    <definedName name="ska" hidden="1">{#N/A,#N/A,TRUE,"Front";#N/A,#N/A,TRUE,"Simple Letter";#N/A,#N/A,TRUE,"Inside";#N/A,#N/A,TRUE,"Contents";#N/A,#N/A,TRUE,"Basis";#N/A,#N/A,TRUE,"Inclusions";#N/A,#N/A,TRUE,"Exclusions";#N/A,#N/A,TRUE,"Areas";#N/A,#N/A,TRUE,"Summary";#N/A,#N/A,TRUE,"Detail"}</definedName>
    <definedName name="SKBEL">#REF!</definedName>
    <definedName name="Skil">'[32]labour rates'!$C$7</definedName>
    <definedName name="skilldresser">#REF!</definedName>
    <definedName name="skilledmazdoor">#REF!</definedName>
    <definedName name="skillmazdoor">#REF!</definedName>
    <definedName name="SKIRTING">#REF!</definedName>
    <definedName name="skq" hidden="1">{#N/A,#N/A,TRUE,"Front";#N/A,#N/A,TRUE,"Simple Letter";#N/A,#N/A,TRUE,"Inside";#N/A,#N/A,TRUE,"Contents";#N/A,#N/A,TRUE,"Basis";#N/A,#N/A,TRUE,"Inclusions";#N/A,#N/A,TRUE,"Exclusions";#N/A,#N/A,TRUE,"Areas";#N/A,#N/A,TRUE,"Summary";#N/A,#N/A,TRUE,"Detail"}</definedName>
    <definedName name="SL">#REF!</definedName>
    <definedName name="slab_thick">#REF!</definedName>
    <definedName name="SlabArea">#REF!</definedName>
    <definedName name="slabconArea">#REF!</definedName>
    <definedName name="slabconPerimeter">#REF!</definedName>
    <definedName name="SlabPerimeter">#REF!</definedName>
    <definedName name="SmallProj">#REF!</definedName>
    <definedName name="SmallProj_Text">#REF!</definedName>
    <definedName name="snd">#REF!</definedName>
    <definedName name="SOIL">#REF!</definedName>
    <definedName name="sonbf">#REF!</definedName>
    <definedName name="sond">#REF!</definedName>
    <definedName name="sondf">#N/A</definedName>
    <definedName name="sonhf">#REF!</definedName>
    <definedName name="SONTF">"'file://Vijay/d/Offers/GRUNDFOSS/Grundfoss Offer 4A12/Final Offer - 4C16/IO List 4C08.xls'#$factors.$#REF!$#REF!"</definedName>
    <definedName name="sop">#REF!</definedName>
    <definedName name="sor">#REF!</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N">#REF!</definedName>
    <definedName name="spc">#REF!</definedName>
    <definedName name="spd">#REF!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alPrice" hidden="1">#REF!</definedName>
    <definedName name="Specification">'[47]d-safe DELUXE'!#REF!</definedName>
    <definedName name="SPLR">#REF!</definedName>
    <definedName name="SPR">#REF!</definedName>
    <definedName name="spray">#REF!</definedName>
    <definedName name="sprayer">#REF!</definedName>
    <definedName name="SQK">[7]DATA!$F$43</definedName>
    <definedName name="SQRT__1___0.6___1.0">#REF!</definedName>
    <definedName name="SQRT__1___0_6___1_0">#REF!</definedName>
    <definedName name="SQRT__1___0_6___1_0___0">#REF!</definedName>
    <definedName name="SQRT__1___0_6___1_0___13">#REF!</definedName>
    <definedName name="sr">#REF!</definedName>
    <definedName name="sravani">#REF!</definedName>
    <definedName name="SRB" hidden="1">{"'Sheet1'!$A$4386:$N$4591"}</definedName>
    <definedName name="srh">#REF!</definedName>
    <definedName name="srp">#REF!</definedName>
    <definedName name="srs">#REF!</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rvf">"$#REF!.$I$3"</definedName>
    <definedName name="sry">#REF!</definedName>
    <definedName name="ss">#REF!</definedName>
    <definedName name="SS_POIYTRT" hidden="1">#REF!</definedName>
    <definedName name="ssa">#REF!</definedName>
    <definedName name="ssb2550Badhani">#REF!</definedName>
    <definedName name="ssb2550Haldwani">#REF!</definedName>
    <definedName name="ssb2550Shankargarah">#REF!</definedName>
    <definedName name="ssb4563Haldwani">#REF!</definedName>
    <definedName name="ssd">#REF!</definedName>
    <definedName name="ssf">#REF!</definedName>
    <definedName name="sss">#REF!</definedName>
    <definedName name="sss_13">#REF!</definedName>
    <definedName name="sss_14">#REF!</definedName>
    <definedName name="sss_15">#REF!</definedName>
    <definedName name="sss_16">#REF!</definedName>
    <definedName name="sss_17">#REF!</definedName>
    <definedName name="sss_18">#REF!</definedName>
    <definedName name="sss_19">#REF!</definedName>
    <definedName name="sss_20">#REF!</definedName>
    <definedName name="sss_23">#REF!</definedName>
    <definedName name="sss_3">#REF!</definedName>
    <definedName name="ssss">#REF!</definedName>
    <definedName name="sssssss">#REF!</definedName>
    <definedName name="st" hidden="1">{#N/A,#N/A,TRUE,"Front";#N/A,#N/A,TRUE,"Simple Letter";#N/A,#N/A,TRUE,"Inside";#N/A,#N/A,TRUE,"Contents";#N/A,#N/A,TRUE,"Basis";#N/A,#N/A,TRUE,"Inclusions";#N/A,#N/A,TRUE,"Exclusions";#N/A,#N/A,TRUE,"Areas";#N/A,#N/A,TRUE,"Summary";#N/A,#N/A,TRUE,"Detail"}</definedName>
    <definedName name="st_12">#REF!</definedName>
    <definedName name="St_13">#REF!</definedName>
    <definedName name="St_14">#REF!</definedName>
    <definedName name="St_15">#REF!</definedName>
    <definedName name="St_16">#REF!</definedName>
    <definedName name="St_17">#REF!</definedName>
    <definedName name="St_19">#REF!</definedName>
    <definedName name="st_2">#REF!</definedName>
    <definedName name="St_20">#REF!</definedName>
    <definedName name="St_21">#REF!</definedName>
    <definedName name="St_23">#REF!</definedName>
    <definedName name="st_3">#REF!</definedName>
    <definedName name="st12_12">#REF!</definedName>
    <definedName name="st12_13">#REF!</definedName>
    <definedName name="st12_14">#REF!</definedName>
    <definedName name="st12_15">#REF!</definedName>
    <definedName name="st12_16">#REF!</definedName>
    <definedName name="st12_17">#REF!</definedName>
    <definedName name="st12_19">#REF!</definedName>
    <definedName name="st12_20">#REF!</definedName>
    <definedName name="st12_21">#REF!</definedName>
    <definedName name="st12_23">#REF!</definedName>
    <definedName name="st12_3">#REF!</definedName>
    <definedName name="st2_12">#REF!</definedName>
    <definedName name="st2_13">#REF!</definedName>
    <definedName name="st2_14">#REF!</definedName>
    <definedName name="st2_15">#REF!</definedName>
    <definedName name="st2_16">#REF!</definedName>
    <definedName name="st2_17">#REF!</definedName>
    <definedName name="st2_19">#REF!</definedName>
    <definedName name="st2_20">#REF!</definedName>
    <definedName name="st2_21">#REF!</definedName>
    <definedName name="st2_23">#REF!</definedName>
    <definedName name="st2_3">#REF!</definedName>
    <definedName name="st4_12">#REF!</definedName>
    <definedName name="st4_13">#REF!</definedName>
    <definedName name="st4_14">#REF!</definedName>
    <definedName name="st4_15">#REF!</definedName>
    <definedName name="st4_16">#REF!</definedName>
    <definedName name="st4_17">#REF!</definedName>
    <definedName name="st4_19">#REF!</definedName>
    <definedName name="st4_20">#REF!</definedName>
    <definedName name="st4_21">#REF!</definedName>
    <definedName name="st4_23">#REF!</definedName>
    <definedName name="st4_3">#REF!</definedName>
    <definedName name="st53_12">#REF!</definedName>
    <definedName name="st53_13">#REF!</definedName>
    <definedName name="st53_14">#REF!</definedName>
    <definedName name="st53_15">#REF!</definedName>
    <definedName name="st53_16">#REF!</definedName>
    <definedName name="st53_17">#REF!</definedName>
    <definedName name="st53_19">#REF!</definedName>
    <definedName name="st53_20">#REF!</definedName>
    <definedName name="st53_23">#REF!</definedName>
    <definedName name="st53_3">#REF!</definedName>
    <definedName name="ST5B">#REF!</definedName>
    <definedName name="st6_13">#REF!</definedName>
    <definedName name="st6_14">#REF!</definedName>
    <definedName name="st6_15">#REF!</definedName>
    <definedName name="st6_16">#REF!</definedName>
    <definedName name="st6_17">#REF!</definedName>
    <definedName name="st6_19">#REF!</definedName>
    <definedName name="st6_20">#REF!</definedName>
    <definedName name="st6_23">#REF!</definedName>
    <definedName name="st6_3">#REF!</definedName>
    <definedName name="st63_12">#REF!</definedName>
    <definedName name="st63_13">#REF!</definedName>
    <definedName name="st63_14">#REF!</definedName>
    <definedName name="st63_15">#REF!</definedName>
    <definedName name="st63_16">#REF!</definedName>
    <definedName name="st63_17">#REF!</definedName>
    <definedName name="st63_19">#REF!</definedName>
    <definedName name="st63_20">#REF!</definedName>
    <definedName name="st63_23">#REF!</definedName>
    <definedName name="st63_3">#REF!</definedName>
    <definedName name="st7_13">#REF!</definedName>
    <definedName name="st7_14">#REF!</definedName>
    <definedName name="st7_15">#REF!</definedName>
    <definedName name="st7_16">#REF!</definedName>
    <definedName name="st7_17">#REF!</definedName>
    <definedName name="st7_18">#REF!</definedName>
    <definedName name="st7_19">#REF!</definedName>
    <definedName name="ST7_2">#REF!</definedName>
    <definedName name="st7_20">#REF!</definedName>
    <definedName name="st7_23">#REF!</definedName>
    <definedName name="st7_3">#REF!</definedName>
    <definedName name="st8_13">#REF!</definedName>
    <definedName name="st8_14">#REF!</definedName>
    <definedName name="st8_15">#REF!</definedName>
    <definedName name="st8_16">#REF!</definedName>
    <definedName name="st8_17">#REF!</definedName>
    <definedName name="st8_18">#REF!</definedName>
    <definedName name="st8_19">#REF!</definedName>
    <definedName name="st8_20">#REF!</definedName>
    <definedName name="st8_23">#REF!</definedName>
    <definedName name="st8_3">#REF!</definedName>
    <definedName name="st90_12">#REF!</definedName>
    <definedName name="st90_13">#REF!</definedName>
    <definedName name="st90_14">#REF!</definedName>
    <definedName name="st90_15">#REF!</definedName>
    <definedName name="st90_16">#REF!</definedName>
    <definedName name="st90_17">#REF!</definedName>
    <definedName name="st90_19">#REF!</definedName>
    <definedName name="st90_20">#REF!</definedName>
    <definedName name="st90_23">#REF!</definedName>
    <definedName name="st90_3">#REF!</definedName>
    <definedName name="StackingBk">#REF!</definedName>
    <definedName name="Stage">#REF!</definedName>
    <definedName name="Staircase">#REF!</definedName>
    <definedName name="Staircase2">#N/A</definedName>
    <definedName name="Start_Date">#REF!</definedName>
    <definedName name="startcolmn">1</definedName>
    <definedName name="StartDate">#REF!</definedName>
    <definedName name="StartRow">6</definedName>
    <definedName name="StartValue">42.5392330383481</definedName>
    <definedName name="State">#REF!</definedName>
    <definedName name="staticpaver">#REF!</definedName>
    <definedName name="stDustKabrai">#REF!</definedName>
    <definedName name="steel">#REF!</definedName>
    <definedName name="steelbars">#REF!</definedName>
    <definedName name="steellead">#REF!</definedName>
    <definedName name="steelO">#REF!</definedName>
    <definedName name="steelrod">#REF!</definedName>
    <definedName name="steelstrands">#REF!</definedName>
    <definedName name="steelwire">#REF!</definedName>
    <definedName name="steelwires">#REF!</definedName>
    <definedName name="steelwt">#REF!</definedName>
    <definedName name="StepValue">0.453097345132744</definedName>
    <definedName name="stg">#REF!</definedName>
    <definedName name="Stone_Aggregate_10_mm">#REF!</definedName>
    <definedName name="Stone_Aggregate_20_mm">#REF!</definedName>
    <definedName name="Stone_Aggregate_40_mm">#REF!</definedName>
    <definedName name="Stone_Dust">#REF!</definedName>
    <definedName name="stonebreaker">#REF!</definedName>
    <definedName name="stonedust">#REF!</definedName>
    <definedName name="sTONEsOLING">#REF!</definedName>
    <definedName name="Storages">#REF!</definedName>
    <definedName name="storm">#REF!</definedName>
    <definedName name="STP">#N/A</definedName>
    <definedName name="strands">#REF!</definedName>
    <definedName name="StrID">#REF!</definedName>
    <definedName name="StrID_1">NA()</definedName>
    <definedName name="StrID_2">NA()</definedName>
    <definedName name="StrID_4">#N/A</definedName>
    <definedName name="stripseal">#REF!</definedName>
    <definedName name="structuralsteel">#REF!</definedName>
    <definedName name="structure">#REF!</definedName>
    <definedName name="stSoling">#REF!</definedName>
    <definedName name="studs">#REF!</definedName>
    <definedName name="stupid_13">#REF!</definedName>
    <definedName name="stupid_14">#REF!</definedName>
    <definedName name="stupid_15">#REF!</definedName>
    <definedName name="stupid_16">#REF!</definedName>
    <definedName name="stupid_17">#REF!</definedName>
    <definedName name="stupid_19">#REF!</definedName>
    <definedName name="stupid_20">#REF!</definedName>
    <definedName name="stupid_23">#REF!</definedName>
    <definedName name="stupid_3">#REF!</definedName>
    <definedName name="su">#REF!</definedName>
    <definedName name="Subgrade">#REF!</definedName>
    <definedName name="SUBHEAD2">#REF!</definedName>
    <definedName name="SUBHEAD3">#REF!</definedName>
    <definedName name="SUBHEAD4">#REF!</definedName>
    <definedName name="SUBHEAD5">#REF!</definedName>
    <definedName name="SUBHEAD6">#REF!</definedName>
    <definedName name="Subject">#REF!</definedName>
    <definedName name="Subject_1">NA()</definedName>
    <definedName name="Subject_2">NA()</definedName>
    <definedName name="Subject_4">#N/A</definedName>
    <definedName name="subshoulderpcc">#REF!</definedName>
    <definedName name="Substation">#REF!</definedName>
    <definedName name="Substation1">#REF!</definedName>
    <definedName name="substructure">#REF!</definedName>
    <definedName name="sum" hidden="1">#REF!</definedName>
    <definedName name="sumana">#REF!</definedName>
    <definedName name="SUMMAINT">#REF!</definedName>
    <definedName name="SUMMAINT_1">#REF!</definedName>
    <definedName name="SUMMAINT_1_1">NA()</definedName>
    <definedName name="SUMMAINT_1_1_1">NA()</definedName>
    <definedName name="SUMMAINT_1_8">NA()</definedName>
    <definedName name="SUMMAINT_2">NA()</definedName>
    <definedName name="SUMMAINT_2_1">NA()</definedName>
    <definedName name="SUMMAINT_3">#REF!</definedName>
    <definedName name="SUMMAINT_3_1">NA()</definedName>
    <definedName name="SUMMAINT_3_8">NA()</definedName>
    <definedName name="SUMMAINT_4">#REF!</definedName>
    <definedName name="SUMMAINT_4_1">NA()</definedName>
    <definedName name="SUMMAINT_4_1_1">NA()</definedName>
    <definedName name="SUMMAINT_4_8">NA()</definedName>
    <definedName name="SUMMAINT_5">#REF!</definedName>
    <definedName name="SUMMAINT_5_1">NA()</definedName>
    <definedName name="SUMMAINT_5_1_1">NA()</definedName>
    <definedName name="SUMMAINT_6">#REF!</definedName>
    <definedName name="SUMMAINT_6_1">NA()</definedName>
    <definedName name="SUMMAINT_6_1_1">NA()</definedName>
    <definedName name="SUMMAINT_7">#REF!</definedName>
    <definedName name="SUMMAINT_7_1">NA()</definedName>
    <definedName name="SUMMAINT_8">NA()</definedName>
    <definedName name="SUMMAR">#REF!</definedName>
    <definedName name="SUMMARY">#REF!</definedName>
    <definedName name="SUMPROD">#REF!</definedName>
    <definedName name="SUMPROD_1">#REF!</definedName>
    <definedName name="SUMPROD_1_1">NA()</definedName>
    <definedName name="SUMPROD_1_1_1">NA()</definedName>
    <definedName name="SUMPROD_1_8">NA()</definedName>
    <definedName name="SUMPROD_2">NA()</definedName>
    <definedName name="SUMPROD_2_1">NA()</definedName>
    <definedName name="SUMPROD_3">#REF!</definedName>
    <definedName name="SUMPROD_3_1">NA()</definedName>
    <definedName name="SUMPROD_3_8">NA()</definedName>
    <definedName name="SUMPROD_4">#REF!</definedName>
    <definedName name="SUMPROD_4_1">NA()</definedName>
    <definedName name="SUMPROD_4_1_1">NA()</definedName>
    <definedName name="SUMPROD_4_8">NA()</definedName>
    <definedName name="SUMPROD_5">#REF!</definedName>
    <definedName name="SUMPROD_5_1">NA()</definedName>
    <definedName name="SUMPROD_5_1_1">NA()</definedName>
    <definedName name="SUMPROD_6">#REF!</definedName>
    <definedName name="SUMPROD_6_1">NA()</definedName>
    <definedName name="SUMPROD_6_1_1">NA()</definedName>
    <definedName name="SUMPROD_7">#REF!</definedName>
    <definedName name="SUMPROD_7_1">NA()</definedName>
    <definedName name="SUMPROD_8">NA()</definedName>
    <definedName name="SUMSERV">#REF!</definedName>
    <definedName name="SUMSERV_1">#REF!</definedName>
    <definedName name="SUMSERV_1_1">NA()</definedName>
    <definedName name="SUMSERV_1_1_1">NA()</definedName>
    <definedName name="SUMSERV_1_8">NA()</definedName>
    <definedName name="SUMSERV_2">NA()</definedName>
    <definedName name="SUMSERV_2_1">NA()</definedName>
    <definedName name="SUMSERV_3">#REF!</definedName>
    <definedName name="SUMSERV_3_1">NA()</definedName>
    <definedName name="SUMSERV_3_8">NA()</definedName>
    <definedName name="SUMSERV_4">#REF!</definedName>
    <definedName name="SUMSERV_4_1">NA()</definedName>
    <definedName name="SUMSERV_4_1_1">NA()</definedName>
    <definedName name="SUMSERV_4_8">NA()</definedName>
    <definedName name="SUMSERV_5">#REF!</definedName>
    <definedName name="SUMSERV_5_1">NA()</definedName>
    <definedName name="SUMSERV_5_1_1">NA()</definedName>
    <definedName name="SUMSERV_6">#REF!</definedName>
    <definedName name="SUMSERV_6_1">NA()</definedName>
    <definedName name="SUMSERV_6_1_1">NA()</definedName>
    <definedName name="SUMSERV_7">#REF!</definedName>
    <definedName name="SUMSERV_7_1">NA()</definedName>
    <definedName name="SUMSERV_8">NA()</definedName>
    <definedName name="SUMTOTAL">#REF!</definedName>
    <definedName name="SUMTOTAL_1">#REF!</definedName>
    <definedName name="SUMTOTAL_1_1">NA()</definedName>
    <definedName name="SUMTOTAL_1_1_1">NA()</definedName>
    <definedName name="SUMTOTAL_1_8">NA()</definedName>
    <definedName name="SUMTOTAL_2">NA()</definedName>
    <definedName name="SUMTOTAL_2_1">NA()</definedName>
    <definedName name="SUMTOTAL_3">#REF!</definedName>
    <definedName name="SUMTOTAL_3_1">NA()</definedName>
    <definedName name="SUMTOTAL_3_8">NA()</definedName>
    <definedName name="SUMTOTAL_4">#REF!</definedName>
    <definedName name="SUMTOTAL_4_1">NA()</definedName>
    <definedName name="SUMTOTAL_4_1_1">NA()</definedName>
    <definedName name="SUMTOTAL_4_8">NA()</definedName>
    <definedName name="SUMTOTAL_5">#REF!</definedName>
    <definedName name="SUMTOTAL_5_1">NA()</definedName>
    <definedName name="SUMTOTAL_5_1_1">NA()</definedName>
    <definedName name="SUMTOTAL_6">#REF!</definedName>
    <definedName name="SUMTOTAL_6_1">NA()</definedName>
    <definedName name="SUMTOTAL_6_1_1">NA()</definedName>
    <definedName name="SUMTOTAL_7">#REF!</definedName>
    <definedName name="SUMTOTAL_7_1">NA()</definedName>
    <definedName name="SUMTOTAL_8">NA()</definedName>
    <definedName name="sun">#REF!</definedName>
    <definedName name="SUNIL">#REF!</definedName>
    <definedName name="SUNIL1">#REF!</definedName>
    <definedName name="SUNIL3">#REF!</definedName>
    <definedName name="sunny">#REF!</definedName>
    <definedName name="super">#REF!</definedName>
    <definedName name="supervisor">#REF!</definedName>
    <definedName name="Suppliers">[20]Background!$K$9:$K$15</definedName>
    <definedName name="Suppliers_1">NA()</definedName>
    <definedName name="Suppliers_1_1">NA()</definedName>
    <definedName name="Suppliers_2">NA()</definedName>
    <definedName name="Suppliers_3">NA()</definedName>
    <definedName name="surf">#REF!</definedName>
    <definedName name="SUSHIL">#REF!</definedName>
    <definedName name="SVFFG" hidden="1">{#N/A,#N/A,TRUE,"Front";#N/A,#N/A,TRUE,"Simple Letter";#N/A,#N/A,TRUE,"Inside";#N/A,#N/A,TRUE,"Contents";#N/A,#N/A,TRUE,"Basis";#N/A,#N/A,TRUE,"Inclusions";#N/A,#N/A,TRUE,"Exclusions";#N/A,#N/A,TRUE,"Areas";#N/A,#N/A,TRUE,"Summary";#N/A,#N/A,TRUE,"Detail"}</definedName>
    <definedName name="SVGHFGH" hidden="1">#REF!</definedName>
    <definedName name="sweep">#REF!</definedName>
    <definedName name="swer">#REF!</definedName>
    <definedName name="swf">#REF!</definedName>
    <definedName name="swr">{#N/A,#N/A,TRUE,"Front";#N/A,#N/A,TRUE,"Simple Letter";#N/A,#N/A,TRUE,"Inside";#N/A,#N/A,TRUE,"Contents";#N/A,#N/A,TRUE,"Basis";#N/A,#N/A,TRUE,"Inclusions";#N/A,#N/A,TRUE,"Exclusions";#N/A,#N/A,TRUE,"Areas";#N/A,#N/A,TRUE,"Summary";#N/A,#N/A,TRUE,"Detail"}</definedName>
    <definedName name="SX">#REF!</definedName>
    <definedName name="syr">#REF!</definedName>
    <definedName name="systemname">#REF!</definedName>
    <definedName name="S행">#REF!</definedName>
    <definedName name="t">#REF!</definedName>
    <definedName name="t___0">#REF!</definedName>
    <definedName name="t___13">#REF!</definedName>
    <definedName name="T0">#REF!</definedName>
    <definedName name="tab" hidden="1">{#N/A,#N/A,TRUE,"Front";#N/A,#N/A,TRUE,"Simple Letter";#N/A,#N/A,TRUE,"Inside";#N/A,#N/A,TRUE,"Contents";#N/A,#N/A,TRUE,"Basis";#N/A,#N/A,TRUE,"Inclusions";#N/A,#N/A,TRUE,"Exclusions";#N/A,#N/A,TRUE,"Areas";#N/A,#N/A,TRUE,"Summary";#N/A,#N/A,TRUE,"Detail"}</definedName>
    <definedName name="table1">#REF!</definedName>
    <definedName name="TABLE2">#REF!</definedName>
    <definedName name="table250">#REF!</definedName>
    <definedName name="table275">#REF!</definedName>
    <definedName name="TABLE3">#REF!</definedName>
    <definedName name="table300">#REF!</definedName>
    <definedName name="table325">#REF!</definedName>
    <definedName name="table350">#REF!</definedName>
    <definedName name="table375">#REF!</definedName>
    <definedName name="TABLE4">#REF!</definedName>
    <definedName name="table400">#REF!</definedName>
    <definedName name="table425">#REF!</definedName>
    <definedName name="table450">#REF!</definedName>
    <definedName name="table475">#REF!</definedName>
    <definedName name="table5">#REF!</definedName>
    <definedName name="table500">#REF!</definedName>
    <definedName name="table525">#REF!</definedName>
    <definedName name="table550">#REF!</definedName>
    <definedName name="table575">#REF!</definedName>
    <definedName name="table6">#REF!</definedName>
    <definedName name="table600">#REF!</definedName>
    <definedName name="table625">#REF!</definedName>
    <definedName name="table650">#REF!</definedName>
    <definedName name="table675">#REF!</definedName>
    <definedName name="table700">#REF!</definedName>
    <definedName name="table725">#REF!</definedName>
    <definedName name="table750">#REF!</definedName>
    <definedName name="table775">#REF!</definedName>
    <definedName name="table800">#REF!</definedName>
    <definedName name="table9">#REF!</definedName>
    <definedName name="TableRange">#REF!</definedName>
    <definedName name="tackbetweenpcc">#REF!</definedName>
    <definedName name="tam">#N/A</definedName>
    <definedName name="TandemRoller">#REF!</definedName>
    <definedName name="Tandrolr">#REF!</definedName>
    <definedName name="tank">#REF!</definedName>
    <definedName name="tanker">#REF!</definedName>
    <definedName name="tarman">#REF!</definedName>
    <definedName name="tarnian">#REF!</definedName>
    <definedName name="TaxTV">10%</definedName>
    <definedName name="TaxXL">5%</definedName>
    <definedName name="Tb">[7]DATA!$G$24</definedName>
    <definedName name="tbl_ProdInfo" hidden="1">#REF!</definedName>
    <definedName name="tcam" hidden="1">{"'Sheet1'!$A$4386:$N$4591"}</definedName>
    <definedName name="TDBitumen">#REF!</definedName>
    <definedName name="TDBitumenRd">#REF!</definedName>
    <definedName name="TDCmtRd">#REF!</definedName>
    <definedName name="TDSteelRd">#REF!</definedName>
    <definedName name="TECHI">#REF!</definedName>
    <definedName name="telephonepoles">#N/A</definedName>
    <definedName name="tem" hidden="1">{#N/A,#N/A,TRUE,"Front";#N/A,#N/A,TRUE,"Simple Letter";#N/A,#N/A,TRUE,"Inside";#N/A,#N/A,TRUE,"Contents";#N/A,#N/A,TRUE,"Basis";#N/A,#N/A,TRUE,"Inclusions";#N/A,#N/A,TRUE,"Exclusions";#N/A,#N/A,TRUE,"Areas";#N/A,#N/A,TRUE,"Summary";#N/A,#N/A,TRUE,"Detail"}</definedName>
    <definedName name="TEMO777">#REF!</definedName>
    <definedName name="temp"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nder" hidden="1">#REF!</definedName>
    <definedName name="TER">#REF!</definedName>
    <definedName name="TERM">[46]Sheet1!$A$13:$A$17</definedName>
    <definedName name="TEs">#REF!</definedName>
    <definedName name="TEs___0">#REF!</definedName>
    <definedName name="TEs___13">#REF!</definedName>
    <definedName name="test">'[48]d-safe specs'!#REF!</definedName>
    <definedName name="TEt">#REF!</definedName>
    <definedName name="TEt___0">#REF!</definedName>
    <definedName name="TEt___13">#REF!</definedName>
    <definedName name="text">#REF!</definedName>
    <definedName name="TF">#REF!</definedName>
    <definedName name="tghsr">#N/A</definedName>
    <definedName name="th">#REF!</definedName>
    <definedName name="theta">#REF!</definedName>
    <definedName name="Theta1">#REF!</definedName>
    <definedName name="Theta2">#REF!</definedName>
    <definedName name="TierCode">#REF!</definedName>
    <definedName name="TierCode_Text">#REF!</definedName>
    <definedName name="Tiles">#REF!</definedName>
    <definedName name="tipp">#REF!</definedName>
    <definedName name="tipp5t">#REF!</definedName>
    <definedName name="tipper">#REF!</definedName>
    <definedName name="tipper5t">#REF!</definedName>
    <definedName name="TITLE">#REF!</definedName>
    <definedName name="Title1">#REF!</definedName>
    <definedName name="Title1_1">NA()</definedName>
    <definedName name="Title1_2">NA()</definedName>
    <definedName name="Title1_4">#N/A</definedName>
    <definedName name="Title2">#REF!</definedName>
    <definedName name="Title2_1">NA()</definedName>
    <definedName name="Title2_2">NA()</definedName>
    <definedName name="Title2_4">#N/A</definedName>
    <definedName name="TN">[7]DATA!$G$25</definedName>
    <definedName name="Toilet" localSheetId="5">Scheduled_Payment+Extra_Payment</definedName>
    <definedName name="Toilet" localSheetId="4">Scheduled_Payment+Extra_Payment</definedName>
    <definedName name="Toilet">Scheduled_Payment+Extra_Payment</definedName>
    <definedName name="tol">#REF!</definedName>
    <definedName name="tol_1">NA()</definedName>
    <definedName name="tol_2">NA()</definedName>
    <definedName name="tol_4">#N/A</definedName>
    <definedName name="toll">#REF!</definedName>
    <definedName name="TON">INDIRECT("단중표!$R$8:$S$11")</definedName>
    <definedName name="topl">#REF!</definedName>
    <definedName name="topl_1">NA()</definedName>
    <definedName name="topl_2">NA()</definedName>
    <definedName name="topl_4">#N/A</definedName>
    <definedName name="topn">#REF!</definedName>
    <definedName name="topn_1">NA()</definedName>
    <definedName name="topn_2">NA()</definedName>
    <definedName name="topn_4">#N/A</definedName>
    <definedName name="TOR">#REF!</definedName>
    <definedName name="Tot_Discount">'[49]Quote Sheet'!$B$135</definedName>
    <definedName name="TOTAL">"TOTAL+'990309 수정'!$A$5:$AE$501"</definedName>
    <definedName name="Total_Interest">#REF!</definedName>
    <definedName name="Total_Pay">#REF!</definedName>
    <definedName name="Total_Payment" localSheetId="5">Scheduled_Payment+Extra_Payment</definedName>
    <definedName name="Total_Payment" localSheetId="4">Scheduled_Payment+Extra_Payment</definedName>
    <definedName name="Total_Payment">Scheduled_Payment+Extra_Payment</definedName>
    <definedName name="totalai">#REF!</definedName>
    <definedName name="totalao">#REF!</definedName>
    <definedName name="totalbi">#REF!</definedName>
    <definedName name="totalbo">#REF!</definedName>
    <definedName name="TotalCDCost">#REF!</definedName>
    <definedName name="totalthisbill">#REF!</definedName>
    <definedName name="tr">#REF!</definedName>
    <definedName name="tr70r">#REF!</definedName>
    <definedName name="tractor">#REF!</definedName>
    <definedName name="TradeQuarry">#REF!</definedName>
    <definedName name="TradeQuarryRd">#REF!</definedName>
    <definedName name="trans">#REF!</definedName>
    <definedName name="transformer">#REF!</definedName>
    <definedName name="transitmixer">#REF!</definedName>
    <definedName name="TRGG" hidden="1">{#N/A,#N/A,TRUE,"Front";#N/A,#N/A,TRUE,"Simple Letter";#N/A,#N/A,TRUE,"Inside";#N/A,#N/A,TRUE,"Contents";#N/A,#N/A,TRUE,"Basis";#N/A,#N/A,TRUE,"Inclusions";#N/A,#N/A,TRUE,"Exclusions";#N/A,#N/A,TRUE,"Areas";#N/A,#N/A,TRUE,"Summary";#N/A,#N/A,TRUE,"Detail"}</definedName>
    <definedName name="trrryt" hidden="1">{#N/A,#N/A,TRUE,"Front";#N/A,#N/A,TRUE,"Simple Letter";#N/A,#N/A,TRUE,"Inside";#N/A,#N/A,TRUE,"Contents";#N/A,#N/A,TRUE,"Basis";#N/A,#N/A,TRUE,"Inclusions";#N/A,#N/A,TRUE,"Exclusions";#N/A,#N/A,TRUE,"Areas";#N/A,#N/A,TRUE,"Summary";#N/A,#N/A,TRUE,"Detail"}</definedName>
    <definedName name="TRTR">#REF!</definedName>
    <definedName name="Truck">#REF!</definedName>
    <definedName name="truck5t">#REF!</definedName>
    <definedName name="try">#REF!</definedName>
    <definedName name="tS">#REF!</definedName>
    <definedName name="tS___0">#REF!</definedName>
    <definedName name="tS___13">#REF!</definedName>
    <definedName name="tsb20mm">#REF!</definedName>
    <definedName name="tsb40mm">#REF!</definedName>
    <definedName name="tsc">#REF!</definedName>
    <definedName name="tsf">#REF!</definedName>
    <definedName name="tt">#REF!</definedName>
    <definedName name="TTT">#REF!</definedName>
    <definedName name="tttt">#REF!</definedName>
    <definedName name="TUES1">#REF!</definedName>
    <definedName name="Turfing">#REF!</definedName>
    <definedName name="tw">#REF!</definedName>
    <definedName name="Twt">#REF!</definedName>
    <definedName name="ty">#REF!</definedName>
    <definedName name="type">#REF!</definedName>
    <definedName name="Type1">#REF!</definedName>
    <definedName name="Type2">#REF!</definedName>
    <definedName name="TYPE22">#REF!</definedName>
    <definedName name="TYPE3">#REF!</definedName>
    <definedName name="TypeA">#REF!</definedName>
    <definedName name="tyty">#N/A</definedName>
    <definedName name="T행">#REF!</definedName>
    <definedName name="ugt">#REF!</definedName>
    <definedName name="uhkykyyyj">#REF!</definedName>
    <definedName name="UI" hidden="1">[12]analysis!#REF!</definedName>
    <definedName name="UMR">[7]DESIGN!$G$34</definedName>
    <definedName name="UMRBB">[7]DESIGN!$G$79</definedName>
    <definedName name="UMRBT">[7]DESIGN!$G$101</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COD">#REF!</definedName>
    <definedName name="UNITS">#REF!</definedName>
    <definedName name="unloading">#REF!</definedName>
    <definedName name="unsecured">#REF!</definedName>
    <definedName name="unt110_1">#REF!</definedName>
    <definedName name="unt111_1">#REF!</definedName>
    <definedName name="unt140_1">#REF!</definedName>
    <definedName name="unt141_1">#REF!</definedName>
    <definedName name="up">#REF!</definedName>
    <definedName name="UpdateTechSpec">#N/A</definedName>
    <definedName name="upgradation">#REF!</definedName>
    <definedName name="upgradation_length">#REF!</definedName>
    <definedName name="USD">#REF!</definedName>
    <definedName name="Use_Alternates">#REF!</definedName>
    <definedName name="UserName">"Subrata"</definedName>
    <definedName name="utility">#REF!</definedName>
    <definedName name="uu">#REF!</definedName>
    <definedName name="uuuu">#N/A</definedName>
    <definedName name="uy">#REF!</definedName>
    <definedName name="U행">#REF!</definedName>
    <definedName name="v">#REF!</definedName>
    <definedName name="v_app">#REF!</definedName>
    <definedName name="v_est">#REF!</definedName>
    <definedName name="v_paid">#REF!</definedName>
    <definedName name="v_quo">#REF!</definedName>
    <definedName name="v_rec">#REF!</definedName>
    <definedName name="v_tot">#REF!</definedName>
    <definedName name="va">#REF!</definedName>
    <definedName name="va___0">#REF!</definedName>
    <definedName name="va___13">#REF!</definedName>
    <definedName name="vad">#REF!</definedName>
    <definedName name="vaf">#REF!</definedName>
    <definedName name="Values_Entered">IF(Loan_Amount*Interest_Rate*Loan_Years*Loan_Start&gt;0,1,0)</definedName>
    <definedName name="valve2">#REF!</definedName>
    <definedName name="valve2_1">NA()</definedName>
    <definedName name="valve2_1_1">NA()</definedName>
    <definedName name="valve2_2">NA()</definedName>
    <definedName name="valve2_4">NA()</definedName>
    <definedName name="valve3">#REF!</definedName>
    <definedName name="valve3_1">NA()</definedName>
    <definedName name="valve3_1_1">NA()</definedName>
    <definedName name="valve3_2">NA()</definedName>
    <definedName name="valve3_4">NA()</definedName>
    <definedName name="ValveCfg">#N/A</definedName>
    <definedName name="ValveCloseoff">#N/A</definedName>
    <definedName name="ValveCode">#N/A</definedName>
    <definedName name="ValveConn">#N/A</definedName>
    <definedName name="ValveCv">#N/A</definedName>
    <definedName name="ValveFlow">#N/A</definedName>
    <definedName name="ValveFP">#N/A</definedName>
    <definedName name="ValveQty">#N/A</definedName>
    <definedName name="valves">#REF!</definedName>
    <definedName name="valves_1">NA()</definedName>
    <definedName name="valves_1_1">NA()</definedName>
    <definedName name="valves_2">NA()</definedName>
    <definedName name="valves_4">NA()</definedName>
    <definedName name="ValveSize">#N/A</definedName>
    <definedName name="VANDEMATARAM">#REF!</definedName>
    <definedName name="Varanasi">#REF!</definedName>
    <definedName name="vat_12">#REF!</definedName>
    <definedName name="vat_13">#REF!</definedName>
    <definedName name="vat_15">#REF!</definedName>
    <definedName name="vat_16">#REF!</definedName>
    <definedName name="vat_17">#REF!</definedName>
    <definedName name="VAT_2">#REF!</definedName>
    <definedName name="vat_3">#REF!</definedName>
    <definedName name="vat13.5">#REF!</definedName>
    <definedName name="vatf">#REF!</definedName>
    <definedName name="vav110_1">#REF!</definedName>
    <definedName name="vav111_1">#REF!</definedName>
    <definedName name="vav140_1">#REF!</definedName>
    <definedName name="vav141_1">#REF!</definedName>
    <definedName name="VB">#REF!</definedName>
    <definedName name="vbhy">#REF!</definedName>
    <definedName name="VC">[7]DESIGN!$G$38</definedName>
    <definedName name="VCBB">[7]DESIGN!$G$82</definedName>
    <definedName name="VCBT">[7]DESIGN!$G$104</definedName>
    <definedName name="vcvv" hidden="1">{#N/A,#N/A,TRUE,"Front";#N/A,#N/A,TRUE,"Simple Letter";#N/A,#N/A,TRUE,"Inside";#N/A,#N/A,TRUE,"Contents";#N/A,#N/A,TRUE,"Basis";#N/A,#N/A,TRUE,"Inclusions";#N/A,#N/A,TRUE,"Exclusions";#N/A,#N/A,TRUE,"Areas";#N/A,#N/A,TRUE,"Summary";#N/A,#N/A,TRUE,"Detail"}</definedName>
    <definedName name="VD">#REF!</definedName>
    <definedName name="Vend">#REF!</definedName>
    <definedName name="Version">3</definedName>
    <definedName name="Vf">#REF!</definedName>
    <definedName name="vib">#REF!</definedName>
    <definedName name="vibrator">#REF!</definedName>
    <definedName name="vibro">#REF!</definedName>
    <definedName name="vibroll">#REF!</definedName>
    <definedName name="villname">#REF!</definedName>
    <definedName name="virtusa" hidden="1">{#N/A,#N/A,TRUE,"Front";#N/A,#N/A,TRUE,"Simple Letter";#N/A,#N/A,TRUE,"Inside";#N/A,#N/A,TRUE,"Contents";#N/A,#N/A,TRUE,"Basis";#N/A,#N/A,TRUE,"Inclusions";#N/A,#N/A,TRUE,"Exclusions";#N/A,#N/A,TRUE,"Areas";#N/A,#N/A,TRUE,"Summary";#N/A,#N/A,TRUE,"Detail"}</definedName>
    <definedName name="VIVEKANANDA">#REF!</definedName>
    <definedName name="VL">[7]STABILITY!$D$31</definedName>
    <definedName name="voltage">#REF!</definedName>
    <definedName name="Vsigma">#REF!</definedName>
    <definedName name="vv">#REF!</definedName>
    <definedName name="VVFFDFD">#REF!</definedName>
    <definedName name="VVV">#REF!</definedName>
    <definedName name="vvva">#REF!</definedName>
    <definedName name="Vz">#REF!</definedName>
    <definedName name="V행">#REF!</definedName>
    <definedName name="W">#REF!</definedName>
    <definedName name="wa_12">#REF!</definedName>
    <definedName name="wa_13">#REF!</definedName>
    <definedName name="wa_14">#REF!</definedName>
    <definedName name="wa_15">#REF!</definedName>
    <definedName name="wa_16">#REF!</definedName>
    <definedName name="wa_17">#REF!</definedName>
    <definedName name="wa_19">#REF!</definedName>
    <definedName name="wa_2">#REF!</definedName>
    <definedName name="wa_20">#REF!</definedName>
    <definedName name="wa_21">#REF!</definedName>
    <definedName name="wa_23">#REF!</definedName>
    <definedName name="wa_3">#REF!</definedName>
    <definedName name="Waiting">"Picture 1"</definedName>
    <definedName name="Wall_form_panel">#REF!</definedName>
    <definedName name="Wall_form_panel_1250x400">#REF!</definedName>
    <definedName name="Wall_form_panel_1250x500">#REF!</definedName>
    <definedName name="WATER">#REF!</definedName>
    <definedName name="Water_Proofing_compound">#REF!</definedName>
    <definedName name="WaterandPower">1.5/100</definedName>
    <definedName name="watertank">#REF!</definedName>
    <definedName name="watertanker">#REF!</definedName>
    <definedName name="wbeam">#REF!</definedName>
    <definedName name="WBM">#REF!</definedName>
    <definedName name="WBM_thick">#REF!</definedName>
    <definedName name="WBM_upgradation">#REF!</definedName>
    <definedName name="wbmwide">#REF!</definedName>
    <definedName name="wc">#REF!</definedName>
    <definedName name="wc_1">#REF!</definedName>
    <definedName name="wc_13">#REF!</definedName>
    <definedName name="wc_14">#REF!</definedName>
    <definedName name="wc_15">#REF!</definedName>
    <definedName name="wc_16">#REF!</definedName>
    <definedName name="wc_17">#REF!</definedName>
    <definedName name="wc_19">#REF!</definedName>
    <definedName name="wc_20">#REF!</definedName>
    <definedName name="wc_21">#REF!</definedName>
    <definedName name="wc_23">#REF!</definedName>
    <definedName name="wc_3">#REF!</definedName>
    <definedName name="WCT_2">#REF!</definedName>
    <definedName name="wdcarige">#REF!</definedName>
    <definedName name="WDDQ">#REF!</definedName>
    <definedName name="we_13">#REF!</definedName>
    <definedName name="we_14">#REF!</definedName>
    <definedName name="we_15">#REF!</definedName>
    <definedName name="we_16">#REF!</definedName>
    <definedName name="we_17">#REF!</definedName>
    <definedName name="we_19">#REF!</definedName>
    <definedName name="we_20">#REF!</definedName>
    <definedName name="we_21">#REF!</definedName>
    <definedName name="we_23">#REF!</definedName>
    <definedName name="we_3">#REF!</definedName>
    <definedName name="wearingcourse">#REF!</definedName>
    <definedName name="weepholes">#REF!</definedName>
    <definedName name="wef">#REF!</definedName>
    <definedName name="Welder">#REF!</definedName>
    <definedName name="welderhelper">#REF!</definedName>
    <definedName name="wen">{#N/A,#N/A,TRUE,"Front";#N/A,#N/A,TRUE,"Simple Letter";#N/A,#N/A,TRUE,"Inside";#N/A,#N/A,TRUE,"Contents";#N/A,#N/A,TRUE,"Basis";#N/A,#N/A,TRUE,"Inclusions";#N/A,#N/A,TRUE,"Exclusions";#N/A,#N/A,TRUE,"Areas";#N/A,#N/A,TRUE,"Summary";#N/A,#N/A,TRUE,"Detail"}</definedName>
    <definedName name="WERWERWER">#REF!</definedName>
    <definedName name="WEW">#REF!</definedName>
    <definedName name="WF">#REF!</definedName>
    <definedName name="WH">#REF!</definedName>
    <definedName name="wh_12">#REF!</definedName>
    <definedName name="wh_13">#REF!</definedName>
    <definedName name="wh_14">#REF!</definedName>
    <definedName name="wh_15">#REF!</definedName>
    <definedName name="wh_16">#REF!</definedName>
    <definedName name="wh_17">#REF!</definedName>
    <definedName name="wh_19">#REF!</definedName>
    <definedName name="wh_2">#REF!</definedName>
    <definedName name="wh_20">#REF!</definedName>
    <definedName name="wh_21">#REF!</definedName>
    <definedName name="wh_23">#REF!</definedName>
    <definedName name="wh_3">#REF!</definedName>
    <definedName name="whc">#REF!</definedName>
    <definedName name="whc_12">#REF!</definedName>
    <definedName name="whc_13">#REF!</definedName>
    <definedName name="whc_15">#REF!</definedName>
    <definedName name="whc_16">#REF!</definedName>
    <definedName name="whc_17">#REF!</definedName>
    <definedName name="White_Cement">#REF!</definedName>
    <definedName name="whitewashing">#REF!</definedName>
    <definedName name="wid">#REF!</definedName>
    <definedName name="wide2hp">#REF!</definedName>
    <definedName name="widehp1">#REF!</definedName>
    <definedName name="widehp2">#REF!</definedName>
    <definedName name="widehp3">#REF!</definedName>
    <definedName name="Width">2</definedName>
    <definedName name="widwing">#REF!</definedName>
    <definedName name="WING">#REF!</definedName>
    <definedName name="wip">#REF!</definedName>
    <definedName name="wire">'[32]labour rates'!$C$2</definedName>
    <definedName name="Wires">'[32]labour rates'!$C$3</definedName>
    <definedName name="WK" hidden="1">{#N/A,#N/A,FALSE,"견적대비-2"}</definedName>
    <definedName name="WLP">#REF!</definedName>
    <definedName name="WMM">#REF!</definedName>
    <definedName name="wmmplant">#REF!</definedName>
    <definedName name="wngb1">#REF!</definedName>
    <definedName name="wngb2">#REF!</definedName>
    <definedName name="wngbb1">#REF!</definedName>
    <definedName name="wngbb2">#REF!</definedName>
    <definedName name="work">#REF!</definedName>
    <definedName name="works_range">#N/A</definedName>
    <definedName name="wp">#REF!</definedName>
    <definedName name="wrn" hidden="1">{#N/A,#N/A,TRUE,"Front";#N/A,#N/A,TRUE,"Simple Letter";#N/A,#N/A,TRUE,"Inside";#N/A,#N/A,TRUE,"Contents";#N/A,#N/A,TRUE,"Basis";#N/A,#N/A,TRUE,"Inclusions";#N/A,#N/A,TRUE,"Exclusions";#N/A,#N/A,TRUE,"Areas";#N/A,#N/A,TRUE,"Summary";#N/A,#N/A,TRUE,"Detail"}</definedName>
    <definedName name="wrn.abc." hidden="1">{#N/A,#N/A,FALSE,"MAINDATA"}</definedName>
    <definedName name="wrn.Aging._.and._.Trend._.Analysis." hidden="1">{#N/A,#N/A,FALSE,"Aging Summary";#N/A,#N/A,FALSE,"Ratio Analysis";#N/A,#N/A,FALSE,"Test 120 Day Accts";#N/A,#N/A,FALSE,"Tickmarks"}</definedName>
    <definedName name="wrn.All._.Three._.Sheets." hidden="1">{#N/A,#N/A,FALSE,"Legal Entities";#N/A,#N/A,FALSE,"Departments";#N/A,#N/A,FALSE,"Chart of Accounts"}</definedName>
    <definedName name="wrn.BARCHART." hidden="1">{"View1",#N/A,FALSE,"Sheet1";"View2",#N/A,FALSE,"Sheet1";"View3",#N/A,FALSE,"Sheet1";"View4",#N/A,FALSE,"Sheet1"}</definedName>
    <definedName name="wrn.Cost._.Plan._.Report." hidden="1">{"Summary",#N/A,TRUE,"Summary";"Cost Plan",#N/A,TRUE,"Cost Plan"}</definedName>
    <definedName name="wrn.detailed." hidden="1">{#N/A,#N/A,FALSE,"no"}</definedName>
    <definedName name="WRN.FULL"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d" hidden="1">{#N/A,#N/A,TRUE,"Front";#N/A,#N/A,TRUE,"Simple Letter";#N/A,#N/A,TRUE,"Inside";#N/A,#N/A,TRUE,"Contents";#N/A,#N/A,TRUE,"Basis";#N/A,#N/A,TRUE,"Inclusions";#N/A,#N/A,TRUE,"Exclusions";#N/A,#N/A,TRUE,"Areas";#N/A,#N/A,TRUE,"Summary";#N/A,#N/A,TRUE,"Detail"}</definedName>
    <definedName name="wrn.fulll" hidden="1">{#N/A,#N/A,TRUE,"Front";#N/A,#N/A,TRUE,"Simple Letter";#N/A,#N/A,TRUE,"Inside";#N/A,#N/A,TRUE,"Contents";#N/A,#N/A,TRUE,"Basis";#N/A,#N/A,TRUE,"Inclusions";#N/A,#N/A,TRUE,"Exclusions";#N/A,#N/A,TRUE,"Areas";#N/A,#N/A,TRUE,"Summary";#N/A,#N/A,TRUE,"Detail"}</definedName>
    <definedName name="wrn.khran." hidden="1">{#N/A,#N/A,FALSE,"Sheet5"}</definedName>
    <definedName name="wrn.pro1." hidden="1">{#N/A,#N/A,FALSE,"Sheet5"}</definedName>
    <definedName name="wrn.pro2." hidden="1">{#N/A,#N/A,FALSE,"Sheet5"}</definedName>
    <definedName name="wrn.Test._.Report." hidden="1">{#N/A,#N/A,FALSE,"DATA D.I.";#N/A,#N/A,FALSE,"DATA C.I."}</definedName>
    <definedName name="wrn.tou구매." hidden="1">{#N/A,#N/A,FALSE,"견적대비-2"}</definedName>
    <definedName name="wrnfulla" hidden="1">{#N/A,#N/A,TRUE,"Front";#N/A,#N/A,TRUE,"Simple Letter";#N/A,#N/A,TRUE,"Inside";#N/A,#N/A,TRUE,"Contents";#N/A,#N/A,TRUE,"Basis";#N/A,#N/A,TRUE,"Inclusions";#N/A,#N/A,TRUE,"Exclusions";#N/A,#N/A,TRUE,"Areas";#N/A,#N/A,TRUE,"Summary";#N/A,#N/A,TRUE,"Detail"}</definedName>
    <definedName name="wrt">{#N/A,#N/A,TRUE,"Front";#N/A,#N/A,TRUE,"Simple Letter";#N/A,#N/A,TRUE,"Inside";#N/A,#N/A,TRUE,"Contents";#N/A,#N/A,TRUE,"Basis";#N/A,#N/A,TRUE,"Inclusions";#N/A,#N/A,TRUE,"Exclusions";#N/A,#N/A,TRUE,"Areas";#N/A,#N/A,TRUE,"Summary";#N/A,#N/A,TRUE,"Detail"}</definedName>
    <definedName name="WS">'[14]CIVIL WORK'!#REF!</definedName>
    <definedName name="WSFWER">#REF!</definedName>
    <definedName name="WTP">#REF!</definedName>
    <definedName name="WTRGREGFERGJTHREJTJERGJRJGHJERHGJRJGERJGJJERGERJEFVBFNDVJFHG">#REF!</definedName>
    <definedName name="ww">#REF!</definedName>
    <definedName name="ww_13">#REF!</definedName>
    <definedName name="ww_14">#REF!</definedName>
    <definedName name="ww_15">#REF!</definedName>
    <definedName name="ww_16">#REF!</definedName>
    <definedName name="ww_17">#REF!</definedName>
    <definedName name="ww_19">#REF!</definedName>
    <definedName name="ww_20">#REF!</definedName>
    <definedName name="ww_21">#REF!</definedName>
    <definedName name="ww_23">#REF!</definedName>
    <definedName name="ww_3">#REF!</definedName>
    <definedName name="ww2_13">#REF!</definedName>
    <definedName name="ww2_14">#REF!</definedName>
    <definedName name="ww2_15">#REF!</definedName>
    <definedName name="ww2_16">#REF!</definedName>
    <definedName name="ww2_17">#REF!</definedName>
    <definedName name="ww2_19">#REF!</definedName>
    <definedName name="ww2_20">#REF!</definedName>
    <definedName name="ww2_23">#REF!</definedName>
    <definedName name="ww2_3">#REF!</definedName>
    <definedName name="www">#REF!</definedName>
    <definedName name="wwwww" hidden="1">#REF!</definedName>
    <definedName name="W행">#REF!</definedName>
    <definedName name="X" hidden="1">#REF!</definedName>
    <definedName name="xcd">#REF!</definedName>
    <definedName name="XDSAd">#REF!</definedName>
    <definedName name="Xl">#REF!</definedName>
    <definedName name="Xl___0">#REF!</definedName>
    <definedName name="Xl___13">#REF!</definedName>
    <definedName name="XX" hidden="1">{"View1",#N/A,FALSE,"Sheet1";"View2",#N/A,FALSE,"Sheet1";"View3",#N/A,FALSE,"Sheet1";"View4",#N/A,FALSE,"Sheet1"}</definedName>
    <definedName name="xxx">#N/A</definedName>
    <definedName name="xxxa">#REF!</definedName>
    <definedName name="xxxx">#REF!</definedName>
    <definedName name="XYZ">#REF!</definedName>
    <definedName name="X행">#REF!</definedName>
    <definedName name="y">#REF!</definedName>
    <definedName name="YE">[7]DATA!$H$56</definedName>
    <definedName name="YES">#REF!</definedName>
    <definedName name="YesNoMaybe">#N/A</definedName>
    <definedName name="yess">{#N/A,#N/A,TRUE,"Front";#N/A,#N/A,TRUE,"Simple Letter";#N/A,#N/A,TRUE,"Inside";#N/A,#N/A,TRUE,"Contents";#N/A,#N/A,TRUE,"Basis";#N/A,#N/A,TRUE,"Inclusions";#N/A,#N/A,TRUE,"Exclusions";#N/A,#N/A,TRUE,"Areas";#N/A,#N/A,TRUE,"Summary";#N/A,#N/A,TRUE,"Detail"}</definedName>
    <definedName name="YFB">[7]DESIGN!$D$67</definedName>
    <definedName name="YLG">[7]DATA!$H$59</definedName>
    <definedName name="YLQ">[7]DATA!$H$60</definedName>
    <definedName name="YP">[7]DATA!$H$63</definedName>
    <definedName name="YSG">[7]DATA!$H$57</definedName>
    <definedName name="YSQ">[7]DATA!$H$58</definedName>
    <definedName name="yt">#REF!</definedName>
    <definedName name="yty">#N/A</definedName>
    <definedName name="YW">[7]DATA!$H$61</definedName>
    <definedName name="YY" hidden="1">{"View1",#N/A,FALSE,"Sheet1";"View2",#N/A,FALSE,"Sheet1";"View3",#N/A,FALSE,"Sheet1";"View4",#N/A,FALSE,"Sheet1"}</definedName>
    <definedName name="Z">#REF!</definedName>
    <definedName name="Z_BA9A9574_DF62_42E6_B294_5F5C697991F9_.wvu.Cols">#REF!</definedName>
    <definedName name="Z_BA9A9574_DF62_42E6_B294_5F5C697991F9_.wvu.Cols_1">#REF!</definedName>
    <definedName name="Z_BA9A9574_DF62_42E6_B294_5F5C697991F9_.wvu.FilterData">#REF!</definedName>
    <definedName name="Z_BA9A9574_DF62_42E6_B294_5F5C697991F9_.wvu.PrintArea">#REF!</definedName>
    <definedName name="Z_BA9A9574_DF62_42E6_B294_5F5C697991F9_.wvu.PrintArea_1">#REF!</definedName>
    <definedName name="Z_BA9A9574_DF62_42E6_B294_5F5C697991F9_.wvu.PrintTitles">#REF!</definedName>
    <definedName name="Z_BA9A9574_DF62_42E6_B294_5F5C697991F9_.wvu.Rows">#REF!</definedName>
    <definedName name="Z_BA9A9574_DF62_42E6_B294_5F5C697991F9_.wvu.Rows_1">#REF!</definedName>
    <definedName name="ZBB">[7]DESIGN!$G$77</definedName>
    <definedName name="ZBT">[7]DESIGN!$G$99</definedName>
    <definedName name="Zero">#REF!</definedName>
    <definedName name="zhad">#REF!</definedName>
    <definedName name="Zip">#REF!</definedName>
    <definedName name="Zip1" hidden="1">{#N/A,#N/A,TRUE,"Front";#N/A,#N/A,TRUE,"Simple Letter";#N/A,#N/A,TRUE,"Inside";#N/A,#N/A,TRUE,"Contents";#N/A,#N/A,TRUE,"Basis";#N/A,#N/A,TRUE,"Inclusions";#N/A,#N/A,TRUE,"Exclusions";#N/A,#N/A,TRUE,"Areas";#N/A,#N/A,TRUE,"Summary";#N/A,#N/A,TRUE,"Detail"}</definedName>
    <definedName name="zitd">"$#REF!.$#REF!$#REF!"</definedName>
    <definedName name="zl">#REF!</definedName>
    <definedName name="zl___0">#REF!</definedName>
    <definedName name="zl___13">#REF!</definedName>
    <definedName name="zlpu">#REF!</definedName>
    <definedName name="zlpu___0">#REF!</definedName>
    <definedName name="zlpu___13">#REF!</definedName>
    <definedName name="ZOOM_50">#REF!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wert">#REF!</definedName>
    <definedName name="zxgsdfg" hidden="1">{"'Bill No. 7'!$A$1:$G$32"}</definedName>
    <definedName name="ZY">#REF!</definedName>
    <definedName name="ZY___0">#REF!</definedName>
    <definedName name="ZY___13">#REF!</definedName>
    <definedName name="zyo">#REF!</definedName>
    <definedName name="ZZZZZZZZZZZZZZ" hidden="1">#REF!</definedName>
    <definedName name="π">PI()</definedName>
    <definedName name="개정번호">#REF!</definedName>
    <definedName name="개정일자">#REF!</definedName>
    <definedName name="건목">53461</definedName>
    <definedName name="기본철골공수">INDIRECT("단중표!$P$39:$Q$54")</definedName>
    <definedName name="기본철골공수n">INDIRECT("단중표!$P$57:$Q$62")</definedName>
    <definedName name="기안갑">#REF!</definedName>
    <definedName name="기안을">#REF!</definedName>
    <definedName name="내역">#N/A</definedName>
    <definedName name="높이">INDIRECT("단중표!$P$10:$Q$15")</definedName>
    <definedName name="단가비교">#N/A</definedName>
    <definedName name="달래강돌">13326</definedName>
    <definedName name="대회">#REF!</definedName>
    <definedName name="레미콘">33172</definedName>
    <definedName name="밋션별">#REF!</definedName>
    <definedName name="방부각재">931007</definedName>
    <definedName name="방부원주">1064010</definedName>
    <definedName name="방부판재">1037435</definedName>
    <definedName name="방수공">43587.7</definedName>
    <definedName name="변경">#REF!</definedName>
    <definedName name="보통">30526</definedName>
    <definedName name="석공">54085.2</definedName>
    <definedName name="셋트앵커">2131</definedName>
    <definedName name="셋트앵커2">685.55</definedName>
    <definedName name="스텐레스판">2149455</definedName>
    <definedName name="시행일자">#REF!</definedName>
    <definedName name="심형자료">#N/A</definedName>
    <definedName name="여장">INDIRECT("단중표!$P$66:$Q$69")</definedName>
    <definedName name="예비비">#REF!</definedName>
    <definedName name="용접공">52459.4</definedName>
    <definedName name="용접공수">INDIRECT("단중표!$Y$2:$Z$21")</definedName>
    <definedName name="용접보정">INDIRECT("단중표!$Y$24:$Z$38")</definedName>
    <definedName name="원1">#REF!</definedName>
    <definedName name="이형철근">266523</definedName>
    <definedName name="입찰1">#N/A</definedName>
    <definedName name="입찰2">#N/A</definedName>
    <definedName name="제목">#REF!</definedName>
    <definedName name="조경">54828</definedName>
    <definedName name="조경변경">45400</definedName>
    <definedName name="조직표">#N/A</definedName>
    <definedName name="주요물량비교">#N/A</definedName>
    <definedName name="줄눈">46760</definedName>
    <definedName name="철골공N">INDIRECT("단중표!$P$32:$Q$37")</definedName>
    <definedName name="철골공보정">INDIRECT("단중표!$S$3:$U$6")</definedName>
    <definedName name="철골량">INDIRECT("단중표!$P$2:$Q$7")</definedName>
    <definedName name="철근공">56362</definedName>
    <definedName name="콘">55333</definedName>
    <definedName name="특별">44562</definedName>
    <definedName name="표준명">#REF!</definedName>
    <definedName name="표준번호">#REF!</definedName>
    <definedName name="품셈3">#N/A</definedName>
    <definedName name="형강재">INDIRECT("단중표!$A:$D")</definedName>
    <definedName name="화강석두껍돌">15992</definedName>
    <definedName name="화강석두껍돌100">29319</definedName>
    <definedName name="화강석판석30">53306</definedName>
    <definedName name="환산">#REF!</definedName>
    <definedName name="회사명">#REF!</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8" i="4" l="1"/>
  <c r="M38" i="4" s="1"/>
  <c r="J37" i="4"/>
  <c r="M37" i="4" s="1"/>
  <c r="J36" i="4"/>
  <c r="B38" i="4"/>
  <c r="B37" i="4"/>
  <c r="C38" i="4" a="1"/>
  <c r="C38" i="4" s="1"/>
  <c r="C37" i="4" a="1"/>
  <c r="C37" i="4" s="1"/>
  <c r="C36" i="4" a="1"/>
  <c r="C36" i="4"/>
  <c r="F307" i="5"/>
  <c r="K307" i="5"/>
  <c r="V310" i="5"/>
  <c r="K310" i="5"/>
  <c r="K311" i="5" s="1"/>
  <c r="N311" i="5" s="1"/>
  <c r="K304" i="5"/>
  <c r="K305" i="5" s="1"/>
  <c r="B35" i="4"/>
  <c r="L35" i="4"/>
  <c r="L34" i="4"/>
  <c r="B34" i="4" a="1"/>
  <c r="B34" i="4" s="1"/>
  <c r="B33" i="4" a="1"/>
  <c r="B33" i="4" s="1"/>
  <c r="C33" i="4" a="1"/>
  <c r="C33" i="4" s="1"/>
  <c r="C35" i="4" a="1"/>
  <c r="C35" i="4" s="1"/>
  <c r="C34" i="4" a="1"/>
  <c r="C34" i="4" s="1"/>
  <c r="D295" i="5"/>
  <c r="K295" i="5" s="1"/>
  <c r="U295" i="5"/>
  <c r="K294" i="5"/>
  <c r="K298" i="5"/>
  <c r="K299" i="5" s="1"/>
  <c r="N299" i="5" s="1"/>
  <c r="M36" i="4" l="1"/>
  <c r="K308" i="5"/>
  <c r="N308" i="5" s="1"/>
  <c r="O305" i="5"/>
  <c r="N305" i="5"/>
  <c r="J34" i="4"/>
  <c r="M34" i="4" s="1"/>
  <c r="K296" i="5"/>
  <c r="K301" i="5"/>
  <c r="K302" i="5" s="1"/>
  <c r="N302" i="5" l="1"/>
  <c r="J35" i="4"/>
  <c r="M35" i="4" s="1"/>
  <c r="N296" i="5"/>
  <c r="J33" i="4"/>
  <c r="M33" i="4" s="1"/>
  <c r="C32" i="4" l="1" a="1"/>
  <c r="C32" i="4" s="1"/>
  <c r="K290" i="5"/>
  <c r="K291" i="5" s="1"/>
  <c r="N291" i="5" s="1"/>
  <c r="N11" i="14"/>
  <c r="P11" i="14" s="1"/>
  <c r="E11" i="7"/>
  <c r="E10" i="7"/>
  <c r="E9" i="7"/>
  <c r="C9" i="7"/>
  <c r="C10" i="7" s="1"/>
  <c r="E8" i="7"/>
  <c r="C8" i="7"/>
  <c r="G117" i="8"/>
  <c r="H117" i="8" s="1"/>
  <c r="H116" i="8"/>
  <c r="G97" i="8"/>
  <c r="H97" i="8" s="1"/>
  <c r="G79" i="8"/>
  <c r="H79" i="8" s="1"/>
  <c r="G61" i="8"/>
  <c r="H61" i="8" s="1"/>
  <c r="G46" i="8"/>
  <c r="H46" i="8" s="1"/>
  <c r="G28" i="8"/>
  <c r="H28" i="8" s="1"/>
  <c r="G10" i="8"/>
  <c r="H10" i="8" s="1"/>
  <c r="H96" i="8"/>
  <c r="H78" i="8"/>
  <c r="H60" i="8"/>
  <c r="K134" i="19"/>
  <c r="K133" i="19"/>
  <c r="K132" i="19"/>
  <c r="K131" i="19"/>
  <c r="K130" i="19"/>
  <c r="K129" i="19"/>
  <c r="K128" i="19"/>
  <c r="K135" i="19" s="1"/>
  <c r="N135" i="19" s="1"/>
  <c r="K127" i="19"/>
  <c r="K126" i="19"/>
  <c r="K125" i="19"/>
  <c r="K124" i="19"/>
  <c r="K123" i="19"/>
  <c r="K122" i="19"/>
  <c r="K121" i="19"/>
  <c r="K120" i="19"/>
  <c r="K119" i="19"/>
  <c r="K118" i="19"/>
  <c r="K117" i="19"/>
  <c r="K116" i="19"/>
  <c r="K110" i="19"/>
  <c r="K109" i="19"/>
  <c r="K108" i="19"/>
  <c r="K106" i="19"/>
  <c r="K105" i="19"/>
  <c r="K104" i="19"/>
  <c r="K102" i="19"/>
  <c r="K101" i="19"/>
  <c r="K100" i="19"/>
  <c r="K98" i="19"/>
  <c r="K97" i="19"/>
  <c r="K96" i="19"/>
  <c r="K95" i="19"/>
  <c r="K111" i="19" s="1"/>
  <c r="N111" i="19" s="1"/>
  <c r="K94" i="19"/>
  <c r="K89" i="19"/>
  <c r="K88" i="19"/>
  <c r="K87" i="19"/>
  <c r="K85" i="19"/>
  <c r="K84" i="19"/>
  <c r="K83" i="19"/>
  <c r="K81" i="19"/>
  <c r="K80" i="19"/>
  <c r="K78" i="19"/>
  <c r="K77" i="19"/>
  <c r="K76" i="19"/>
  <c r="K74" i="19"/>
  <c r="K73" i="19"/>
  <c r="K72" i="19"/>
  <c r="K71" i="19"/>
  <c r="K70" i="19"/>
  <c r="K90" i="19" s="1"/>
  <c r="N90" i="19" s="1"/>
  <c r="K69" i="19"/>
  <c r="K62" i="19"/>
  <c r="K61" i="19"/>
  <c r="K60" i="19"/>
  <c r="K59" i="19"/>
  <c r="K58" i="19"/>
  <c r="K57" i="19"/>
  <c r="K55" i="19"/>
  <c r="K54" i="19"/>
  <c r="K53" i="19"/>
  <c r="K51" i="19"/>
  <c r="K50" i="19"/>
  <c r="K48" i="19"/>
  <c r="K47" i="19"/>
  <c r="K46" i="19"/>
  <c r="K44" i="19"/>
  <c r="K43" i="19"/>
  <c r="K42" i="19"/>
  <c r="K40" i="19"/>
  <c r="K39" i="19"/>
  <c r="K38" i="19"/>
  <c r="K37" i="19"/>
  <c r="K36" i="19"/>
  <c r="K34" i="19"/>
  <c r="K33" i="19"/>
  <c r="K32" i="19"/>
  <c r="K30" i="19"/>
  <c r="K29" i="19"/>
  <c r="K28" i="19"/>
  <c r="K26" i="19"/>
  <c r="K25" i="19"/>
  <c r="K24" i="19"/>
  <c r="K22" i="19"/>
  <c r="K21" i="19"/>
  <c r="K20" i="19"/>
  <c r="K18" i="19"/>
  <c r="K17" i="19"/>
  <c r="K16" i="19"/>
  <c r="K14" i="19"/>
  <c r="K13" i="19"/>
  <c r="K12" i="19"/>
  <c r="K63" i="19" s="1"/>
  <c r="K10" i="19"/>
  <c r="K9" i="19"/>
  <c r="K8" i="19"/>
  <c r="I54" i="18"/>
  <c r="I53" i="18"/>
  <c r="I52" i="18"/>
  <c r="I51" i="18"/>
  <c r="I55" i="18" s="1"/>
  <c r="K30" i="17" s="1"/>
  <c r="I47" i="18"/>
  <c r="I46" i="18"/>
  <c r="I45" i="18"/>
  <c r="I48" i="18" s="1"/>
  <c r="K27" i="17" s="1"/>
  <c r="M27" i="17" s="1"/>
  <c r="H39" i="18"/>
  <c r="I39" i="18" s="1"/>
  <c r="H38" i="18"/>
  <c r="I38" i="18" s="1"/>
  <c r="I34" i="18"/>
  <c r="J34" i="18" s="1"/>
  <c r="J35" i="18" s="1"/>
  <c r="G34" i="18"/>
  <c r="K30" i="18"/>
  <c r="H30" i="18"/>
  <c r="G30" i="18"/>
  <c r="G29" i="18"/>
  <c r="H29" i="18" s="1"/>
  <c r="K29" i="18" s="1"/>
  <c r="K31" i="18" s="1"/>
  <c r="I23" i="18"/>
  <c r="I24" i="18" s="1"/>
  <c r="K21" i="17" s="1"/>
  <c r="M21" i="17" s="1"/>
  <c r="I17" i="18"/>
  <c r="K18" i="17" s="1"/>
  <c r="M18" i="17" s="1"/>
  <c r="I16" i="18"/>
  <c r="I15" i="18"/>
  <c r="I10" i="18"/>
  <c r="K15" i="17" s="1"/>
  <c r="M15" i="17" s="1"/>
  <c r="I9" i="18"/>
  <c r="I4" i="18"/>
  <c r="I5" i="18" s="1"/>
  <c r="K11" i="17" s="1"/>
  <c r="M11" i="17" s="1"/>
  <c r="M33" i="17"/>
  <c r="K24" i="17"/>
  <c r="M24" i="17" s="1"/>
  <c r="G30" i="15"/>
  <c r="E30" i="15"/>
  <c r="E28" i="15"/>
  <c r="G28" i="15" s="1"/>
  <c r="G27" i="15"/>
  <c r="G26" i="15"/>
  <c r="G25" i="15"/>
  <c r="G24" i="15"/>
  <c r="G23" i="15"/>
  <c r="G22" i="15"/>
  <c r="G21" i="15"/>
  <c r="G19" i="15"/>
  <c r="G18" i="15"/>
  <c r="G17" i="15"/>
  <c r="G15" i="15"/>
  <c r="G14" i="15"/>
  <c r="G13" i="15"/>
  <c r="G12" i="15"/>
  <c r="G11" i="15"/>
  <c r="G9" i="15"/>
  <c r="G8" i="15"/>
  <c r="G7" i="15"/>
  <c r="G5" i="15"/>
  <c r="G4" i="15"/>
  <c r="G31" i="15" s="1"/>
  <c r="A40" i="15" s="1"/>
  <c r="N37" i="14"/>
  <c r="N35" i="14"/>
  <c r="N33" i="14"/>
  <c r="N31" i="14"/>
  <c r="N28" i="14"/>
  <c r="N27" i="14"/>
  <c r="N26" i="14"/>
  <c r="N23" i="14"/>
  <c r="N20" i="14"/>
  <c r="N18" i="14"/>
  <c r="N16" i="14"/>
  <c r="N13" i="14"/>
  <c r="N12" i="14"/>
  <c r="N10" i="14"/>
  <c r="P10" i="14" s="1"/>
  <c r="N8" i="14"/>
  <c r="N6" i="14"/>
  <c r="A1" i="14"/>
  <c r="A1" i="15" s="1" a="1"/>
  <c r="A1" i="15" s="1"/>
  <c r="A1" i="17" s="1" a="1"/>
  <c r="A1" i="17" s="1"/>
  <c r="C5" i="13"/>
  <c r="C4" i="13"/>
  <c r="A8" i="11"/>
  <c r="M6" i="10"/>
  <c r="N6" i="10" s="1"/>
  <c r="N7" i="10" s="1"/>
  <c r="J6" i="10"/>
  <c r="J7" i="10" s="1"/>
  <c r="I6" i="10"/>
  <c r="E6" i="10"/>
  <c r="F6" i="10" s="1"/>
  <c r="F7" i="10" s="1"/>
  <c r="A2" i="10"/>
  <c r="C10" i="9"/>
  <c r="H45" i="8"/>
  <c r="H27" i="8"/>
  <c r="H9" i="8"/>
  <c r="A1" i="7" a="1"/>
  <c r="A1" i="7" s="1"/>
  <c r="K34" i="6"/>
  <c r="K35" i="6" s="1"/>
  <c r="N35" i="6" s="1"/>
  <c r="K33" i="6"/>
  <c r="Q32" i="6"/>
  <c r="S32" i="6" s="1"/>
  <c r="P32" i="6" s="1"/>
  <c r="K30" i="6"/>
  <c r="K29" i="6"/>
  <c r="K31" i="6" s="1"/>
  <c r="K28" i="6"/>
  <c r="Q27" i="6"/>
  <c r="S27" i="6" s="1"/>
  <c r="P27" i="6" s="1"/>
  <c r="K25" i="6"/>
  <c r="K26" i="6" s="1"/>
  <c r="N26" i="6" s="1"/>
  <c r="K24" i="6"/>
  <c r="K23" i="6"/>
  <c r="K20" i="6"/>
  <c r="K19" i="6"/>
  <c r="K21" i="6" s="1"/>
  <c r="N21" i="6" s="1"/>
  <c r="O17" i="6"/>
  <c r="O26" i="6" s="1"/>
  <c r="K16" i="6"/>
  <c r="K15" i="6"/>
  <c r="K14" i="6"/>
  <c r="K17" i="6" s="1"/>
  <c r="O12" i="6"/>
  <c r="O21" i="6" s="1"/>
  <c r="K10" i="6"/>
  <c r="F10" i="6"/>
  <c r="F9" i="6"/>
  <c r="K9" i="6" s="1"/>
  <c r="K8" i="6"/>
  <c r="K11" i="6" s="1"/>
  <c r="F8" i="6"/>
  <c r="Q27" i="4"/>
  <c r="S27" i="4" s="1"/>
  <c r="P27" i="4" s="1"/>
  <c r="M23" i="4"/>
  <c r="L17" i="4"/>
  <c r="C17" i="4"/>
  <c r="B17" i="4"/>
  <c r="L16" i="4"/>
  <c r="K16" i="4"/>
  <c r="C16" i="4"/>
  <c r="B16" i="4"/>
  <c r="L15" i="4"/>
  <c r="C15" i="4"/>
  <c r="B15" i="4"/>
  <c r="W13" i="4"/>
  <c r="T13" i="4"/>
  <c r="S13" i="4"/>
  <c r="W12" i="4"/>
  <c r="T12" i="4"/>
  <c r="Q12" i="4"/>
  <c r="S12" i="4" s="1"/>
  <c r="O4" i="4"/>
  <c r="A1" i="4"/>
  <c r="BE39" i="3"/>
  <c r="BD39" i="3"/>
  <c r="BC39" i="3"/>
  <c r="BB39" i="3"/>
  <c r="BA39" i="3"/>
  <c r="BH39" i="3" s="1"/>
  <c r="G11" i="3"/>
  <c r="G10" i="3"/>
  <c r="B3" i="3"/>
  <c r="A1" i="8" s="1"/>
  <c r="F16" i="1"/>
  <c r="A1" i="16" s="1"/>
  <c r="K287" i="5"/>
  <c r="K288" i="5" s="1"/>
  <c r="N288" i="5" s="1"/>
  <c r="K284" i="5"/>
  <c r="K285" i="5" s="1"/>
  <c r="N285" i="5" s="1"/>
  <c r="K281" i="5"/>
  <c r="K280" i="5"/>
  <c r="K279" i="5"/>
  <c r="K278" i="5"/>
  <c r="K277" i="5"/>
  <c r="K276" i="5"/>
  <c r="K273" i="5"/>
  <c r="K274" i="5" s="1"/>
  <c r="N274" i="5" s="1"/>
  <c r="K270" i="5"/>
  <c r="K269" i="5"/>
  <c r="K266" i="5"/>
  <c r="K265" i="5"/>
  <c r="K262" i="5"/>
  <c r="K261" i="5"/>
  <c r="K260" i="5"/>
  <c r="K257" i="5"/>
  <c r="K256" i="5"/>
  <c r="K255" i="5"/>
  <c r="K252" i="5"/>
  <c r="K253" i="5" s="1"/>
  <c r="N253" i="5" s="1"/>
  <c r="K249" i="5"/>
  <c r="K250" i="5" s="1"/>
  <c r="N250" i="5" s="1"/>
  <c r="K246" i="5"/>
  <c r="K247" i="5" s="1"/>
  <c r="N247" i="5" s="1"/>
  <c r="K243" i="5"/>
  <c r="K244" i="5" s="1"/>
  <c r="N244" i="5" s="1"/>
  <c r="K240" i="5"/>
  <c r="K241" i="5" s="1"/>
  <c r="N241" i="5" s="1"/>
  <c r="K237" i="5"/>
  <c r="K238" i="5" s="1"/>
  <c r="N238" i="5" s="1"/>
  <c r="K234" i="5"/>
  <c r="K233" i="5"/>
  <c r="K232" i="5"/>
  <c r="K229" i="5"/>
  <c r="K228" i="5"/>
  <c r="K227" i="5"/>
  <c r="K224" i="5"/>
  <c r="K223" i="5"/>
  <c r="K222" i="5"/>
  <c r="K219" i="5"/>
  <c r="K218" i="5"/>
  <c r="K217" i="5"/>
  <c r="K216" i="5"/>
  <c r="K215" i="5"/>
  <c r="K214" i="5"/>
  <c r="K213" i="5"/>
  <c r="K212" i="5"/>
  <c r="K211" i="5"/>
  <c r="K210" i="5"/>
  <c r="K209" i="5"/>
  <c r="K208" i="5"/>
  <c r="K207" i="5"/>
  <c r="K206" i="5"/>
  <c r="K205" i="5"/>
  <c r="K204" i="5"/>
  <c r="K203" i="5"/>
  <c r="K202" i="5"/>
  <c r="K199" i="5"/>
  <c r="K198" i="5"/>
  <c r="K197" i="5"/>
  <c r="K196" i="5"/>
  <c r="K195" i="5"/>
  <c r="K194" i="5"/>
  <c r="K193" i="5"/>
  <c r="K192" i="5"/>
  <c r="K191" i="5"/>
  <c r="K190" i="5"/>
  <c r="K189" i="5"/>
  <c r="K188" i="5"/>
  <c r="K187" i="5"/>
  <c r="K186" i="5"/>
  <c r="K185" i="5"/>
  <c r="K184" i="5"/>
  <c r="K183" i="5"/>
  <c r="K182" i="5"/>
  <c r="K181" i="5"/>
  <c r="K179" i="5"/>
  <c r="K178" i="5"/>
  <c r="K177" i="5"/>
  <c r="K175" i="5"/>
  <c r="K174" i="5"/>
  <c r="K173" i="5"/>
  <c r="K171" i="5"/>
  <c r="K170" i="5"/>
  <c r="K169" i="5"/>
  <c r="K167" i="5"/>
  <c r="K166" i="5"/>
  <c r="K165" i="5"/>
  <c r="K164" i="5"/>
  <c r="K163" i="5"/>
  <c r="K160" i="5"/>
  <c r="K159" i="5"/>
  <c r="K158" i="5"/>
  <c r="K156" i="5"/>
  <c r="K155" i="5"/>
  <c r="K154" i="5"/>
  <c r="K152" i="5"/>
  <c r="K151" i="5"/>
  <c r="K149" i="5"/>
  <c r="K148" i="5"/>
  <c r="K147" i="5"/>
  <c r="K145" i="5"/>
  <c r="K144" i="5"/>
  <c r="K143" i="5"/>
  <c r="K142" i="5"/>
  <c r="K141" i="5"/>
  <c r="K140" i="5"/>
  <c r="K135" i="5"/>
  <c r="K134" i="5"/>
  <c r="K133" i="5"/>
  <c r="K132" i="5"/>
  <c r="K131" i="5"/>
  <c r="K130" i="5"/>
  <c r="K129" i="5"/>
  <c r="K128" i="5"/>
  <c r="K127" i="5"/>
  <c r="K125" i="5"/>
  <c r="K124" i="5"/>
  <c r="K122" i="5"/>
  <c r="K121" i="5"/>
  <c r="K120" i="5"/>
  <c r="K118" i="5"/>
  <c r="K117" i="5"/>
  <c r="K116" i="5"/>
  <c r="K114" i="5"/>
  <c r="K113" i="5"/>
  <c r="K112" i="5"/>
  <c r="K111" i="5"/>
  <c r="K110" i="5"/>
  <c r="K108" i="5"/>
  <c r="K107" i="5"/>
  <c r="K106" i="5"/>
  <c r="K104" i="5"/>
  <c r="K103" i="5"/>
  <c r="K102" i="5"/>
  <c r="K100" i="5"/>
  <c r="K99" i="5"/>
  <c r="K98" i="5"/>
  <c r="K96" i="5"/>
  <c r="K95" i="5"/>
  <c r="K94" i="5"/>
  <c r="K92" i="5"/>
  <c r="K91" i="5"/>
  <c r="K90" i="5"/>
  <c r="K88" i="5"/>
  <c r="K87" i="5"/>
  <c r="K86" i="5"/>
  <c r="K84" i="5"/>
  <c r="K83" i="5"/>
  <c r="K82" i="5"/>
  <c r="K78" i="5"/>
  <c r="K77" i="5"/>
  <c r="K74" i="5"/>
  <c r="K73" i="5"/>
  <c r="K72" i="5"/>
  <c r="K71" i="5"/>
  <c r="K70" i="5"/>
  <c r="K69" i="5"/>
  <c r="K68" i="5"/>
  <c r="K67" i="5"/>
  <c r="K66" i="5"/>
  <c r="K65" i="5"/>
  <c r="K64" i="5"/>
  <c r="K63" i="5"/>
  <c r="K62" i="5"/>
  <c r="K61" i="5"/>
  <c r="K60" i="5"/>
  <c r="K59" i="5"/>
  <c r="K58" i="5"/>
  <c r="K57" i="5"/>
  <c r="K54" i="5"/>
  <c r="K53" i="5"/>
  <c r="K52" i="5"/>
  <c r="K51" i="5"/>
  <c r="K50" i="5"/>
  <c r="K49" i="5"/>
  <c r="K48" i="5"/>
  <c r="K45" i="5"/>
  <c r="K44" i="5"/>
  <c r="K43" i="5"/>
  <c r="K42" i="5"/>
  <c r="K41" i="5"/>
  <c r="K40" i="5"/>
  <c r="K39" i="5"/>
  <c r="K38" i="5"/>
  <c r="K37" i="5"/>
  <c r="K36" i="5"/>
  <c r="K35" i="5"/>
  <c r="K34" i="5"/>
  <c r="K33" i="5"/>
  <c r="K30" i="5"/>
  <c r="K31" i="5" s="1"/>
  <c r="N31" i="5" s="1"/>
  <c r="K27" i="5"/>
  <c r="K28" i="5" s="1"/>
  <c r="N28" i="5" s="1"/>
  <c r="K24" i="5"/>
  <c r="K25" i="5" s="1"/>
  <c r="N25" i="5" s="1"/>
  <c r="K21" i="5"/>
  <c r="K22" i="5" s="1"/>
  <c r="N22" i="5" s="1"/>
  <c r="K18" i="5"/>
  <c r="K17" i="5"/>
  <c r="K16" i="5"/>
  <c r="K15" i="5"/>
  <c r="K14" i="5"/>
  <c r="K13" i="5"/>
  <c r="K12" i="5"/>
  <c r="K11" i="5"/>
  <c r="K8" i="5"/>
  <c r="K7" i="5"/>
  <c r="J22" i="4" l="1"/>
  <c r="M22" i="4" s="1"/>
  <c r="J21" i="4"/>
  <c r="M21" i="4" s="1"/>
  <c r="K55" i="5"/>
  <c r="N55" i="5" s="1"/>
  <c r="J20" i="4"/>
  <c r="M20" i="4" s="1"/>
  <c r="J18" i="4"/>
  <c r="M18" i="4" s="1"/>
  <c r="K271" i="5"/>
  <c r="N271" i="5" s="1"/>
  <c r="J19" i="4"/>
  <c r="M19" i="4" s="1"/>
  <c r="J32" i="4"/>
  <c r="M32" i="4" s="1"/>
  <c r="K258" i="5"/>
  <c r="J30" i="4"/>
  <c r="M30" i="4" s="1"/>
  <c r="J5" i="4"/>
  <c r="M5" i="4" s="1"/>
  <c r="J6" i="4"/>
  <c r="M6" i="4" s="1"/>
  <c r="J8" i="4"/>
  <c r="M8" i="4" s="1"/>
  <c r="J28" i="4"/>
  <c r="M28" i="4" s="1"/>
  <c r="J31" i="4"/>
  <c r="M31" i="4" s="1"/>
  <c r="J7" i="4"/>
  <c r="M7" i="4" s="1"/>
  <c r="N39" i="14"/>
  <c r="N40" i="14" s="1"/>
  <c r="P40" i="14" s="1"/>
  <c r="F11" i="7"/>
  <c r="F9" i="7"/>
  <c r="F10" i="7"/>
  <c r="F8" i="7"/>
  <c r="H11" i="8"/>
  <c r="H13" i="8" s="1"/>
  <c r="H14" i="8" s="1"/>
  <c r="H15" i="8" s="1"/>
  <c r="H118" i="8"/>
  <c r="H120" i="8" s="1"/>
  <c r="H98" i="8"/>
  <c r="H100" i="8" s="1"/>
  <c r="H80" i="8"/>
  <c r="H82" i="8" s="1"/>
  <c r="H83" i="8" s="1"/>
  <c r="H84" i="8" s="1"/>
  <c r="H62" i="8"/>
  <c r="H64" i="8" s="1"/>
  <c r="H47" i="8"/>
  <c r="H49" i="8" s="1"/>
  <c r="H50" i="8" s="1"/>
  <c r="H51" i="8" s="1"/>
  <c r="H29" i="8"/>
  <c r="H31" i="8" s="1"/>
  <c r="H32" i="8" s="1"/>
  <c r="H33" i="8" s="1"/>
  <c r="K19" i="5"/>
  <c r="K9" i="5"/>
  <c r="K225" i="5"/>
  <c r="K263" i="5"/>
  <c r="K267" i="5"/>
  <c r="K136" i="5"/>
  <c r="K137" i="5" s="1"/>
  <c r="K79" i="5"/>
  <c r="K282" i="5"/>
  <c r="K75" i="5"/>
  <c r="K220" i="5"/>
  <c r="K46" i="5"/>
  <c r="K230" i="5"/>
  <c r="K235" i="5"/>
  <c r="BY40" i="15"/>
  <c r="CQ40" i="15"/>
  <c r="AX40" i="15"/>
  <c r="BP40" i="15"/>
  <c r="BG40" i="15"/>
  <c r="CH40" i="15"/>
  <c r="K64" i="19"/>
  <c r="K65" i="19" s="1"/>
  <c r="N11" i="6"/>
  <c r="N31" i="6"/>
  <c r="I40" i="18"/>
  <c r="J41" i="18" s="1"/>
  <c r="N17" i="6"/>
  <c r="M30" i="17"/>
  <c r="M34" i="17" s="1"/>
  <c r="M35" i="17" s="1"/>
  <c r="A39" i="17" s="1"/>
  <c r="K31" i="17"/>
  <c r="M31" i="17" s="1"/>
  <c r="J10" i="4" l="1"/>
  <c r="M10" i="4" s="1"/>
  <c r="J27" i="4"/>
  <c r="M27" i="4" s="1"/>
  <c r="N225" i="5"/>
  <c r="J15" i="4"/>
  <c r="M15" i="4" s="1"/>
  <c r="N220" i="5"/>
  <c r="J14" i="4"/>
  <c r="M14" i="4" s="1"/>
  <c r="N282" i="5"/>
  <c r="J29" i="4"/>
  <c r="M29" i="4" s="1"/>
  <c r="N267" i="5"/>
  <c r="J26" i="4"/>
  <c r="M26" i="4" s="1"/>
  <c r="N235" i="5"/>
  <c r="J17" i="4"/>
  <c r="M17" i="4" s="1"/>
  <c r="N230" i="5"/>
  <c r="J16" i="4"/>
  <c r="M16" i="4" s="1"/>
  <c r="N75" i="5"/>
  <c r="J11" i="4"/>
  <c r="M11" i="4" s="1"/>
  <c r="N79" i="5"/>
  <c r="J12" i="4"/>
  <c r="M12" i="4" s="1"/>
  <c r="N263" i="5"/>
  <c r="J25" i="4"/>
  <c r="M25" i="4" s="1"/>
  <c r="N9" i="5"/>
  <c r="J3" i="4"/>
  <c r="N19" i="5"/>
  <c r="J4" i="4"/>
  <c r="M4" i="4" s="1"/>
  <c r="N46" i="5"/>
  <c r="J9" i="4"/>
  <c r="M9" i="4" s="1"/>
  <c r="N258" i="5"/>
  <c r="J24" i="4"/>
  <c r="M24" i="4" s="1"/>
  <c r="G9" i="3"/>
  <c r="H121" i="8"/>
  <c r="H122" i="8" s="1"/>
  <c r="H101" i="8"/>
  <c r="H102" i="8" s="1"/>
  <c r="H85" i="8"/>
  <c r="H87" i="8" s="1"/>
  <c r="H65" i="8"/>
  <c r="H66" i="8" s="1"/>
  <c r="K200" i="5"/>
  <c r="J13" i="4" s="1"/>
  <c r="M13" i="4" s="1"/>
  <c r="CQ39" i="17"/>
  <c r="AX39" i="17"/>
  <c r="CH39" i="17"/>
  <c r="BP39" i="17"/>
  <c r="BG39" i="17"/>
  <c r="BY39" i="17"/>
  <c r="K113" i="19"/>
  <c r="N65" i="19"/>
  <c r="H34" i="8"/>
  <c r="H36" i="8" s="1"/>
  <c r="E6" i="7" s="1"/>
  <c r="F6" i="7" s="1"/>
  <c r="H16" i="8"/>
  <c r="H18" i="8" s="1"/>
  <c r="E5" i="7" s="1"/>
  <c r="F5" i="7" s="1"/>
  <c r="H52" i="8"/>
  <c r="H54" i="8" s="1"/>
  <c r="E7" i="7" s="1"/>
  <c r="F7" i="7" s="1"/>
  <c r="CF40" i="15"/>
  <c r="CE40" i="15"/>
  <c r="CD40" i="15"/>
  <c r="CC40" i="15"/>
  <c r="CB40" i="15"/>
  <c r="CI40" i="15" s="1"/>
  <c r="BE40" i="15"/>
  <c r="BD40" i="15"/>
  <c r="BB40" i="15"/>
  <c r="BC40" i="15"/>
  <c r="BA40" i="15"/>
  <c r="BM40" i="15"/>
  <c r="BN40" i="15"/>
  <c r="BL40" i="15"/>
  <c r="BK40" i="15"/>
  <c r="BJ40" i="15"/>
  <c r="BQ40" i="15" s="1"/>
  <c r="AV40" i="15"/>
  <c r="AU40" i="15"/>
  <c r="AT40" i="15"/>
  <c r="AS40" i="15"/>
  <c r="AR40" i="15"/>
  <c r="BW40" i="15"/>
  <c r="BV40" i="15"/>
  <c r="BU40" i="15"/>
  <c r="BT40" i="15"/>
  <c r="BS40" i="15"/>
  <c r="N36" i="6"/>
  <c r="N37" i="6" s="1"/>
  <c r="A44" i="6" s="1"/>
  <c r="CO40" i="15"/>
  <c r="CN40" i="15"/>
  <c r="CM40" i="15"/>
  <c r="CK40" i="15"/>
  <c r="CR40" i="15" s="1"/>
  <c r="CL40" i="15"/>
  <c r="F12" i="7" l="1"/>
  <c r="P3" i="4"/>
  <c r="M3" i="4"/>
  <c r="M39" i="4" s="1"/>
  <c r="H123" i="8"/>
  <c r="H125" i="8" s="1"/>
  <c r="H103" i="8"/>
  <c r="H105" i="8" s="1"/>
  <c r="H67" i="8"/>
  <c r="H69" i="8" s="1"/>
  <c r="N200" i="5"/>
  <c r="N312" i="5" s="1"/>
  <c r="BZ40" i="15"/>
  <c r="K137" i="19"/>
  <c r="N137" i="19" s="1"/>
  <c r="N113" i="19"/>
  <c r="BV39" i="17"/>
  <c r="BU39" i="17"/>
  <c r="BS39" i="17"/>
  <c r="BT39" i="17"/>
  <c r="BW39" i="17"/>
  <c r="BH40" i="15"/>
  <c r="BB39" i="17"/>
  <c r="BA39" i="17"/>
  <c r="BE39" i="17"/>
  <c r="BD39" i="17"/>
  <c r="BC39" i="17"/>
  <c r="BN39" i="17"/>
  <c r="BL39" i="17"/>
  <c r="BK39" i="17"/>
  <c r="BJ39" i="17"/>
  <c r="BM39" i="17"/>
  <c r="AY40" i="15"/>
  <c r="CF39" i="17"/>
  <c r="CE39" i="17"/>
  <c r="CD39" i="17"/>
  <c r="CC39" i="17"/>
  <c r="CB39" i="17"/>
  <c r="AV39" i="17"/>
  <c r="AU39" i="17"/>
  <c r="AT39" i="17"/>
  <c r="AS39" i="17"/>
  <c r="AR39" i="17"/>
  <c r="CO39" i="17"/>
  <c r="CN39" i="17"/>
  <c r="CM39" i="17"/>
  <c r="CL39" i="17"/>
  <c r="CK39" i="17"/>
  <c r="CQ44" i="6"/>
  <c r="AX44" i="6"/>
  <c r="BP44" i="6"/>
  <c r="BG44" i="6"/>
  <c r="CH44" i="6"/>
  <c r="BY44" i="6"/>
  <c r="M40" i="4" l="1"/>
  <c r="CI39" i="17"/>
  <c r="AY39" i="17"/>
  <c r="N313" i="5"/>
  <c r="BV44" i="6"/>
  <c r="BU44" i="6"/>
  <c r="BT44" i="6"/>
  <c r="BS44" i="6"/>
  <c r="BW44" i="6"/>
  <c r="BB44" i="6"/>
  <c r="BA44" i="6"/>
  <c r="BE44" i="6"/>
  <c r="BC44" i="6"/>
  <c r="BD44" i="6"/>
  <c r="BH39" i="17"/>
  <c r="AU44" i="6"/>
  <c r="AT44" i="6"/>
  <c r="AR44" i="6"/>
  <c r="AS44" i="6"/>
  <c r="AV44" i="6"/>
  <c r="BM44" i="6"/>
  <c r="BL44" i="6"/>
  <c r="BJ44" i="6"/>
  <c r="BK44" i="6"/>
  <c r="BN44" i="6"/>
  <c r="CO44" i="6"/>
  <c r="CM44" i="6"/>
  <c r="CN44" i="6"/>
  <c r="CL44" i="6"/>
  <c r="CK44" i="6"/>
  <c r="BZ39" i="17"/>
  <c r="CF44" i="6"/>
  <c r="CE44" i="6"/>
  <c r="CD44" i="6"/>
  <c r="CC44" i="6"/>
  <c r="CB44" i="6"/>
  <c r="CU40" i="15"/>
  <c r="C33" i="15" s="1"/>
  <c r="BQ39" i="17"/>
  <c r="CU39" i="17" s="1"/>
  <c r="A36" i="17" s="1"/>
  <c r="CR39" i="17"/>
  <c r="F13" i="7"/>
  <c r="A20" i="7" s="1"/>
  <c r="G16" i="3"/>
  <c r="H17" i="3" s="1"/>
  <c r="A47" i="4" l="1"/>
  <c r="G8" i="3"/>
  <c r="G12" i="3" s="1"/>
  <c r="G13" i="3" s="1"/>
  <c r="G14" i="3" s="1"/>
  <c r="G17" i="3" s="1"/>
  <c r="BQ44" i="6"/>
  <c r="BH44" i="6"/>
  <c r="BZ44" i="6"/>
  <c r="CI44" i="6"/>
  <c r="CH20" i="7"/>
  <c r="BY20" i="7"/>
  <c r="BG20" i="7"/>
  <c r="CQ20" i="7"/>
  <c r="AX20" i="7"/>
  <c r="BP20" i="7"/>
  <c r="AY44" i="6"/>
  <c r="CR44" i="6"/>
  <c r="CQ47" i="4" l="1"/>
  <c r="BG47" i="4"/>
  <c r="AX47" i="4"/>
  <c r="CH47" i="4"/>
  <c r="BP47" i="4"/>
  <c r="BY47" i="4"/>
  <c r="BW20" i="7"/>
  <c r="BU20" i="7"/>
  <c r="BV20" i="7"/>
  <c r="BT20" i="7"/>
  <c r="BS20" i="7"/>
  <c r="CO20" i="7"/>
  <c r="CN20" i="7"/>
  <c r="CL20" i="7"/>
  <c r="CM20" i="7"/>
  <c r="CK20" i="7"/>
  <c r="CF20" i="7"/>
  <c r="CD20" i="7"/>
  <c r="CE20" i="7"/>
  <c r="CC20" i="7"/>
  <c r="CB20" i="7"/>
  <c r="G18" i="3"/>
  <c r="G19" i="3" s="1"/>
  <c r="G20" i="3" s="1"/>
  <c r="AS20" i="7"/>
  <c r="AR20" i="7"/>
  <c r="AV20" i="7"/>
  <c r="AU20" i="7"/>
  <c r="AT20" i="7"/>
  <c r="BE20" i="7"/>
  <c r="BC20" i="7"/>
  <c r="BD20" i="7"/>
  <c r="BB20" i="7"/>
  <c r="BA20" i="7"/>
  <c r="BM20" i="7"/>
  <c r="BL20" i="7"/>
  <c r="BK20" i="7"/>
  <c r="BJ20" i="7"/>
  <c r="BN20" i="7"/>
  <c r="CU44" i="6"/>
  <c r="C38" i="6" s="1"/>
  <c r="BW47" i="4" l="1"/>
  <c r="BV47" i="4"/>
  <c r="BT47" i="4"/>
  <c r="BU47" i="4"/>
  <c r="BS47" i="4"/>
  <c r="CF47" i="4"/>
  <c r="CE47" i="4"/>
  <c r="CC47" i="4"/>
  <c r="CB47" i="4"/>
  <c r="CD47" i="4"/>
  <c r="BC47" i="4"/>
  <c r="BE47" i="4"/>
  <c r="BB47" i="4"/>
  <c r="BA47" i="4"/>
  <c r="BD47" i="4"/>
  <c r="BN47" i="4"/>
  <c r="BL47" i="4"/>
  <c r="BK47" i="4"/>
  <c r="BJ47" i="4"/>
  <c r="BM47" i="4"/>
  <c r="AR47" i="4"/>
  <c r="AS47" i="4"/>
  <c r="AT47" i="4"/>
  <c r="AU47" i="4"/>
  <c r="AV47" i="4"/>
  <c r="CK47" i="4"/>
  <c r="CO47" i="4"/>
  <c r="CN47" i="4"/>
  <c r="CM47" i="4"/>
  <c r="CL47" i="4"/>
  <c r="BZ20" i="7"/>
  <c r="AY20" i="7"/>
  <c r="BH20" i="7"/>
  <c r="D7" i="2"/>
  <c r="A39" i="3"/>
  <c r="H14" i="3"/>
  <c r="I17" i="3"/>
  <c r="CR20" i="7"/>
  <c r="BQ20" i="7"/>
  <c r="CI20" i="7"/>
  <c r="BZ47" i="4" l="1"/>
  <c r="CR47" i="4"/>
  <c r="CI47" i="4"/>
  <c r="BQ47" i="4"/>
  <c r="BH47" i="4"/>
  <c r="AY47" i="4"/>
  <c r="CU20" i="7"/>
  <c r="B14" i="7" s="1"/>
  <c r="BY39" i="3"/>
  <c r="BP39" i="3"/>
  <c r="AX39" i="3"/>
  <c r="CH39" i="3"/>
  <c r="CQ39" i="3"/>
  <c r="F24" i="1"/>
  <c r="CU47" i="4" l="1"/>
  <c r="C41" i="4" s="1"/>
  <c r="CN39" i="3"/>
  <c r="CO39" i="3"/>
  <c r="CL39" i="3"/>
  <c r="CK39" i="3"/>
  <c r="CM39" i="3"/>
  <c r="AV39" i="3"/>
  <c r="AU39" i="3"/>
  <c r="AT39" i="3"/>
  <c r="AS39" i="3"/>
  <c r="AR39" i="3"/>
  <c r="BN39" i="3"/>
  <c r="BK39" i="3"/>
  <c r="BM39" i="3"/>
  <c r="BL39" i="3"/>
  <c r="BJ39" i="3"/>
  <c r="CB39" i="3"/>
  <c r="CC39" i="3"/>
  <c r="CF39" i="3"/>
  <c r="CE39" i="3"/>
  <c r="CD39" i="3"/>
  <c r="BS39" i="3"/>
  <c r="BW39" i="3"/>
  <c r="BU39" i="3"/>
  <c r="BV39" i="3"/>
  <c r="BT39" i="3"/>
  <c r="CI39" i="3" l="1"/>
  <c r="BQ39" i="3"/>
  <c r="AY39" i="3"/>
  <c r="BZ39" i="3"/>
  <c r="CR39" i="3"/>
  <c r="CU39" i="3" l="1"/>
  <c r="B22" i="3" s="1"/>
  <c r="D8" i="2" s="1"/>
  <c r="B26" i="1" l="1"/>
  <c r="H10" i="9"/>
  <c r="A15" i="2"/>
  <c r="C6"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<sst xmlns="http://schemas.openxmlformats.org/spreadsheetml/2006/main" count="2506" uniqueCount="696">
  <si>
    <t xml:space="preserve"> Name of Work :-   Repairing and Renovation of  Circuit House at Bokakhat Co District under Golaghat District</t>
  </si>
  <si>
    <t>(Rates are quoted from DSR (civil) of 2021)
 </t>
  </si>
  <si>
    <t xml:space="preserve">DETAIL ESTIMATE </t>
  </si>
  <si>
    <t>SL. No.</t>
  </si>
  <si>
    <t>CODE NO</t>
  </si>
  <si>
    <t>PARTICULARS</t>
  </si>
  <si>
    <t>QTY</t>
  </si>
  <si>
    <t>Unit</t>
  </si>
  <si>
    <t xml:space="preserve">RATE </t>
  </si>
  <si>
    <t>AMOUNT</t>
  </si>
  <si>
    <t>15.7</t>
  </si>
  <si>
    <t>Demolishing brick work manually/ by mechanical means including stacking of serviceable material and disposal of unserviceable material within 50 metres lead as per direction of Engineer-in-charge.15.7.4 in cement mortar</t>
  </si>
  <si>
    <t xml:space="preserve"> In cement mortar</t>
  </si>
  <si>
    <t>x</t>
  </si>
  <si>
    <t>Cum</t>
  </si>
  <si>
    <t>Total</t>
  </si>
  <si>
    <t>15.23.1</t>
  </si>
  <si>
    <t>Dismantling tile work in floors and roofs laid in cement mortar including stacking material within 50 metres lead.
 15.23.1 For thickness of tiles 10 mm to 25 mm</t>
  </si>
  <si>
    <t>Ground floor.Toilet</t>
  </si>
  <si>
    <t>Sqm</t>
  </si>
  <si>
    <t>First floor.Toilet</t>
  </si>
  <si>
    <t>A-Type Cottage Room 1</t>
  </si>
  <si>
    <t>A-Type Cottage Room 2</t>
  </si>
  <si>
    <t>15.28</t>
  </si>
  <si>
    <t>Dismantling roofing including ridges, hips, valleys and gutters etc., and stacking the material within 50 metres lead of:
15.28.1G.S. Sheet</t>
  </si>
  <si>
    <t>G.S. Sheet</t>
  </si>
  <si>
    <t>2.25</t>
  </si>
  <si>
    <t>Filling available excavated earth (excluding rock) in trenches, plinth, sides of foundations etc. in layers not exceeding 20cm in depth, consolidating each deposited layer by ramming and watering, lead up to 50 m and lift upto 1.5 m.</t>
  </si>
  <si>
    <t>Plinth &amp; trenches</t>
  </si>
  <si>
    <t>11.2</t>
  </si>
  <si>
    <t>Dry brick on edge flooring in required pattern with bricks of class designation 7.5 on a bed of 12 mm mud mortar, including filling joints with Jamuna sand, with common burnt clay non modular bricks.</t>
  </si>
  <si>
    <t>Flooring area</t>
  </si>
  <si>
    <t>11.5</t>
  </si>
  <si>
    <t>62 mm thick cement concrete flooring with concrete hardener topping, under layer 50 mm thick cement concrete 1:2:4 (1 cement : 2 coarse sand : 4 graded stone aggregate 20mm nominal size) and top layer 12mm thick cement hardener consisting of mix 1:2 (1 cement hardener mix : 2 graded stone aggregate, 6mm nominal size) by volume, hardening compound mixed @ 2 litre per 50 kg of cement or as per manufacture’s specifications. This includes cost of cement slurry, but excluding the cost of nosing of steps etc. complete.</t>
  </si>
  <si>
    <t>11.41</t>
  </si>
  <si>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 
11.41.2 Size of Tile 600x600 mm.</t>
  </si>
  <si>
    <t>Existing Kitchen</t>
  </si>
  <si>
    <t>Chawkidar room</t>
  </si>
  <si>
    <t>Verandah</t>
  </si>
  <si>
    <t>Ground floor toilet</t>
  </si>
  <si>
    <t>First floor toilet</t>
  </si>
  <si>
    <t>Dormitory</t>
  </si>
  <si>
    <t>Dormitory portion</t>
  </si>
  <si>
    <t>Dormitory Front step</t>
  </si>
  <si>
    <t>8.31</t>
  </si>
  <si>
    <t xml:space="preserve"> Providing and fixing Ist quality ceramic glazed wall tiles conforming to  IS: 15622 (thickness to be specified by the manufacturer), of approved  make, in all colours, shades except burgundy, bottle green, black of  any size as approved by Engineer-in-Charge, in skirting, risers of steps  and dados, over 12 mm thick bed of cement mortar 1:3 (1 cement : 3  coarse sand) and jointing with grey cement slurry @ 3.3kg per sqm,  including pointing in white cement mixed with pigment of matching shade complete.</t>
  </si>
  <si>
    <t>Dormitory toilet</t>
  </si>
  <si>
    <t>A-Type Cottage Toilet wall</t>
  </si>
  <si>
    <t>Deduct , Door</t>
  </si>
  <si>
    <t>13.26</t>
  </si>
  <si>
    <t>Providing and applying plaster of paris putty of 2 mm thickness over  plastered surface to prepare the surface even and smooth complete.</t>
  </si>
  <si>
    <t>Ground floor kitchen</t>
  </si>
  <si>
    <t>Ded. Door</t>
  </si>
  <si>
    <t>Ded. Window</t>
  </si>
  <si>
    <t>Toilet wall</t>
  </si>
  <si>
    <t>Vip room</t>
  </si>
  <si>
    <t>Room 1</t>
  </si>
  <si>
    <t>Room 3</t>
  </si>
  <si>
    <t>Room 4</t>
  </si>
  <si>
    <t>13.85</t>
  </si>
  <si>
    <t>Applying priming coats with primer of approved brand and manufacture, having low VOC (Volatile Organic Compound ) content 13.85.3 With water thinnable cement primer on wall surface having VOC content less than 50 grams/litre</t>
  </si>
  <si>
    <t>Interior wall surface (Item 11)</t>
  </si>
  <si>
    <t>Exterior wall surface (Item 12)</t>
  </si>
  <si>
    <t>13.83</t>
  </si>
  <si>
    <t>Wall painting with premium acrylic emulsion paint of interior grade, having VOC (Volatile Organic Compound ) content less than 50 grams/ litre of approved brand and manufacture, including applying additional coats wherever required to achieve even shade and colour.
13.83.2 Two coats</t>
  </si>
  <si>
    <t>Room 1 (Bed Room: 5.644m x 5.508m)</t>
  </si>
  <si>
    <t xml:space="preserve">  All round walls (Perimeter = 2*(5.644+5.508)m)</t>
  </si>
  <si>
    <t>sqm</t>
  </si>
  <si>
    <t xml:space="preserve">  Deduct : Door to corridor (D1)</t>
  </si>
  <si>
    <t xml:space="preserve">  Deduct : Windows (W1 - 2 nos)</t>
  </si>
  <si>
    <t>Room 2 (Large Room / Suite: 6.500m x 5.508m)</t>
  </si>
  <si>
    <t xml:space="preserve">  All round walls (Perimeter = 2*(6.500+5.508)m)</t>
  </si>
  <si>
    <t xml:space="preserve">  Deduct : Windows (W1 - 3 nos)</t>
  </si>
  <si>
    <t>Room 3 (Bed Room: 5.644m x 4.512m)</t>
  </si>
  <si>
    <t xml:space="preserve">  All round walls (Perimeter = 2*(5.644+4.512)m)</t>
  </si>
  <si>
    <t xml:space="preserve">  Deduct : Window (W1 - left wall)</t>
  </si>
  <si>
    <t>Room 4 (Bed Room: 5.644m x 3.912m)</t>
  </si>
  <si>
    <t xml:space="preserve">  All round walls (Perimeter = 2*(5.644+3.912)m)</t>
  </si>
  <si>
    <t>Room 5 (Bed Room: 5.644m x 4.512m)</t>
  </si>
  <si>
    <t>Room 6 (Meeting / Living Hall with Annex: 7.944m x 2.944m)</t>
  </si>
  <si>
    <t xml:space="preserve">  All round walls (Perimeter = 2*(7.944+2.944)m)</t>
  </si>
  <si>
    <t xml:space="preserve">  Deduct : Double Door (to corridor)</t>
  </si>
  <si>
    <t xml:space="preserve">  Deduct : Window (W1 - west wall)</t>
  </si>
  <si>
    <t>Room 7 (Attached Room / Toilet: 2.300m x 3.228m)</t>
  </si>
  <si>
    <t xml:space="preserve">  All round walls (Perimeter = 2*(2.300+3.228)m)</t>
  </si>
  <si>
    <t xml:space="preserve">  Deduct : Door (D3)</t>
  </si>
  <si>
    <t xml:space="preserve">  Deduct : Ventilator (V)</t>
  </si>
  <si>
    <t>Room 8 (Left Wing Suite: 5.131m x 4.610m)</t>
  </si>
  <si>
    <t xml:space="preserve">  Outer walls (Perimeter = 2*(5.131+4.610)m)</t>
  </si>
  <si>
    <t xml:space="preserve">  Internal partition wall (both faces)</t>
  </si>
  <si>
    <t xml:space="preserve">  Deduct : Entrance door (to verandah)</t>
  </si>
  <si>
    <t xml:space="preserve">  Deduct : Internal partition door</t>
  </si>
  <si>
    <t>Room 9 (Left Wing Room: 5.131m x 3.160m)</t>
  </si>
  <si>
    <t xml:space="preserve">  All round walls (Perimeter = 2*(5.131+3.160)m)</t>
  </si>
  <si>
    <t xml:space="preserve">  Deduct : Window (W1)</t>
  </si>
  <si>
    <t>Room 10 (Office / Guard Room: 3.126m x 3.154m)</t>
  </si>
  <si>
    <t xml:space="preserve">  All round walls (Perimeter = 2*(3.126+3.154)m)</t>
  </si>
  <si>
    <t>Staircase Well (5.644m x 3.228m)</t>
  </si>
  <si>
    <t xml:space="preserve">  Well perimeter walls = 2*(5.644+3.228)m</t>
  </si>
  <si>
    <t xml:space="preserve">  Deduct : Staircase landing window</t>
  </si>
  <si>
    <t>Room 11 (Main Corridor / Passage Spine)</t>
  </si>
  <si>
    <t xml:space="preserve">  Corridor perimeter walls (running length)</t>
  </si>
  <si>
    <t xml:space="preserve">  Deduct : Room doors opening onto corridor</t>
  </si>
  <si>
    <t xml:space="preserve">  Deduct : Double doors (Rooms 6 &amp; 10)</t>
  </si>
  <si>
    <t xml:space="preserve">  Cross beams over Rooms 1, 3, 4, 5, 6 (2 sides + soffit)</t>
  </si>
  <si>
    <t xml:space="preserve">  Cross beam over Room 2 (2 sides + soffit)</t>
  </si>
  <si>
    <t xml:space="preserve">  Corridor cross tie beams at column grid lines</t>
  </si>
  <si>
    <t xml:space="preserve">  Corridor longitudinal spine beam face</t>
  </si>
  <si>
    <t xml:space="preserve">  Left wing cross beams (Rooms 8, 9)</t>
  </si>
  <si>
    <t xml:space="preserve">  Staircase well landing beams</t>
  </si>
  <si>
    <t>Subtotal (First Floor Wall &amp; Beam Painting)</t>
  </si>
  <si>
    <t>First Floor</t>
  </si>
  <si>
    <t>Main Dormitory / Barrack Hall (9.292m x 6.100m)</t>
  </si>
  <si>
    <t xml:space="preserve">  All round walls (Perimeter = 2*(9.292+6.100)m)</t>
  </si>
  <si>
    <t xml:space="preserve">  Deduct : Windows on North wall</t>
  </si>
  <si>
    <t xml:space="preserve">  Deduct : Windows on South wall</t>
  </si>
  <si>
    <t xml:space="preserve">  Deduct : Main entrance door (to verandah)</t>
  </si>
  <si>
    <t xml:space="preserve">  Deduct : Window on East wall</t>
  </si>
  <si>
    <t xml:space="preserve">  Deduct : Door to toilet access lobby</t>
  </si>
  <si>
    <t>Toilet Block - 4 Cubicles (Walls above 2.10m dado, H=0.95m)</t>
  </si>
  <si>
    <t xml:space="preserve">  Cubicle perimeter walls (4 cubicles x 6.640m)</t>
  </si>
  <si>
    <t xml:space="preserve">  Internal partition walls above dado</t>
  </si>
  <si>
    <t xml:space="preserve">  Deduct : Ventilators (4 nos)</t>
  </si>
  <si>
    <t>Toilet Central Access Lobby (3.639m x 1.200m)</t>
  </si>
  <si>
    <t xml:space="preserve">  Lobby perimeter walls = 2*(3.639+1.200)m</t>
  </si>
  <si>
    <t xml:space="preserve">  Deduct : Cubicle doors (4 nos)</t>
  </si>
  <si>
    <t>Front Verandah (6.100m x 1.700m)</t>
  </si>
  <si>
    <t xml:space="preserve">  Back wall adjoining Dormitory</t>
  </si>
  <si>
    <t xml:space="preserve">  Deduct : Main door opening</t>
  </si>
  <si>
    <t xml:space="preserve">  Deduct : Front window opening</t>
  </si>
  <si>
    <t>Internal Roof Tie Beams (Sides &amp; Soffits, Girth=0.73m)</t>
  </si>
  <si>
    <t xml:space="preserve">  Dormitory hall transverse tie beams</t>
  </si>
  <si>
    <t xml:space="preserve">  Dormitory hall longitudinal tie beam</t>
  </si>
  <si>
    <t xml:space="preserve">  Toilet block cross tie beams</t>
  </si>
  <si>
    <t>PLAN 3: A TYPE Cottage</t>
  </si>
  <si>
    <t>Main Room (6.008m x 6.600m)</t>
  </si>
  <si>
    <t xml:space="preserve">  All round walls (Perimeter = 2*(6.008+6.600)m)</t>
  </si>
  <si>
    <t xml:space="preserve">  Deduct : Main Double Door (D1 to verandah)</t>
  </si>
  <si>
    <t xml:space="preserve">  Deduct : Side windows (W1 - 4 nos)</t>
  </si>
  <si>
    <t xml:space="preserve">  Deduct : Front flanking windows (2 nos)</t>
  </si>
  <si>
    <t xml:space="preserve">  Deduct : Door to rear annex</t>
  </si>
  <si>
    <t>Rear Annex / Toilet / Dressing (2.300m x 2.231m)</t>
  </si>
  <si>
    <t xml:space="preserve">  All round walls (Perimeter = 2*(2.300+2.231)m)</t>
  </si>
  <si>
    <t>Front Verandah (1.870m x 6.600m)</t>
  </si>
  <si>
    <t xml:space="preserve">  Rear wall of verandah (Main Room facade)</t>
  </si>
  <si>
    <t xml:space="preserve">  Deduct : Front flanking windows</t>
  </si>
  <si>
    <t>Internal Roof Beams (Sides &amp; Soffits, Girth=0.73m)</t>
  </si>
  <si>
    <t xml:space="preserve">  Main Room transverse beam</t>
  </si>
  <si>
    <t xml:space="preserve">  Main Room longitudinal ridge beam</t>
  </si>
  <si>
    <t xml:space="preserve">  Rear annex tie beam</t>
  </si>
  <si>
    <t>Ceiling</t>
  </si>
  <si>
    <t>13.48A</t>
  </si>
  <si>
    <t>Finishing walls with 100% Premium acrylic emulsion paint having  VOC less than 50 gm/litre and UV resistance as per IS 15489:2004,  Alkali &amp; fungal resistance, dirt resistance exterior paint of required  shade  (Company Depot Tinted) with silicon additives.  
13.48A.1 New work (Two or more coats applied @ 1.43 litre/ 10  sqm. Over and including priming coat of exterior primer
 applied @ 0.90 litre/10 sqm.</t>
  </si>
  <si>
    <t>Existing kitchen</t>
  </si>
  <si>
    <t>15.12</t>
  </si>
  <si>
    <t>Dismantling doors, windows and clerestory windows (steel or wood) shutter including chowkhats, architrave, holdfasts etc. complete and stacking within 50 metres lead :
 15.12.1Of area 3 sq. metres and below</t>
  </si>
  <si>
    <t>Door</t>
  </si>
  <si>
    <t>each</t>
  </si>
  <si>
    <t xml:space="preserve">Window </t>
  </si>
  <si>
    <t>Ventilators</t>
  </si>
  <si>
    <t>9.1</t>
  </si>
  <si>
    <t>Providing wood work in frames of doors, windows, clerestory windows and other frames, wrought framed and fixed in position with hold fast lugs or with dash fasteners of required dia &amp; length (hold fast lugs or dash fastener shall be paid for separately).
9.1.3 Kiln seasoned and chemically treated hollock wood</t>
  </si>
  <si>
    <t xml:space="preserve"> Door, D1</t>
  </si>
  <si>
    <t>cum</t>
  </si>
  <si>
    <t>W1</t>
  </si>
  <si>
    <t>V</t>
  </si>
  <si>
    <t>9.5</t>
  </si>
  <si>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9.5.2 Kiln seasoned and chemically treated hollock wood
9.5.2.1 35 mm thick shutters</t>
  </si>
  <si>
    <t>10.17</t>
  </si>
  <si>
    <t>Providing and fixing M.S. fan clamp type I or II of 16 mm dia M.S. bar, bent to shape with hooked ends in R.C.C. slabs or beams during laying,  including painting the exposed portion of loop, all as per standard design  complete.</t>
  </si>
  <si>
    <t>Fan clamps</t>
  </si>
  <si>
    <t>Each</t>
  </si>
  <si>
    <t>10.14</t>
  </si>
  <si>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10.14.1.1  Fixing with adjustable lugs with split end tail to  each jamb</t>
  </si>
  <si>
    <t>Steel door frame</t>
  </si>
  <si>
    <t>Rm</t>
  </si>
  <si>
    <t>9.2</t>
  </si>
  <si>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    
9.20.1  35 mm thick including ISI marked Stainless Steel butt hinges  with necessary screws.</t>
  </si>
  <si>
    <t>Flush door shutters</t>
  </si>
  <si>
    <t>9.96</t>
  </si>
  <si>
    <t>Providing and fixing aluminium sliding door bolts, ISI marked anodised  (anodic coating not less than grade AC 10 as per IS : 1868),  transparent or dyed to required colour or shade, with nuts and screws  etc. complete  9.96.1 300x16 mm</t>
  </si>
  <si>
    <t>Sliding door bolts</t>
  </si>
  <si>
    <t>9.97</t>
  </si>
  <si>
    <t>Providing and fixing aluminium tower bolts, ISI marked, anodised (anodic  coating not less than grade AC 10 as per IS : 1868 ) transparent or dyed  to required colour or shade, with necessary screws etc. complete :
 9.97.1 300x10 mm</t>
  </si>
  <si>
    <t>Tower bolts</t>
  </si>
  <si>
    <t xml:space="preserve"> Providing and fixing aluminium handles, ISI marked, anodised (anodic  coating not less than grade AC 10 as per IS : 1868) transparent or dyed  to required colour or shade, with necessary screws etc. complete  
9.100.1 125 mm</t>
  </si>
  <si>
    <t>Handles</t>
  </si>
  <si>
    <t>9.119</t>
  </si>
  <si>
    <t>Providing and fixing factory made P.V.C. door frame of size 50x47 mm with awall thickness of 5 mm, made out of extruded 5mm rigid PVC foam sheet, mitred at corners and joined with 2 Nos of 150 mm long brackets of 15x15 mm M.S. square tube, the vertical door frame profiles to be reinforced with 19x19 mm M.S. square tube of 19 gauge, EPDM rubber gasket weather seal to be provided through out the frame. The door frame to be fixed to the wall using M.S. screws of 65/100 mm size, complete as per manufacturer’s specification and direction of Engineerin- Charge.</t>
  </si>
  <si>
    <t>Toilet door Frame</t>
  </si>
  <si>
    <t>R.M</t>
  </si>
  <si>
    <t>Dormitory toilet door frame</t>
  </si>
  <si>
    <t>Outside Toilet door frame</t>
  </si>
  <si>
    <t>9.12</t>
  </si>
  <si>
    <t>Providing and fixing factory made panel PVC door shutter consisting of frame made out of M.S. tubes of 19 gauge thickness and size of 19 mm x 19 mm for styles and 15x15 mm for top &amp; bottom rails. M.S. frame shall have a coat of steel primers of approved make and manufacture.M.S. frame covered with 5 mm thick heat moulded PVC 'C' channel of size 30 mm thickness, 70 mm width out of which 50 mm shall be flat and 20 mm shall be tapered in 45 degree angle on both side forming styles and 5 mm thick, 95 mm wide PVC sheet out of which 75mm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 insert for top rail &amp; bottom rail, paneling of 5 mm thick both side PVC sheet to be fitted in the M.S. frame welded/ sealed to the styles &amp; rails with 7 mm (5 mm+2 mm) thick x 15 mm wide PVC sheet beading on inner side, and joined together with solvent cement adhesive. An additional 5 mm thick PVC strip of 20 mm width is to be stuck on the interior side of the 'C' Channel using PVC solvent adhesive etc. complete as per direction of Engineer-in-charge, manufacturer's specification &amp; drawing. 9.120.1 30 mm thick plain PVC door shutters</t>
  </si>
  <si>
    <t>10.16</t>
  </si>
  <si>
    <t>Steel work in built up tubular (round, square or rectangular hollow tubes etc.) trusses etc., including cutting, hoisting, fixing in position and applying a priming coat of approved steel primer, including welding and bolted with special shaped washers etc. complete.
10.16.2 Hot finished seamless type tubes (60x60x3.2)</t>
  </si>
  <si>
    <t>Tie</t>
  </si>
  <si>
    <t>Kg</t>
  </si>
  <si>
    <t>Purlin</t>
  </si>
  <si>
    <t>12.50</t>
  </si>
  <si>
    <t xml:space="preserve"> Providing and fixing precoated galvanised iron profile sheets (size, shape and pitch of corrugation as approved by Engineer-in-charge) 0.50 mm (+ 0.05 %) total coated thickness with zinc coating 120 grams per sqm as per IS: 277, in 240 mpa steel grade, 5-7 microns epoxy primer on both side of the sheet and polyester top coat 15-18 microns. Sheet should have protective guard film of 25 microns minimum to avoid scratches during transportation and should be supplied in single length upto 12 metre or as desired by Engineer in-charge. The sheet shall be fixed using self drilling /self tapping screws of size (5.5x 55 mm) with EPDM seal, complete upto any pitch in horizontal/ vertical or curved surfaces, excluding the cost of purlins, rafters and trusses and including cutting to size and shape wherever required.</t>
  </si>
  <si>
    <t>Roof</t>
  </si>
  <si>
    <t>Dormitary roof</t>
  </si>
  <si>
    <t>12.4.2</t>
  </si>
  <si>
    <t>Providing ridges or hips of width 60 cm overall width plain G.S. sheet fixed with polymer coated J or L hooks, bolts and nuts 8 mm dia G.I. limpet and bitumen washers complete. 12.4.2 / 0.63 mm thick with zinc coating not less than 275 gm/m2</t>
  </si>
  <si>
    <t>12.52</t>
  </si>
  <si>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Main"T" runners to be suspended from ceiling using GI slotted cleats ofsize 27 x 37 x 25 x1.6 mm fixed to ceiling with 12.5 mm dia and 50mm long dash fasteners, 4 mm GI adjustable rods with galvanisedbutterfly level clips of size 85 x 30 x 0.8 mm spaced at 1200 mmcenter to center along main T, bottom exposed width of 24 mm of allT-sections shall be pre-painted with polyester paint, all complete forall heights as per specifications, drawings and as rected byEngineer-in-charge.
12.52.3  12.5 mm thick square edge PVC Laminated Gypsum Tile of size 595x595 mm...</t>
  </si>
  <si>
    <t>16.78</t>
  </si>
  <si>
    <t>Construction of granular sub-base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Engineer-in-Charge.
 16.78.1 With material conforming to Grade-I (size range 75 mm to  0.075 mm) having CBR Value-30</t>
  </si>
  <si>
    <t>Granular sub-base bed (21.50m x 11.00m)</t>
  </si>
  <si>
    <t>16.68</t>
  </si>
  <si>
    <t>Providing and laying 60mm thick factory made cement concrete  interlocking paver block of M -30 grade made by block making  machine with strong vibratory compaction, of approved size, design  &amp; shape, laid in required colour and pattern over and including 50mm  thick compacted bed of coarse sand, filling the joints with line sand  etc. all complete as per the direction of Engineer-in-charge.</t>
  </si>
  <si>
    <t>Paver block area (21.50m x 11.00m)</t>
  </si>
  <si>
    <t xml:space="preserve">TOTAL OF CIVIL WORKS (A) = </t>
  </si>
  <si>
    <t>TOTAL=</t>
  </si>
  <si>
    <t>(Rupees twenty one lakh seventy eight thousand one hundred thirty one) only.</t>
  </si>
  <si>
    <t>GOVT OF ASSAM</t>
  </si>
  <si>
    <t>PUBLIC WORKS DEPARTMENT</t>
  </si>
  <si>
    <t>(BUILDING WINGS)</t>
  </si>
  <si>
    <t>Name of Work</t>
  </si>
  <si>
    <t>:-</t>
  </si>
  <si>
    <t xml:space="preserve"> </t>
  </si>
  <si>
    <t xml:space="preserve">Name of Circle            </t>
  </si>
  <si>
    <t>Jorhat Building Circle, Jorhat</t>
  </si>
  <si>
    <t xml:space="preserve">Name of Division       </t>
  </si>
  <si>
    <t xml:space="preserve">PW(B&amp;NH)D, Golaghat District Territorial Building Division, Golaghat. </t>
  </si>
  <si>
    <t xml:space="preserve">Name of Sub- Division         </t>
  </si>
  <si>
    <t>PW(B&amp;NH)D, Bokakhat &amp; Dergaon Territorial
Building Sub-Division, Bokakhat.</t>
  </si>
  <si>
    <t xml:space="preserve">Estimated Amount   </t>
  </si>
  <si>
    <t xml:space="preserve">GOVERNMENT OF ASSAM
PUBLIC WORKS DEPARTMENT (BUILDING WINGS)
</t>
  </si>
  <si>
    <t>:</t>
  </si>
  <si>
    <t>Repairing and Renovation of Circuit House at Bokakhat Co District under Golaghat District</t>
  </si>
  <si>
    <t xml:space="preserve">Name of Circle :             </t>
  </si>
  <si>
    <t xml:space="preserve">Name of Division:-         </t>
  </si>
  <si>
    <t xml:space="preserve">Name of Sub-Division:- </t>
  </si>
  <si>
    <t>PW(B&amp;NH)D,  Bokakhat &amp; Dergaon Territorial Building Sub- Division, Bokakhat</t>
  </si>
  <si>
    <t>Estimated Amount</t>
  </si>
  <si>
    <t xml:space="preserve">                              This estimate has been prepared to show the probable cost for construction of the above noted work.</t>
  </si>
  <si>
    <t>R E P O R T</t>
  </si>
  <si>
    <t xml:space="preserve"> Location :</t>
  </si>
  <si>
    <t>Circuit House, Bokakhat.</t>
  </si>
  <si>
    <t xml:space="preserve">
Necessity:
The Circuit House, Bokakhat is an important Government accommodation facility used for the stay of Government officers, dignitaries, visiting officials and other authorised guests during their official visits to Bokakhat and adjoining areas.
The existing building requires necessary repair and renovation to improve its safety, functionality and overall conditions. Accordingly, this estimate has been prepared for proper functioning of the building.</t>
  </si>
  <si>
    <t>Provisions:</t>
  </si>
  <si>
    <t>This estimate contains the following provisions:-</t>
  </si>
  <si>
    <t>1  Repairing and Renovation of Circuit House RCC G+1 First Floor A/Type Residential Building, Kitchen , Dormitory and Cottage (Guest Room</t>
  </si>
  <si>
    <t>2 Sanitary and Water Supply Fitting works</t>
  </si>
  <si>
    <t>3 Electrical Works.</t>
  </si>
  <si>
    <t>4 Installation of Solar Street Lights.</t>
  </si>
  <si>
    <t xml:space="preserve">                    This estimate is based on CPWD Plinth area Rate 2021 and CPWD schedule of Rate (Building) DSR Vol. 1 &amp; Vol. 2 for the year 2021 and E &amp; M (for Electrical) for the year 2022. The provision for Contingencies @5%, Premium is also considered as per norms. All works will be carried out as per PWD general specifications current in the state and as per IS code of practice.</t>
  </si>
  <si>
    <t>ABSTRACT OF COST</t>
  </si>
  <si>
    <t>1. Repairing and Renovation Works…..................</t>
  </si>
  <si>
    <t>=</t>
  </si>
  <si>
    <t>3. Cost of Electrification Works.…………………</t>
  </si>
  <si>
    <t>4. Installation of Solar Street lights….............................</t>
  </si>
  <si>
    <t>Total (A)</t>
  </si>
  <si>
    <t>Add 6.33% GST</t>
  </si>
  <si>
    <t>Total (B)</t>
  </si>
  <si>
    <t>Quotation Items:</t>
  </si>
  <si>
    <t>Total (C)</t>
  </si>
  <si>
    <t>Add  Contigency 5%</t>
  </si>
  <si>
    <t>Grand Total</t>
  </si>
  <si>
    <t>SAY</t>
  </si>
  <si>
    <t>COPY CELLS=&gt;</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</si>
  <si>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</si>
  <si>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</si>
  <si>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</si>
  <si>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</si>
  <si>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</si>
  <si>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</si>
  <si>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</si>
  <si>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</si>
  <si>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</si>
  <si>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</si>
  <si>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</si>
  <si>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</si>
  <si>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</si>
  <si>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</si>
  <si>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</si>
  <si>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</si>
  <si>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</si>
  <si>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</si>
  <si>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</si>
  <si>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&lt;=COPY CELLS</t>
  </si>
  <si>
    <t>WORDS-&gt;</t>
  </si>
  <si>
    <t>CRORE</t>
  </si>
  <si>
    <t>LAKH</t>
  </si>
  <si>
    <t>THOUSAND</t>
  </si>
  <si>
    <t>HUNDRED</t>
  </si>
  <si>
    <t>TENS</t>
  </si>
  <si>
    <t>PAISE</t>
  </si>
  <si>
    <t>&lt;= IN WORDS</t>
  </si>
  <si>
    <t>ITEM NO.</t>
  </si>
  <si>
    <t>Sl No</t>
  </si>
  <si>
    <t>DESCRIPTION OF ITEM</t>
  </si>
  <si>
    <t>Qty</t>
  </si>
  <si>
    <t>UNIT</t>
  </si>
  <si>
    <t>RATE
Rs</t>
  </si>
  <si>
    <t xml:space="preserve">Demolishing brick work manually/ by mechanical means including stacking of serviceable material and disposal of unserviceable material within 50 metres lead as per direction of Engineer-in-charge.15.7.4 in cement mortar
</t>
  </si>
  <si>
    <t>Dismantling tile work in floors and roofs laid in cement mortar including  stacking material within 50 metres lead.
 15.23.1 For thickness of tiles 10 mm to 25 mm</t>
  </si>
  <si>
    <t>Dismantling roofing including ridges, hips, valleys and gutters etc.,  and stacking the material within 50 metres lead of:
15.28.1G.S. Sheet</t>
  </si>
  <si>
    <t>9.75*2*3.2</t>
  </si>
  <si>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Main"T" runners to be suspended from ceiling using GI slotted cleats ofsize 27 x 37 x 25 x1.6 mm fixed to ceiling with 12.5 mm dia and 50mm long dash fasteners, 4 mm GI adjustable rods with galvanisedbutterfly level clips of size 85 x 30 x 0.8 mm spaced at 1200 mmcenter to center along main T, bottom exposed width of 24 mm of allT-sections shall be pre-painted with polyester paint, all complete forall heights as per specifications, drawings and as rected byEngineer-in-charge.
12.52.3  12.5 mm thick square edge PVC Laminated Gypsum Tile of size 595x595 mm, made of Gypsum plasterboard, manufactured from natural gypsum as per IS 2095 part I and laminated with white 0.16mm thick fire retardant PVC film on the face side and 12micron metalized polyester on the back side with all edges sealed with</t>
  </si>
  <si>
    <t>Total =</t>
  </si>
  <si>
    <t>SAY=</t>
  </si>
  <si>
    <t>Quantity</t>
  </si>
  <si>
    <t>15.23</t>
  </si>
  <si>
    <t xml:space="preserve">Dismantling tile work in floors and roofs laid in cement mortar including stacking material within 50 metres lead.
15.23.1 For thickness of tiles 10 mm to 25 mm </t>
  </si>
  <si>
    <t>15.23 Dismantling tile work in floors and roofs laid in cement mortar including</t>
  </si>
  <si>
    <t>stacking material within 50 metres lead.</t>
  </si>
  <si>
    <t xml:space="preserve">15.23.1 For thickness of tiles 10 mm to 25 mm </t>
  </si>
  <si>
    <t>FURNITURE WORK</t>
  </si>
  <si>
    <t>SL NO</t>
  </si>
  <si>
    <t>ITEM NAME</t>
  </si>
  <si>
    <t>UNIT PRICE(RS)</t>
  </si>
  <si>
    <t>TOTAL PRICE</t>
  </si>
  <si>
    <t>F1</t>
  </si>
  <si>
    <t>**Supply, Fitting &amp; Fixing of SINGLE WOODEN BED WITHOUT STORAGE** of following specification: Overall size approximately 1800–1850 mm (L) × 900–1050 mm (W) × 550–600 mm (H), with bed frame made of good quality engineered wood/particle board of approved make and finish, including headboard and footboard, suitable mattress support arrangement, necessary screws, fasteners, connectors, brackets, joining hardware and other accessories required for proper assembly and fixing, all exposed surfaces having smooth, durable and aesthetically appealing factory finish, complete in all respects as per approved sample, manufacturer's specifications and as directed by the Engineer-in-Charge.</t>
  </si>
  <si>
    <t>F2</t>
  </si>
  <si>
    <t>Supply, Fitting &amp; Fixing of SINGLE BED MATTRESS of following specification: Overall size 1900 mm (L) × 900 mm (W) × 75–125 mm thickness, conforming to IS 13489 (V3), Type-2 bed mattress with pocket-spring construction, cushioning/core layer of flexible polyurethane foam sheet, single core layer, quilted multi-layer foam mattress case with top quilting of Jacquard weave fabric of minimum 130 GSM, in red colour, including all necessary materials, workmanship, finishing and accessories, complete in all respects as per approved sample and manufacturer's specifications and as directed by the Engineer-in-Charge. Make: KURL-ON or approved equivalent.</t>
  </si>
  <si>
    <t>F3</t>
  </si>
  <si>
    <t>Supply, Fitting &amp; Fixing of HANDCRAFTED DINING TABLE SET of following specification: Rectangular dining table of overall size approximately 1.83 m (L) × 0.91 m (D) × 0.76 m (H), with table top and base made of Sheesham wood, brown colour finish, whole unit handcrafted, non-foldable, without storage and wheels, including 6 Nos. of matching dining chairs, complete assembly at consignee's premises/site at no extra cost, including all necessary fittings, hardware, accessories and workmanship, complete in all respects as per approved sample, manufacturer's specifications and as directed by the Engineer-in-Charge.</t>
  </si>
  <si>
    <t xml:space="preserve">RATE ANALYSIS FURNITURE WORKS </t>
  </si>
  <si>
    <t>BOQ ITEM  NO = F1</t>
  </si>
  <si>
    <t>SL.NO.</t>
  </si>
  <si>
    <t>Description</t>
  </si>
  <si>
    <t>Rate (Rs)</t>
  </si>
  <si>
    <t>Amount (Rs)</t>
  </si>
  <si>
    <t xml:space="preserve">Remarks </t>
  </si>
  <si>
    <t xml:space="preserve">Details of Cost of One </t>
  </si>
  <si>
    <t>MATERIAL :</t>
  </si>
  <si>
    <t>Ruddhania Flexible Furnitures Single Wooden Bed with Headboard and Footboard
Ruddhania Flexible Furnitures
(RUDDHANIA SINGLE WOODEN BED 09)</t>
  </si>
  <si>
    <t xml:space="preserve">Add Carring Charge </t>
  </si>
  <si>
    <t>L.S.</t>
  </si>
  <si>
    <t>TOTAL</t>
  </si>
  <si>
    <t>Y</t>
  </si>
  <si>
    <t xml:space="preserve">Add COPH </t>
  </si>
  <si>
    <t>on "Y"</t>
  </si>
  <si>
    <t>Z</t>
  </si>
  <si>
    <t>Add Cess @</t>
  </si>
  <si>
    <t>on "Z"</t>
  </si>
  <si>
    <t xml:space="preserve">COST OF ONE </t>
  </si>
  <si>
    <t>EACH</t>
  </si>
  <si>
    <t>BOQ ITEM  NO = F2</t>
  </si>
  <si>
    <t>KURL-ON 900 mm / 2.95 ft
(Single Bed</t>
  </si>
  <si>
    <t>BOQ ITEM  NO = F3</t>
  </si>
  <si>
    <t>CHANDRA SHEKHAR EXPORTS Handcrafted Dining Table CHANDRA SHEKHAR EXPORTSR
(CSE-TH71)</t>
  </si>
  <si>
    <t>NON DUPLICITY CERTIFICATE</t>
  </si>
  <si>
    <t xml:space="preserve">             Certify that the above work/project has not been taken up under any others scheme. This estimate is need rational and as per site condition at the time of framing with an extravagant .</t>
  </si>
  <si>
    <t>COMPARATIVE STATEMENT (MODULAR KITCHEN)</t>
  </si>
  <si>
    <t>Sl No.</t>
  </si>
  <si>
    <t>1</t>
  </si>
  <si>
    <t>2</t>
  </si>
  <si>
    <t>3</t>
  </si>
  <si>
    <t>Remarks</t>
  </si>
  <si>
    <t>Name of the quotation holder with address</t>
  </si>
  <si>
    <t>Royal Traders, Bokakhat</t>
  </si>
  <si>
    <t>Om Narayani hardware, Bokakhat</t>
  </si>
  <si>
    <t>Antique Orient Home decor, Guwahati</t>
  </si>
  <si>
    <t>Description of items</t>
  </si>
  <si>
    <t>Qnty.</t>
  </si>
  <si>
    <t>Base Amount
(in Rs.)</t>
  </si>
  <si>
    <t>Amount with  18% GST
(in Rs,)</t>
  </si>
  <si>
    <t>Total Amount</t>
  </si>
  <si>
    <t>Modular kitchen</t>
  </si>
  <si>
    <t>Lowest Rate is indicate by (L1)</t>
  </si>
  <si>
    <t>Position</t>
  </si>
  <si>
    <t>L1</t>
  </si>
  <si>
    <t>L2</t>
  </si>
  <si>
    <t>L3</t>
  </si>
  <si>
    <t>Junior Engineer, PW (B&amp;NH)D</t>
  </si>
  <si>
    <t>Asstt. Executive Engineer, PW (B&amp;NH)D</t>
  </si>
  <si>
    <t>Bokakhat &amp; Dergaon Territorial</t>
  </si>
  <si>
    <t>Building Sub- Division, Bokakhat</t>
  </si>
  <si>
    <t>CERTIFICATE</t>
  </si>
  <si>
    <t xml:space="preserve">                  This is to certify that the amount Rs. 48,98,500.00(Rupees forty eight lakh ninety eight thousand five hundred ) only for the work" Repairing and Renovation of of Circuit House at Bokakhat Co District under Golaghat District". This estimate is prepared as per requirement of the concerning authority and condition observing all pertaining rules, procedures, formalities and government norms current in the state .</t>
  </si>
  <si>
    <t>I take full responsibility for any discrepancy/ irregularity and violation of any laws/rules.</t>
  </si>
  <si>
    <t>Draft Checklist for PWD files</t>
  </si>
  <si>
    <t>A. For accordance of AA-related files</t>
  </si>
  <si>
    <t>Sl. No.</t>
  </si>
  <si>
    <t>Particulars</t>
  </si>
  <si>
    <t>Notes of the Administrative Department</t>
  </si>
  <si>
    <t>Name of the project</t>
  </si>
  <si>
    <t>Location of the project</t>
  </si>
  <si>
    <t>Estimated amount</t>
  </si>
  <si>
    <t>4</t>
  </si>
  <si>
    <t>Indicate the percentage of scheduled and non-scheduled items incorporated in the plan and estimate</t>
  </si>
  <si>
    <t>5</t>
  </si>
  <si>
    <t>For building works:
I.     Cost per sqm</t>
  </si>
  <si>
    <t xml:space="preserve">  </t>
  </si>
  <si>
    <t>II.    Comparison of these rates with other similar projects</t>
  </si>
  <si>
    <t>III.   Details such as plinth area, number of stories, etc.</t>
  </si>
  <si>
    <t>6</t>
  </si>
  <si>
    <t>For road works:
I.     Cost per km</t>
  </si>
  <si>
    <t>III.   Type of road- Earth/ Gravel/ Black top/ Concrete/ others</t>
  </si>
  <si>
    <t>7</t>
  </si>
  <si>
    <t>Reason of the project being taken up:
I.     Name and designation of VIP/ Dignitary who recommended the project</t>
  </si>
  <si>
    <t>II.    Announced by HCM during the visit</t>
  </si>
  <si>
    <t>III.   Announced/ approved by Cabinet</t>
  </si>
  <si>
    <t>IV.    Suggested by department in public interest</t>
  </si>
  <si>
    <t>8</t>
  </si>
  <si>
    <t>Whether all items including windows, doors, electrical items, bathroom fittings etc. are included in the estimate? (Y/N)</t>
  </si>
  <si>
    <t>Yes</t>
  </si>
  <si>
    <t>9</t>
  </si>
  <si>
    <t>Mention the scope/ components/ special features of the project (4-5 points)</t>
  </si>
  <si>
    <t>10</t>
  </si>
  <si>
    <t>Whether the views of Value Engineering cell on the estimate have been incorporated in the estimate? (Y/N)</t>
  </si>
  <si>
    <t>11</t>
  </si>
  <si>
    <t>Whether there is sufficient budget provision in the appropriate budget head? (Y/N)</t>
  </si>
  <si>
    <t>12</t>
  </si>
  <si>
    <t>In case of revised AA, what is the subsequent increase in value of each revised AA compared to the original estimate?</t>
  </si>
  <si>
    <t>13</t>
  </si>
  <si>
    <t>In case of revised AA, what is the physical and financial progress of the ongoing works?</t>
  </si>
  <si>
    <t>14</t>
  </si>
  <si>
    <t>In case of revised AA, what is the reason for increase in amount:
I.     Change in scope of the project</t>
  </si>
  <si>
    <t>II.    Inclusion of items in BOQ, without change in scope of the project</t>
  </si>
  <si>
    <t>III.   Increase in quantity of items in BOQ, without change in scope of the project</t>
  </si>
  <si>
    <t xml:space="preserve">Detail Measurement of Sanitary &amp; Water Supply Work </t>
  </si>
  <si>
    <t>The estimate is prepared on the basis of DSR 2021 (CPWD)</t>
  </si>
  <si>
    <t>DSR No.</t>
  </si>
  <si>
    <t>Description of Item</t>
  </si>
  <si>
    <t>Rate</t>
  </si>
  <si>
    <t>Amount in Rs.</t>
  </si>
  <si>
    <t>PART C-Sanitary Work</t>
  </si>
  <si>
    <t>Cutting holes of required size in brick masonry wall for fixing of exhaust fan including providing and fixing 300 mm dia PVC pipe conforming BIS -12818 and making good the same etc. complete as per direction of Engineer-in-charge.</t>
  </si>
  <si>
    <t>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t>
  </si>
  <si>
    <t>17.3.1</t>
  </si>
  <si>
    <t>W.C. pan with ISI marked white solid plastic seat and lid</t>
  </si>
  <si>
    <t>Providing and fixing wash basin with C.I. brackets, 15 mm C.P. brass pillar taps, 32 mm C.P. brass waste of standard pattern, including painting of fittings and brackets, cutting and making good the walls wherever require:</t>
  </si>
  <si>
    <t>17.7.1</t>
  </si>
  <si>
    <t>White Vitreous China Wash basin size 630x450 mm with a pair of 15 mm C.P. brass pillar taps</t>
  </si>
  <si>
    <t>17.16A</t>
  </si>
  <si>
    <t>Providing and fixing 8 mm dia C.P. / S.S. Jet with flexible tube upto 1 metre long with S.S. triangular plate to Eureopean type W.C. of quality and make as approved by Engineer - in - charge.</t>
  </si>
  <si>
    <t>17.22B</t>
  </si>
  <si>
    <t xml:space="preserve"> Providing and fixing CP Brass Single lever telephonic wall mixer of quality &amp; make   as approved by Engineer in charge.
 (a) 15 mm nominal dia</t>
  </si>
  <si>
    <t>Providing and fixing soil, waste and vent pipes :</t>
  </si>
  <si>
    <t>17.35.1</t>
  </si>
  <si>
    <t>100 mm dia</t>
  </si>
  <si>
    <t>17.35.1.1</t>
  </si>
  <si>
    <t>Sand cast iron S&amp;S pipe as per IS: 1729</t>
  </si>
  <si>
    <t>m</t>
  </si>
  <si>
    <t>Providing and filling the joints with spun yarn, cement slurry and cement mortar 1:2 (1 cement : 2 fine sand) in S.C.I./ C.I. Pipes :</t>
  </si>
  <si>
    <t>17.36.2</t>
  </si>
  <si>
    <t>100 mm dia pipe</t>
  </si>
  <si>
    <t>Providing and fixing M.S. holder-bat clamps of approved design to Sand Cast iron/cast iron (spun) pipe embedded in and including cement concrete blocks 10x10x10 cm of 1:2:4 mix (1 cement : 2 coarse sand : 4 graded stone aggregate 20 mm nominal size), including cost of cutting holes and making good the walls etc.:</t>
  </si>
  <si>
    <t>17.37.1</t>
  </si>
  <si>
    <t>For 100 mm dia pipe</t>
  </si>
  <si>
    <t>Providing and fixing bend of required degree with access door, insertion rubber washer 3 mm thick, bolts and nuts complete.</t>
  </si>
  <si>
    <t>17.38.1</t>
  </si>
  <si>
    <t>17.38.1.1</t>
  </si>
  <si>
    <t>Sand cast iron S&amp;S as per IS - 1729</t>
  </si>
  <si>
    <t>Providing and fixing single equal plain junction of required degree with access door, insertion rubber washer 3 mm thick, bolts and nuts complete.</t>
  </si>
  <si>
    <t>17.43.1</t>
  </si>
  <si>
    <t>100x100x100 mm</t>
  </si>
  <si>
    <t>17.43.1.1</t>
  </si>
  <si>
    <t>Providing and fixing PTMT liquid soap container 109 mm wide, 125 mm high and 112 mm distance from wall of standard shape with bracket of the same materials with snap fittings of approved quality and colour, weighing not less than 105 gms</t>
  </si>
  <si>
    <t>Providing and fixing PTMT towel ring trapezoidal shape 215 mm long, 200 mm wide with minimum distances of 37 mm from wall face with concealed fittings arrangement of approved quality and colour, weighing not less than 88 gms.</t>
  </si>
  <si>
    <t>Water Supply Work</t>
  </si>
  <si>
    <t>-</t>
  </si>
  <si>
    <t xml:space="preserve">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
</t>
  </si>
  <si>
    <t>18.7.2</t>
  </si>
  <si>
    <t>20 mm nominal dia Pipes</t>
  </si>
  <si>
    <t>mtr</t>
  </si>
  <si>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t>
  </si>
  <si>
    <t>18.9.3</t>
  </si>
  <si>
    <t>25 mm nominal dia Pipes</t>
  </si>
  <si>
    <t>Providing and fixing C.P. brass long nose bib cock of approved quality
conforming to IS standards and weighing not less than 810 gms.</t>
  </si>
  <si>
    <t>18.50.1</t>
  </si>
  <si>
    <t>15 mm nominal bore</t>
  </si>
  <si>
    <t>Providing and fixing C.P. brass stop cock (concealed) of standard
design and of approved make conforming to IS:8931.</t>
  </si>
  <si>
    <t>18.49.1</t>
  </si>
  <si>
    <t>SL NO.</t>
  </si>
  <si>
    <t>ITEM.</t>
  </si>
  <si>
    <t>Description of materials</t>
  </si>
  <si>
    <t>RATE</t>
  </si>
  <si>
    <t>QNTY.</t>
  </si>
  <si>
    <t>1.10</t>
  </si>
  <si>
    <t>Wiring for light point/ fan point/ exhaust fan point/ call bell point with 1.5 sq.mm FRLS PVC insulated copper conductor single core cable in surface / recessed medium class PVC conduit, with modular switch, modular plate, suitable GI box and earthing the point with 1.5 sq.mm. FRLS PVC insulated copper conductor single core cable etc as required.</t>
  </si>
  <si>
    <t>1.10.1</t>
  </si>
  <si>
    <t>Group A</t>
  </si>
  <si>
    <t>Point</t>
  </si>
  <si>
    <t>Wiring for light/ power plug with 2X4 sq. mm FRLS PVC insulated copper conductor single core cable in surface/ recessed medium class PVC conduit along with 1 No 4 sq. mm FRLS PVC insulated copper conductor single core cable for loop earthing as required.</t>
  </si>
  <si>
    <t>Wiring for circuit/ submain wiring along with earth wire with the following sizes of FRLS PVC insulated copper conductor, single core cable in surface/ recessed medium class PVC conduit as required</t>
  </si>
  <si>
    <t>1.14.2</t>
  </si>
  <si>
    <t>2 X 2.5 sq. mm + 1 X 2.5 sq. mm earth wire</t>
  </si>
  <si>
    <t>1.14.3</t>
  </si>
  <si>
    <t>2 X 4 sq. mm + 1 X 4 sq. mm earth wire</t>
  </si>
  <si>
    <t>Metre</t>
  </si>
  <si>
    <t>1.14.4</t>
  </si>
  <si>
    <t>2 X 6 sq. mm + 1 X 6 sq. mm earth wire</t>
  </si>
  <si>
    <t>Supplying and fixing following modular switch/ socket on the existing modular plate &amp; switch box including connections but excluding modular plate etc. as required.</t>
  </si>
  <si>
    <t>1.24.1</t>
  </si>
  <si>
    <t>5/6 amps switch</t>
  </si>
  <si>
    <t>1.24.3</t>
  </si>
  <si>
    <t>15/16 amp switch</t>
  </si>
  <si>
    <t>1.24.4</t>
  </si>
  <si>
    <t>3 pin 5/6 amp socket outlet</t>
  </si>
  <si>
    <t>1.24.5</t>
  </si>
  <si>
    <t>6 pin 15/16 amp socket outlet</t>
  </si>
  <si>
    <t>Supplying and fixing two module stepped type electronic fan regulator on the existing modular plate switch box including connections but excluding modular plate etc. as required.</t>
  </si>
  <si>
    <t>Supplying and fixing following size/ modules, GI box along with modular base &amp; cover plate for modular switches in recess etc as required.</t>
  </si>
  <si>
    <t>1.27.1</t>
  </si>
  <si>
    <t>1 or 2 Module (75mmX75mm)</t>
  </si>
  <si>
    <t>1.27.3</t>
  </si>
  <si>
    <t>4 Module (125mmX75mm)</t>
  </si>
  <si>
    <t>1.27.6</t>
  </si>
  <si>
    <t>12 Module (200mmX150mm)</t>
  </si>
  <si>
    <t>Supplying and fixing following Modular base &amp; cover plate on existing modular metal boxes etc. as required.</t>
  </si>
  <si>
    <t>1.28.1</t>
  </si>
  <si>
    <t>1 or 2 Module</t>
  </si>
  <si>
    <t>1.28.3</t>
  </si>
  <si>
    <t>4 Module</t>
  </si>
  <si>
    <t>1.28.6</t>
  </si>
  <si>
    <t>12 Module</t>
  </si>
  <si>
    <t>Installation, testing and commissioning of ceiling fan, including wiring the down rods of standard length (upto 30 cm) with 1.5 sq. mm FRLS PVC insulated, copper conductor, single core cable etc. as required.</t>
  </si>
  <si>
    <t>19.1</t>
  </si>
  <si>
    <t>Supply ,installation ,testing and commissioning of 1200 mm sweep ,BEE 5 Star rated, ceiling fan with brushless direct curretnt(BLDC) Motor</t>
  </si>
  <si>
    <t>A-1</t>
  </si>
  <si>
    <t>Supplying fitting and fixing of 9  Watt LED Bulb ( Make Havell's / Equivallent )</t>
  </si>
  <si>
    <t>A-2</t>
  </si>
  <si>
    <t xml:space="preserve">  Supplying fitting and fixing  Basic all purpose surface and wall mounted LED batten with polycarbonate housing &amp; integrated electronic driver, Item of Description LUMILINEBS20W LED 865SPCWH, HSN CODE 9405, HAVELS MAKE or equivalent (Equivalent will be selected by the deptt considering the mother items rate) (equivalent PHILIPS/ WIPRO/ BAJAJ/ Havells/ HPL/ SOLAR/ JAQUAR make).Fixture size (LxWxB) (1150x25x40 mm for 20W)</t>
  </si>
  <si>
    <t>A-3</t>
  </si>
  <si>
    <t xml:space="preserve">Supplying fitting and fixing  of Electric Storage Water Heater 10 L capacity.( Havells make -Puro Turbo Dx.item code-. GHWAPXTPI010) </t>
  </si>
  <si>
    <t>A-4</t>
  </si>
  <si>
    <t>Supplying with installation testing and commissioning of Hi -- wall 3 star rating non ducted split inverter type  air conditioner of the following capacity with cordless remote complete with  indoor and outdoor unit, copper pipe  and electrical connection as approved by the Deptt.)up to 5 m between the room unit and out door unit as directed by the department.</t>
  </si>
  <si>
    <t xml:space="preserve">1.5 T capacity Voltas make </t>
  </si>
  <si>
    <t>Rs.</t>
  </si>
  <si>
    <t xml:space="preserve">                Assistant Engineer, PWD                       Asstt. Ex. Engineer,PWD                        Executive Engineer,PWD</t>
  </si>
  <si>
    <t xml:space="preserve">          Jorhat Electrical Division                    Jorhat Electrical Sub-Division                  Jorhat Electrical Division</t>
  </si>
  <si>
    <t xml:space="preserve">        Golaghat  Section                                           Jorhat                                                    Jorhat</t>
  </si>
  <si>
    <t>NOTE:
1) All Dimensions are in millimeters.</t>
  </si>
  <si>
    <t xml:space="preserve">SEPTIC TANK </t>
  </si>
  <si>
    <t>Sl.No.</t>
  </si>
  <si>
    <t>DSR</t>
  </si>
  <si>
    <t>Qnty</t>
  </si>
  <si>
    <t xml:space="preserve">Amount </t>
  </si>
  <si>
    <t>Item No.</t>
  </si>
  <si>
    <t>EARTH WORK</t>
  </si>
  <si>
    <t>EARTHWORK IN EXCAVATION</t>
  </si>
  <si>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and lift upto 1.5 m.</t>
  </si>
  <si>
    <t>2.8.1</t>
  </si>
  <si>
    <t xml:space="preserve"> All kinds of soil.</t>
  </si>
  <si>
    <t>Cu.M.</t>
  </si>
  <si>
    <t>CONCRETE WORK</t>
  </si>
  <si>
    <t>CEMENT CONCRETE (CAST IN SITU)</t>
  </si>
  <si>
    <t>Providing and laying in position cement concrete of specified grade excluding the cost of centering and shuttering - All work up to plinth level :</t>
  </si>
  <si>
    <t>4.1.5</t>
  </si>
  <si>
    <t>1:3:6 (1 Cement : 3 coarse sand (zone-III) deliverd from natural sources: 6 graded stone aggregate 20 mm nominal size deliverd from natural sources)</t>
  </si>
  <si>
    <t>REINFORCED CEMENT CONCRETE WORKS</t>
  </si>
  <si>
    <t>Providing and laying in position specified grade of reinforced cement concrete, excluding the cost of centering, shuttering, finishing and reinforcement - All work up to plinth level :</t>
  </si>
  <si>
    <t>5.1.2</t>
  </si>
  <si>
    <t>1:1.5:3 (1 cement : 1.5 coarse sand (zone-III)deliverd from natural sources: 3 graded stone
aggregate 20 mm nominal size deliverd from natural sources)</t>
  </si>
  <si>
    <t>FORM WORK</t>
  </si>
  <si>
    <t>Centering and shuttering including strutting, propping etc. and removal
of form for :</t>
  </si>
  <si>
    <t>5.9.3</t>
  </si>
  <si>
    <t>Suspended floors, roofs, landings, balconies and access platform</t>
  </si>
  <si>
    <t>Sq.M.</t>
  </si>
  <si>
    <t>REINFORCEMENT</t>
  </si>
  <si>
    <t xml:space="preserve">Steel reinforcement for R.C.C. work including straightening, cutting,
bending, placing in position and binding all complete upto plinth level. </t>
  </si>
  <si>
    <t>5.22.6</t>
  </si>
  <si>
    <t>Thermo-Mechanically Treated bars of grade Fe-500D or more.</t>
  </si>
  <si>
    <t>BRICK MASONRY WORKS</t>
  </si>
  <si>
    <t>Brick work with common burnt clay F.P.S. (non modular) bricks of class designation 7.5 in foundation and plinth in:</t>
  </si>
  <si>
    <t>6.1.1</t>
  </si>
  <si>
    <t>Cement mortar 1:4 (1 cement : 4 coarse sand)</t>
  </si>
  <si>
    <t>CEMENT PLASTER WITH A FLOATING COAT OF NEAT CEMENT</t>
  </si>
  <si>
    <t>15 mm cement plaster on rough side of single or half brick wall finished with a floating coat of neat cement of mix :</t>
  </si>
  <si>
    <t>13.8.2</t>
  </si>
  <si>
    <t>1:4 (1 cement: 4 fine sand)</t>
  </si>
  <si>
    <t>Extra for providing and mixing water proofing material in cement plaster work in proportion recommended by the manufacturers.</t>
  </si>
  <si>
    <t>per bag of 50kg cement
used in the
mix</t>
  </si>
  <si>
    <t>Making soak pit 2.5 m diameter 3.0 metre deep with 45 x 45 cm dry
brick honey comb shaft with bricks and S.W. drain pipe 100 mm
diameter, 1.8 m long complete as per standard design.</t>
  </si>
  <si>
    <t>19.32.1</t>
  </si>
  <si>
    <t>With common burnt clay F.P.S. (non modular) bricks of class designation 7.5</t>
  </si>
  <si>
    <t>TOTAL CPWD SCHEDULED CIVIL WORKS =</t>
  </si>
  <si>
    <t>Calculation of Quantity for earth work excavation :</t>
  </si>
  <si>
    <t>Sl. no</t>
  </si>
  <si>
    <t>Location</t>
  </si>
  <si>
    <t>Member</t>
  </si>
  <si>
    <t>L</t>
  </si>
  <si>
    <t>B</t>
  </si>
  <si>
    <t>H</t>
  </si>
  <si>
    <t>No.</t>
  </si>
  <si>
    <t xml:space="preserve">Septic Tank </t>
  </si>
  <si>
    <t>Total quantity of earth-work excavation  =</t>
  </si>
  <si>
    <t>Calculation of Quantity for PCC work :</t>
  </si>
  <si>
    <t>Total quantity of PCC work=</t>
  </si>
  <si>
    <t>1.  Calculation of Quantity for RCC :</t>
  </si>
  <si>
    <t xml:space="preserve"> Calculation of Quantity for upto Plinth level :</t>
  </si>
  <si>
    <t>floor slab &amp; Lintel :</t>
  </si>
  <si>
    <t>T</t>
  </si>
  <si>
    <t>Lintel beam</t>
  </si>
  <si>
    <t>Septic tank</t>
  </si>
  <si>
    <t>Total quantity of RCC work up to plinth level =</t>
  </si>
  <si>
    <t>2.  Calculation of Quantity for shuttering work :</t>
  </si>
  <si>
    <t>Chajja &amp; Slab :</t>
  </si>
  <si>
    <t>Top Slab</t>
  </si>
  <si>
    <t>SQM</t>
  </si>
  <si>
    <t>Calculation of Quantity for reinforcement :</t>
  </si>
  <si>
    <t>Lintel Beam reinforcement:</t>
  </si>
  <si>
    <t>Sl.no</t>
  </si>
  <si>
    <t>No of beam</t>
  </si>
  <si>
    <t>Beam  (L)</t>
  </si>
  <si>
    <t>Bend</t>
  </si>
  <si>
    <t>Total (L)</t>
  </si>
  <si>
    <t>Weight</t>
  </si>
  <si>
    <t>No of Bar</t>
  </si>
  <si>
    <t xml:space="preserve">Lintel Beam </t>
  </si>
  <si>
    <t>Top bar</t>
  </si>
  <si>
    <t>12 mm bar</t>
  </si>
  <si>
    <t>Lintel Beam  Strrups :</t>
  </si>
  <si>
    <t>Beam (L)</t>
  </si>
  <si>
    <t>Stru L</t>
  </si>
  <si>
    <t>No.of stirrups</t>
  </si>
  <si>
    <t>Lintel Beam stirrups</t>
  </si>
  <si>
    <t>TYPICAL  230X230</t>
  </si>
  <si>
    <t>8 MM BAR</t>
  </si>
  <si>
    <t>Top slab  :</t>
  </si>
  <si>
    <t>Length Dir. bar(Top)</t>
  </si>
  <si>
    <t>10mm bar</t>
  </si>
  <si>
    <t>Breadth Dir. bar(Bottom)</t>
  </si>
  <si>
    <t>TOTAL QUANTITY OF REINFORCEMENT FROM PLINTH TO ROOF LEVEL =</t>
  </si>
  <si>
    <t>3.  Calculation of Quantity for brick work Upto Plnth :</t>
  </si>
  <si>
    <t>Total quantity of brick work for 1st floor  =</t>
  </si>
  <si>
    <t>Cement Slury Plaster.</t>
  </si>
  <si>
    <t>Nos</t>
  </si>
  <si>
    <t>Roof floor</t>
  </si>
  <si>
    <t>TOTAL EXTERNAL PLASTERING AREA =</t>
  </si>
  <si>
    <t>SQM.</t>
  </si>
  <si>
    <t>Name of Work :-   Repairing and Renovation of  Circuit House at Bokakhat Co District under Golaghat District</t>
  </si>
  <si>
    <t>(Rates are quoted from DSR (civil) of 2021)</t>
  </si>
  <si>
    <t>DETAILED MEASUREMENT SHEET FOR INTERIOR PAINTING (ITEM NO. 11 - DSR CODE 13.83.2)</t>
  </si>
  <si>
    <t>13.83.2</t>
  </si>
  <si>
    <t>PLAN 1: G+1 ASSAM TYPE BUILDING (FIRST FLOOR &amp; GROUND FLOOR) - Wall &amp; Beam painting with premium acrylic emulsion paint</t>
  </si>
  <si>
    <t>Internal RCC Beams (Sides &amp; Soffits below ceiling, Girth=0.73m)</t>
  </si>
  <si>
    <t xml:space="preserve">  Ground Floor (Identical Architectural Layout)</t>
  </si>
  <si>
    <t>TOTAL FOR PLAN 1 (G+1 BOTH FLOORS) =</t>
  </si>
  <si>
    <t>PLAN 2: ASSAM TYPE BUILDING (DORMITORY / BARRACK BLOCK) - Wall &amp; Beam painting with premium acrylic emulsion paint</t>
  </si>
  <si>
    <t>TOTAL FOR PLAN 2 =</t>
  </si>
  <si>
    <t>PLAN 3: ASSAM TYPE BUILDING (COTTAGE / VIP SUITE) - Wall &amp; Beam painting with premium acrylic emulsion paint</t>
  </si>
  <si>
    <t>TOTAL FOR PLAN 3 =</t>
  </si>
  <si>
    <t>GRAND TOTAL OF INTERIOR WALL &amp; BEAM PAINTING (ALL 3 BUILDINGS) =</t>
  </si>
  <si>
    <t>PART B: CEILING PAINTING MEASUREMENT (Nos x L x B)</t>
  </si>
  <si>
    <t>PLAN 1 - Room 1 Ceiling</t>
  </si>
  <si>
    <t>PLAN 1 - Room 2 Ceiling</t>
  </si>
  <si>
    <t>PLAN 1 - Room 3 Ceiling</t>
  </si>
  <si>
    <t>PLAN 1 - Room 4 Ceiling</t>
  </si>
  <si>
    <t>PLAN 1 - Room 5 Ceiling</t>
  </si>
  <si>
    <t>PLAN 1 - Room 6 with Annex Ceiling</t>
  </si>
  <si>
    <t>PLAN 1 - Room 7 Ceiling</t>
  </si>
  <si>
    <t>PLAN 1 - Room 8 Suite Ceiling</t>
  </si>
  <si>
    <t>PLAN 1 - Room 9 Room Ceiling</t>
  </si>
  <si>
    <t>PLAN 1 - Room 10 Office Ceiling</t>
  </si>
  <si>
    <t>PLAN 1 - Staircase Well Ceiling</t>
  </si>
  <si>
    <t>PLAN 1 - Room 11 Corridor Spine Ceiling</t>
  </si>
  <si>
    <t>PLAN 2 - Main Dormitory Hall Ceiling</t>
  </si>
  <si>
    <t>PLAN 2 - Toilet Cubicles Ceiling (4 nos)</t>
  </si>
  <si>
    <t>PLAN 2 - Toilet Access Lobby Ceiling</t>
  </si>
  <si>
    <t>PLAN 2 - Front Verandah Ceiling</t>
  </si>
  <si>
    <t>PLAN 3 - Main Room Ceiling</t>
  </si>
  <si>
    <t>PLAN 3 - Rear Annex / Toilet Ceiling</t>
  </si>
  <si>
    <t>PLAN 3 - Front Verandah Ceiling</t>
  </si>
  <si>
    <t>TOTAL CEILING PAINTING AREA (ALL 3 BUILDINGS) =</t>
  </si>
  <si>
    <t>COMBINED ABSTRACT (WALLS + BEAMS + CEILING PAINTING - ALL 3 BUILDINGS) =</t>
  </si>
  <si>
    <t>BOQ ITEM  NO = F4</t>
  </si>
  <si>
    <t>bombay dyeing Bedsheet - Size 255 centimeter
x 230 centimeter</t>
  </si>
  <si>
    <t>BOQ ITEM  NO = F5</t>
  </si>
  <si>
    <t>PUREREST Cotton Pillow 33 cm x 56 cm</t>
  </si>
  <si>
    <t>BOQ ITEM  NO = F6</t>
  </si>
  <si>
    <t>BANDHARA Cotton Oxford Pillow Covers-Hand
icraft, Size Single</t>
  </si>
  <si>
    <t>BOQ ITEM  NO = F7</t>
  </si>
  <si>
    <t>Borosil Ceramic Dinner Set
Borosil (LARAH 3N BIRTHDAY SET)</t>
  </si>
  <si>
    <t>F4</t>
  </si>
  <si>
    <t>F5</t>
  </si>
  <si>
    <t>F6</t>
  </si>
  <si>
    <t>F7</t>
  </si>
  <si>
    <t>2. Sanitary and Water Supply Fittings…................</t>
  </si>
  <si>
    <t>Providing and fixing white vitreous china pedestal for wash basin completely recessed at the back for the reception of pipes and fittings.</t>
  </si>
  <si>
    <t>1. Furniture….......................................................</t>
  </si>
  <si>
    <t>Reinforced cement concrete work in beams, suspended floors, roofs having slope up to 15° landings, balconies, shelves, chajjas, lintels, bands, plain window sills, staircases and spiral stair cases above plinth level up to floor five level, excluding the cost of centering, shuttering, finishing and reinforcement with 1:1.5:3 (1 cement : 1.5 coarse sand(zone-III) derived from natural sources : 3 graded stone aggregate 20 mm nominal size derived from natural sources).</t>
  </si>
  <si>
    <t>Roof Beam</t>
  </si>
  <si>
    <t>Suspended floors, roofs, landings, balconies and access
 platform</t>
  </si>
  <si>
    <t>5.22A</t>
  </si>
  <si>
    <t>Steel reinforcement for R.C.C. work including straightening, cutting, bending, placing in position and binding all complete above plinth level.</t>
  </si>
  <si>
    <t>5.22.6.A</t>
  </si>
  <si>
    <t>kg</t>
  </si>
  <si>
    <t>Kitchen Slab</t>
  </si>
  <si>
    <t xml:space="preserve"> Brick work with common burnt clay machine moulded perforated bricks of class designation 12.5 conforming to IS: 2222 in superstructure above plinth level up to floor five level in cement mortar 1:6 (1 cement : 6 coarse sand) :
 6.3.1 With F.P.S.(non modular) bricks </t>
  </si>
  <si>
    <t>Long Wall</t>
  </si>
  <si>
    <t>9.48</t>
  </si>
  <si>
    <t xml:space="preserve"> Providing and fixing M.S. grills of required pattern in frames of windows etc. with M.S. flats, square or round bars etc. including priming coat  with approved steel primer all complete.
 9.48.2 Fixed to openings /wooden frames with rawl plugs screws etc.</t>
  </si>
  <si>
    <t>Grills</t>
  </si>
  <si>
    <t>13.14</t>
  </si>
  <si>
    <t>15 mm cement plaster 1:2 (1 cement : 2 stone dust) on the rough
 side of single or half brick wall.:</t>
  </si>
  <si>
    <t xml:space="preserve">Providing and laying water proofing treatment on roofs of slabs by applying cement slurry mixed with water proofing cement compound consisting of applying:
(a) after surface preparation, first layer of slurry of cement @ 0.488 kg/sqm mixed with water proofing cement compound @ 0.253 kg/sqm.
(b) laying second layer of Fibre glass cloth when the first layer is still green. Overlaps of joints of fibre cloth should not be less than 10 cm.
(c) third layer of 1.5 mm thickness consisting of slurry of cement @ 1.289 kg/sqm mixed with water proofing cement compound @ 0.670 kg/sqm and coarse sand @ 1.289 kg/sqm. This will be allowed to air cure for 4 hours followed by water curing for 48 hours. The entire treatment will be taken upto 30 cm on parapet wall and tucked into groove in parapet all around.
(d) fourth and final layer of brick tiling with cement mortar (which
will be paid for separately.
For the purpose of measurement the entire treated surface will be
measured. </t>
  </si>
  <si>
    <t>Subtotal (Ground Floor Wall &amp; Beam Painting)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</si>
</sst>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Rs-859]\ #,##0.00"/>
    <numFmt numFmtId="165" formatCode="[$Rs-420]\ #,##0.00"/>
    <numFmt numFmtId="166" formatCode="0.0"/>
    <numFmt numFmtId="167" formatCode="&quot;Rs.&quot;#,##0.00"/>
    <numFmt numFmtId="168" formatCode="0.000"/>
    <numFmt numFmtId="169" formatCode="&quot;₹&quot;\ #,##0.00"/>
    <numFmt numFmtId="170" formatCode="&quot;Rs.&quot;\ #,##0.00"/>
  </numFmts>
  <fonts count="92" x14ac:knownFonts="1">
    <font>
      <sz val="10"/>
      <color rgb="FF000000"/>
      <name val="Times New Roman"/>
      <charset val="204"/>
    </font>
    <font>
      <sz val="11"/>
      <color theme="1"/>
      <name val="Calibri"/>
      <family val="2"/>
      <scheme val="minor"/>
    </font>
    <font>
      <sz val="10"/>
      <name val="Arial"/>
      <family val="2"/>
    </font>
    <font>
      <sz val="10"/>
      <color rgb="FF000000"/>
      <name val="Times New Roman"/>
      <family val="1"/>
    </font>
    <font>
      <b/>
      <sz val="12"/>
      <name val="Arial Narrow"/>
      <family val="2"/>
    </font>
    <font>
      <sz val="12"/>
      <name val="Arial Narrow"/>
      <family val="2"/>
    </font>
    <font>
      <sz val="10"/>
      <name val="Arial Narrow"/>
      <family val="2"/>
    </font>
    <font>
      <b/>
      <sz val="11"/>
      <color theme="1"/>
      <name val="Arial Narrow"/>
      <family val="2"/>
    </font>
    <font>
      <sz val="11"/>
      <color theme="1"/>
      <name val="Arial Narrow"/>
      <family val="2"/>
    </font>
    <font>
      <sz val="11"/>
      <name val="Arial Narrow"/>
      <family val="2"/>
    </font>
    <font>
      <b/>
      <sz val="12"/>
      <color theme="1"/>
      <name val="Arial Narrow"/>
      <family val="2"/>
    </font>
    <font>
      <b/>
      <sz val="11"/>
      <name val="Arial Narrow"/>
      <family val="2"/>
    </font>
    <font>
      <sz val="11"/>
      <color rgb="FF000000"/>
      <name val="Arial Narrow"/>
      <family val="2"/>
    </font>
    <font>
      <sz val="12"/>
      <color rgb="FF000000"/>
      <name val="Times New Roman"/>
      <family val="1"/>
    </font>
    <font>
      <sz val="11"/>
      <color rgb="FF000000"/>
      <name val="Calibri"/>
      <family val="2"/>
      <charset val="1"/>
    </font>
    <font>
      <sz val="12"/>
      <color rgb="FF000000"/>
      <name val="Calibri"/>
      <family val="2"/>
      <charset val="1"/>
    </font>
    <font>
      <sz val="10"/>
      <color theme="1"/>
      <name val="Arial Narrow"/>
      <family val="2"/>
    </font>
    <font>
      <b/>
      <sz val="11"/>
      <color rgb="FF000000"/>
      <name val="Arial Narrow"/>
      <family val="2"/>
    </font>
    <font>
      <sz val="10"/>
      <color rgb="FF000000"/>
      <name val="Times New Roman"/>
      <family val="1"/>
    </font>
    <font>
      <sz val="11"/>
      <color rgb="FF9C5700"/>
      <name val="Calibri"/>
      <family val="2"/>
      <scheme val="minor"/>
    </font>
    <font>
      <sz val="10"/>
      <name val="Times New Roman"/>
      <family val="1"/>
    </font>
    <font>
      <b/>
      <u/>
      <sz val="11"/>
      <color theme="1"/>
      <name val="Times New Roman"/>
      <family val="1"/>
    </font>
    <font>
      <sz val="10"/>
      <color theme="1"/>
      <name val="Times New Roman"/>
      <family val="1"/>
    </font>
    <font>
      <sz val="11"/>
      <color theme="1"/>
      <name val="Times New Roman"/>
      <family val="1"/>
    </font>
    <font>
      <b/>
      <sz val="11"/>
      <color theme="1"/>
      <name val="Times New Roman"/>
      <family val="1"/>
    </font>
    <font>
      <b/>
      <sz val="14"/>
      <name val="Times New Roman"/>
      <family val="1"/>
    </font>
    <font>
      <b/>
      <sz val="10"/>
      <color rgb="FF000000"/>
      <name val="Times New Roman"/>
      <family val="1"/>
    </font>
    <font>
      <sz val="11"/>
      <color rgb="FF000000"/>
      <name val="Times New Roman"/>
      <family val="1"/>
    </font>
    <font>
      <b/>
      <sz val="14"/>
      <color theme="1"/>
      <name val="Times New Roman"/>
      <family val="1"/>
    </font>
    <font>
      <b/>
      <u/>
      <sz val="14"/>
      <color theme="1"/>
      <name val="Times New Roman"/>
      <family val="1"/>
    </font>
    <font>
      <u/>
      <sz val="11"/>
      <color theme="1"/>
      <name val="Times New Roman"/>
      <family val="1"/>
    </font>
    <font>
      <u/>
      <sz val="11"/>
      <color rgb="FF000000"/>
      <name val="Times New Roman"/>
      <family val="1"/>
    </font>
    <font>
      <b/>
      <sz val="12"/>
      <color rgb="FF000000"/>
      <name val="Times New Roman"/>
      <family val="1"/>
    </font>
    <font>
      <b/>
      <sz val="10"/>
      <color theme="1"/>
      <name val="Times New Roman"/>
      <family val="1"/>
    </font>
    <font>
      <b/>
      <u/>
      <sz val="20"/>
      <color rgb="FF000000"/>
      <name val="Times New Roman"/>
      <family val="1"/>
    </font>
    <font>
      <b/>
      <sz val="20"/>
      <color rgb="FF000000"/>
      <name val="Times New Roman"/>
      <family val="1"/>
    </font>
    <font>
      <b/>
      <sz val="14"/>
      <color rgb="FF000000"/>
      <name val="Times New Roman"/>
      <family val="1"/>
    </font>
    <font>
      <b/>
      <i/>
      <sz val="16"/>
      <color rgb="FF000000"/>
      <name val="Times New Roman"/>
      <family val="1"/>
    </font>
    <font>
      <b/>
      <u/>
      <sz val="12"/>
      <color theme="1"/>
      <name val="Times New Roman"/>
      <family val="1"/>
    </font>
    <font>
      <b/>
      <u/>
      <sz val="12"/>
      <color rgb="FF000000"/>
      <name val="Times New Roman"/>
      <family val="1"/>
    </font>
    <font>
      <b/>
      <i/>
      <sz val="11"/>
      <color rgb="FF000000"/>
      <name val="Arial Narrow"/>
      <family val="2"/>
    </font>
    <font>
      <b/>
      <i/>
      <sz val="11"/>
      <name val="Arial Narrow"/>
      <family val="2"/>
    </font>
    <font>
      <b/>
      <sz val="14"/>
      <name val="Arial Narrow"/>
      <family val="2"/>
    </font>
    <font>
      <b/>
      <sz val="10"/>
      <name val="Arial Narrow"/>
      <family val="2"/>
    </font>
    <font>
      <sz val="10"/>
      <color rgb="FF000000"/>
      <name val="Arial Narrow"/>
      <family val="2"/>
    </font>
    <font>
      <b/>
      <sz val="10"/>
      <color rgb="FF000000"/>
      <name val="Arial Narrow"/>
      <family val="2"/>
    </font>
    <font>
      <b/>
      <sz val="9"/>
      <color rgb="FF000000"/>
      <name val="Arial Narrow"/>
      <family val="2"/>
    </font>
    <font>
      <sz val="9"/>
      <color rgb="FF000000"/>
      <name val="Arial Narrow"/>
      <family val="2"/>
    </font>
    <font>
      <b/>
      <i/>
      <sz val="12"/>
      <color rgb="FF000000"/>
      <name val="Arial Narrow"/>
      <family val="2"/>
    </font>
    <font>
      <b/>
      <i/>
      <sz val="10"/>
      <color rgb="FF000000"/>
      <name val="Arial Narrow"/>
      <family val="2"/>
    </font>
    <font>
      <sz val="14"/>
      <color rgb="FF000000"/>
      <name val="Arial Narrow"/>
      <family val="2"/>
    </font>
    <font>
      <b/>
      <u/>
      <sz val="16"/>
      <name val="Arial Narrow"/>
      <family val="2"/>
    </font>
    <font>
      <sz val="16"/>
      <name val="Arial Narrow"/>
      <family val="2"/>
    </font>
    <font>
      <sz val="14"/>
      <name val="Arial Narrow"/>
      <family val="2"/>
    </font>
    <font>
      <b/>
      <sz val="14"/>
      <color rgb="FF000000"/>
      <name val="Arial Narrow"/>
      <family val="2"/>
    </font>
    <font>
      <b/>
      <i/>
      <sz val="14"/>
      <color rgb="FF000000"/>
      <name val="Arial Narrow"/>
      <family val="2"/>
    </font>
    <font>
      <b/>
      <i/>
      <sz val="14"/>
      <name val="Arial Narrow"/>
      <family val="2"/>
    </font>
    <font>
      <b/>
      <sz val="11"/>
      <name val="Times New Roman"/>
      <family val="1"/>
    </font>
    <font>
      <b/>
      <i/>
      <sz val="11"/>
      <name val="Times New Roman"/>
      <family val="1"/>
    </font>
    <font>
      <sz val="11"/>
      <name val="Times New Roman"/>
      <family val="1"/>
    </font>
    <font>
      <sz val="11"/>
      <color rgb="FFFF0000"/>
      <name val="Arial Narrow"/>
      <family val="2"/>
    </font>
    <font>
      <b/>
      <i/>
      <u/>
      <sz val="14"/>
      <color theme="1"/>
      <name val="Arial Narrow"/>
      <family val="2"/>
    </font>
    <font>
      <sz val="8"/>
      <color theme="1"/>
      <name val="Arial Narrow"/>
      <family val="2"/>
    </font>
    <font>
      <b/>
      <sz val="18"/>
      <color rgb="FF000000"/>
      <name val="Times New Roman"/>
      <family val="1"/>
    </font>
    <font>
      <sz val="14"/>
      <color rgb="FF000000"/>
      <name val="Times New Roman"/>
      <family val="1"/>
    </font>
    <font>
      <sz val="9"/>
      <name val="Arial Narrow"/>
      <family val="2"/>
    </font>
    <font>
      <sz val="9"/>
      <color theme="1"/>
      <name val="Arial Narrow"/>
      <family val="2"/>
    </font>
    <font>
      <sz val="9.5"/>
      <color theme="1"/>
      <name val="Times New Roman"/>
      <family val="1"/>
    </font>
    <font>
      <b/>
      <sz val="14"/>
      <color indexed="8"/>
      <name val="Times New Roman"/>
      <family val="1"/>
    </font>
    <font>
      <b/>
      <sz val="11"/>
      <color indexed="8"/>
      <name val="Times New Roman"/>
      <family val="1"/>
    </font>
    <font>
      <sz val="11"/>
      <color indexed="8"/>
      <name val="Times New Roman"/>
      <family val="1"/>
    </font>
    <font>
      <i/>
      <sz val="10"/>
      <color theme="1"/>
      <name val="Arial Narrow"/>
      <family val="2"/>
    </font>
    <font>
      <b/>
      <u/>
      <sz val="11"/>
      <color theme="1"/>
      <name val="Arial Narrow"/>
      <family val="2"/>
    </font>
    <font>
      <sz val="10"/>
      <color rgb="FF000000"/>
      <name val="Times New Roman"/>
      <charset val="204"/>
    </font>
    <font>
      <sz val="12"/>
      <color theme="1"/>
      <name val="Arial Narrow"/>
      <family val="2"/>
    </font>
    <font>
      <b/>
      <sz val="12"/>
      <color rgb="FF000000"/>
      <name val="Arial Narrow"/>
      <family val="2"/>
    </font>
    <font>
      <sz val="12"/>
      <color rgb="FF000000"/>
      <name val="Arial Narrow"/>
      <family val="2"/>
    </font>
    <font>
      <b/>
      <sz val="11"/>
      <color rgb="FF000000"/>
      <name val="Times New Roman"/>
      <family val="1"/>
    </font>
    <font>
      <b/>
      <u/>
      <sz val="13"/>
      <name val="Times New Roman"/>
      <family val="1"/>
    </font>
    <font>
      <b/>
      <sz val="10"/>
      <name val="Times New Roman"/>
      <family val="1"/>
    </font>
    <font>
      <b/>
      <sz val="12"/>
      <name val="Arial Narrow"/>
    </font>
    <font>
      <b/>
      <sz val="11"/>
      <name val="Arial Narrow"/>
    </font>
    <font>
      <b/>
      <sz val="10"/>
      <name val="Arial Narrow"/>
    </font>
    <font>
      <b/>
      <sz val="9"/>
      <name val="Arial Narrow"/>
    </font>
    <font>
      <sz val="10"/>
      <name val="Arial Narrow"/>
    </font>
    <font>
      <sz val="11"/>
      <name val="Arial Narrow"/>
    </font>
    <font>
      <b/>
      <i/>
      <sz val="11"/>
      <name val="Arial Narrow"/>
    </font>
    <font>
      <b/>
      <i/>
      <sz val="12"/>
      <name val="Arial Narrow"/>
    </font>
    <font>
      <b/>
      <sz val="14"/>
      <name val="Arial Narrow"/>
    </font>
    <font>
      <i/>
      <sz val="11"/>
      <name val="Arial Narrow"/>
    </font>
    <font>
      <b/>
      <sz val="11"/>
      <color rgb="FF002060"/>
      <name val="Arial Narrow"/>
    </font>
    <font>
      <b/>
      <sz val="12"/>
      <color rgb="FF9C0006"/>
      <name val="Arial Narrow"/>
    </font>
  </fonts>
  <fills count="13">
    <fill>
      <patternFill patternType="none"/>
    </fill>
    <fill>
      <patternFill patternType="gray125"/>
    </fill>
    <fill>
      <patternFill patternType="solid">
        <fgColor rgb="FFFFEB9C"/>
      </patternFill>
    </fill>
    <fill>
      <patternFill patternType="solid">
        <fgColor indexed="43"/>
        <bgColor indexed="64"/>
      </patternFill>
    </fill>
    <fill>
      <patternFill patternType="solid">
        <fgColor rgb="FFFFC000"/>
        <bgColor indexed="64"/>
      </patternFill>
    </fill>
    <fill>
      <patternFill patternType="solid">
        <fgColor theme="7" tint="0.59999389629810485"/>
        <bgColor indexed="64"/>
      </patternFill>
    </fill>
    <fill>
      <patternFill patternType="solid">
        <fgColor theme="0" tint="-0.89999084444715716"/>
        <bgColor indexed="64"/>
      </patternFill>
    </fill>
    <fill>
      <patternFill patternType="solid">
        <fgColor indexed="9"/>
        <bgColor indexed="64"/>
      </patternFill>
    </fill>
    <fill>
      <patternFill patternType="solid">
        <fgColor rgb="FFD9E1F2"/>
        <bgColor rgb="FFD9E1F2"/>
      </patternFill>
    </fill>
    <fill>
      <patternFill patternType="solid">
        <fgColor rgb="FFF2F2F2"/>
        <bgColor rgb="FFF2F2F2"/>
      </patternFill>
    </fill>
    <fill>
      <patternFill patternType="solid">
        <fgColor rgb="FFFFF2CC"/>
        <bgColor rgb="FFFFF2CC"/>
      </patternFill>
    </fill>
    <fill>
      <patternFill patternType="solid">
        <fgColor rgb="FFDDEBF7"/>
        <bgColor rgb="FFDDEBF7"/>
      </patternFill>
    </fill>
    <fill>
      <patternFill patternType="solid">
        <fgColor rgb="FFFFC7CE"/>
        <bgColor rgb="FFFFC7CE"/>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bottom/>
      <diagonal/>
    </border>
    <border>
      <left/>
      <right style="thin">
        <color indexed="64"/>
      </right>
      <top style="thin">
        <color indexed="64"/>
      </top>
      <bottom/>
      <diagonal/>
    </border>
    <border>
      <left style="thin">
        <color auto="1"/>
      </left>
      <right style="thin">
        <color auto="1"/>
      </right>
      <top/>
      <bottom style="thin">
        <color auto="1"/>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s>
  <cellStyleXfs count="75">
    <xf numFmtId="0" fontId="0" fillId="0" borderId="0"/>
    <xf numFmtId="0" fontId="2" fillId="0" borderId="0"/>
    <xf numFmtId="43" fontId="2" fillId="0" borderId="0"/>
    <xf numFmtId="0" fontId="18" fillId="0" borderId="0"/>
    <xf numFmtId="0" fontId="1" fillId="0" borderId="0"/>
    <xf numFmtId="0" fontId="2" fillId="0" borderId="0"/>
    <xf numFmtId="0" fontId="1" fillId="0" borderId="0"/>
    <xf numFmtId="0" fontId="2" fillId="0" borderId="0"/>
    <xf numFmtId="0" fontId="2" fillId="0" borderId="0"/>
    <xf numFmtId="43" fontId="1" fillId="0" borderId="0"/>
    <xf numFmtId="43" fontId="1" fillId="0" borderId="0"/>
    <xf numFmtId="0" fontId="18" fillId="0" borderId="0"/>
    <xf numFmtId="0" fontId="1" fillId="0" borderId="0"/>
    <xf numFmtId="43" fontId="1" fillId="0" borderId="0"/>
    <xf numFmtId="43" fontId="18" fillId="0" borderId="0"/>
    <xf numFmtId="43" fontId="1" fillId="0" borderId="0"/>
    <xf numFmtId="0" fontId="1" fillId="0" borderId="0"/>
    <xf numFmtId="0" fontId="1" fillId="0" borderId="0"/>
    <xf numFmtId="43" fontId="1" fillId="0" borderId="0"/>
    <xf numFmtId="0" fontId="14" fillId="0" borderId="0"/>
    <xf numFmtId="0" fontId="15" fillId="0" borderId="0"/>
    <xf numFmtId="43" fontId="2" fillId="0" borderId="0"/>
    <xf numFmtId="0" fontId="2" fillId="0" borderId="0"/>
    <xf numFmtId="0" fontId="1" fillId="0" borderId="0"/>
    <xf numFmtId="0" fontId="1" fillId="0" borderId="0"/>
    <xf numFmtId="43" fontId="1" fillId="0" borderId="0"/>
    <xf numFmtId="43" fontId="1" fillId="0" borderId="0"/>
    <xf numFmtId="43" fontId="1" fillId="0" borderId="0"/>
    <xf numFmtId="43" fontId="1" fillId="0" borderId="0"/>
    <xf numFmtId="43" fontId="1" fillId="0" borderId="0"/>
    <xf numFmtId="43" fontId="18" fillId="0" borderId="0"/>
    <xf numFmtId="43" fontId="18" fillId="0" borderId="0"/>
    <xf numFmtId="43"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2" borderId="0"/>
    <xf numFmtId="43" fontId="18" fillId="0" borderId="0"/>
    <xf numFmtId="0" fontId="73" fillId="0" borderId="0"/>
  </cellStyleXfs>
  <cellXfs count="771">
    <xf numFmtId="0" fontId="0" fillId="0" borderId="0" xfId="0" applyAlignment="1">
      <alignment horizontal="left" vertical="top"/>
    </xf>
    <xf numFmtId="0" fontId="12" fillId="0" borderId="0" xfId="0" applyFont="1" applyAlignment="1">
      <alignment horizontal="center" vertical="center"/>
    </xf>
    <xf numFmtId="0" fontId="23" fillId="0" borderId="0" xfId="0" applyFont="1" applyAlignment="1">
      <alignment horizontal="center"/>
    </xf>
    <xf numFmtId="0" fontId="23" fillId="0" borderId="0" xfId="0" applyFont="1"/>
    <xf numFmtId="0" fontId="0" fillId="0" borderId="0" xfId="0"/>
    <xf numFmtId="0" fontId="28" fillId="0" borderId="0" xfId="0" applyFont="1" applyAlignment="1">
      <alignment horizontal="center" vertical="top" wrapText="1"/>
    </xf>
    <xf numFmtId="0" fontId="27" fillId="0" borderId="0" xfId="0" applyFont="1"/>
    <xf numFmtId="0" fontId="28" fillId="0" borderId="0" xfId="0" applyFont="1" applyAlignment="1">
      <alignment horizontal="center" vertical="top"/>
    </xf>
    <xf numFmtId="0" fontId="28" fillId="0" borderId="0" xfId="0" applyFont="1" applyAlignment="1">
      <alignment vertical="top"/>
    </xf>
    <xf numFmtId="0" fontId="23" fillId="0" borderId="0" xfId="0" applyFont="1" applyAlignment="1">
      <alignment vertical="top"/>
    </xf>
    <xf numFmtId="0" fontId="23" fillId="0" borderId="0" xfId="0" applyFont="1" applyAlignment="1">
      <alignment horizontal="left" vertical="top"/>
    </xf>
    <xf numFmtId="164" fontId="23" fillId="0" borderId="0" xfId="0" applyNumberFormat="1" applyFont="1" applyAlignment="1">
      <alignment horizontal="center"/>
    </xf>
    <xf numFmtId="0" fontId="21" fillId="0" borderId="0" xfId="0" applyFont="1" applyAlignment="1">
      <alignment horizontal="justify"/>
    </xf>
    <xf numFmtId="0" fontId="23" fillId="0" borderId="0" xfId="0" applyFont="1" applyAlignment="1">
      <alignment horizontal="justify"/>
    </xf>
    <xf numFmtId="0" fontId="27" fillId="0" borderId="0" xfId="0" applyFont="1" applyAlignment="1">
      <alignment wrapText="1"/>
    </xf>
    <xf numFmtId="0" fontId="24" fillId="0" borderId="0" xfId="0" applyFont="1" applyAlignment="1">
      <alignment vertical="top"/>
    </xf>
    <xf numFmtId="0" fontId="35" fillId="0" borderId="10" xfId="0" applyFont="1" applyBorder="1" applyAlignment="1">
      <alignment horizontal="center" vertical="center"/>
    </xf>
    <xf numFmtId="0" fontId="36" fillId="0" borderId="10" xfId="0" applyFont="1" applyBorder="1" applyAlignment="1">
      <alignment horizontal="justify" vertical="center"/>
    </xf>
    <xf numFmtId="0" fontId="36" fillId="0" borderId="10" xfId="0" applyFont="1" applyBorder="1" applyAlignment="1">
      <alignment vertical="center"/>
    </xf>
    <xf numFmtId="0" fontId="36" fillId="0" borderId="10" xfId="0" applyFont="1" applyBorder="1" applyAlignment="1">
      <alignment horizontal="left" vertical="center" indent="15"/>
    </xf>
    <xf numFmtId="0" fontId="26" fillId="0" borderId="11" xfId="0" applyFont="1" applyBorder="1"/>
    <xf numFmtId="0" fontId="3" fillId="0" borderId="0" xfId="0" applyFont="1"/>
    <xf numFmtId="0" fontId="3" fillId="0" borderId="8" xfId="0" applyFont="1" applyBorder="1"/>
    <xf numFmtId="0" fontId="3" fillId="0" borderId="7" xfId="0" applyFont="1" applyBorder="1"/>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3" fillId="0" borderId="6" xfId="0" applyFont="1" applyBorder="1"/>
    <xf numFmtId="0" fontId="3" fillId="0" borderId="13" xfId="0" applyFont="1" applyBorder="1"/>
    <xf numFmtId="0" fontId="13" fillId="0" borderId="0" xfId="0" applyFont="1" applyAlignment="1">
      <alignment horizontal="left"/>
    </xf>
    <xf numFmtId="0" fontId="36" fillId="0" borderId="0" xfId="0" applyFont="1" applyAlignment="1">
      <alignment horizontal="center" wrapText="1"/>
    </xf>
    <xf numFmtId="0" fontId="26" fillId="0" borderId="0" xfId="0" applyFont="1" applyAlignment="1">
      <alignment horizontal="center"/>
    </xf>
    <xf numFmtId="0" fontId="24" fillId="0" borderId="0" xfId="0" applyFont="1" applyAlignment="1">
      <alignment horizontal="center" vertical="top"/>
    </xf>
    <xf numFmtId="0" fontId="32" fillId="0" borderId="0" xfId="0" applyFont="1" applyAlignment="1">
      <alignment horizontal="center" wrapText="1"/>
    </xf>
    <xf numFmtId="0" fontId="13" fillId="0" borderId="0" xfId="0" applyFont="1"/>
    <xf numFmtId="0" fontId="32" fillId="0" borderId="0" xfId="0" applyFont="1" applyAlignment="1">
      <alignment horizontal="left" wrapText="1"/>
    </xf>
    <xf numFmtId="0" fontId="12" fillId="0" borderId="0" xfId="0" applyFont="1" applyAlignment="1">
      <alignment vertical="center"/>
    </xf>
    <xf numFmtId="2" fontId="9" fillId="0" borderId="1" xfId="0" applyNumberFormat="1" applyFont="1" applyBorder="1" applyAlignment="1">
      <alignment horizontal="center" vertical="center"/>
    </xf>
    <xf numFmtId="0" fontId="12" fillId="0" borderId="0" xfId="0" applyFont="1"/>
    <xf numFmtId="165" fontId="40" fillId="0" borderId="1" xfId="0" applyNumberFormat="1" applyFont="1" applyBorder="1" applyAlignment="1">
      <alignment horizontal="right" vertical="center"/>
    </xf>
    <xf numFmtId="0" fontId="17" fillId="0" borderId="0" xfId="0" applyFont="1" applyAlignment="1">
      <alignment vertical="center"/>
    </xf>
    <xf numFmtId="2" fontId="11" fillId="3" borderId="0" xfId="0" applyNumberFormat="1" applyFont="1" applyFill="1" applyAlignment="1" applyProtection="1">
      <alignment horizontal="center"/>
      <protection locked="0"/>
    </xf>
    <xf numFmtId="0" fontId="41" fillId="4" borderId="14" xfId="0" applyFont="1" applyFill="1" applyBorder="1" applyProtection="1">
      <protection hidden="1"/>
    </xf>
    <xf numFmtId="0" fontId="9" fillId="4" borderId="15" xfId="0" applyFont="1" applyFill="1" applyBorder="1" applyAlignment="1" applyProtection="1">
      <alignment horizontal="center"/>
      <protection hidden="1"/>
    </xf>
    <xf numFmtId="0" fontId="9" fillId="4" borderId="15" xfId="0" applyFont="1" applyFill="1" applyBorder="1" applyProtection="1">
      <protection hidden="1"/>
    </xf>
    <xf numFmtId="0" fontId="41" fillId="4" borderId="15" xfId="0" applyFont="1" applyFill="1" applyBorder="1" applyAlignment="1" applyProtection="1">
      <alignment horizontal="center"/>
      <protection hidden="1"/>
    </xf>
    <xf numFmtId="0" fontId="11" fillId="5" borderId="1" xfId="0" applyFont="1" applyFill="1" applyBorder="1" applyProtection="1">
      <protection hidden="1"/>
    </xf>
    <xf numFmtId="0" fontId="9" fillId="5" borderId="1" xfId="0" applyFont="1" applyFill="1" applyBorder="1" applyAlignment="1" applyProtection="1">
      <alignment horizontal="center"/>
      <protection hidden="1"/>
    </xf>
    <xf numFmtId="0" fontId="9" fillId="5" borderId="1" xfId="0" applyFont="1" applyFill="1" applyBorder="1" applyProtection="1">
      <protection hidden="1"/>
    </xf>
    <xf numFmtId="0" fontId="9" fillId="6" borderId="1" xfId="0" applyFont="1" applyFill="1" applyBorder="1" applyProtection="1">
      <protection hidden="1"/>
    </xf>
    <xf numFmtId="0" fontId="11" fillId="0" borderId="0" xfId="0" applyFont="1" applyAlignment="1" applyProtection="1">
      <alignment horizontal="left"/>
      <protection hidden="1"/>
    </xf>
    <xf numFmtId="0" fontId="9" fillId="0" borderId="0" xfId="0" applyFont="1"/>
    <xf numFmtId="0" fontId="6" fillId="0" borderId="0" xfId="0" applyFont="1"/>
    <xf numFmtId="0" fontId="44" fillId="0" borderId="0" xfId="0" applyFont="1" applyAlignment="1">
      <alignment vertical="center"/>
    </xf>
    <xf numFmtId="0" fontId="45" fillId="0" borderId="1" xfId="0" applyFont="1" applyBorder="1" applyAlignment="1">
      <alignment horizontal="center" vertical="center" wrapText="1"/>
    </xf>
    <xf numFmtId="49" fontId="46" fillId="0" borderId="1" xfId="0" applyNumberFormat="1" applyFont="1" applyBorder="1" applyAlignment="1">
      <alignment horizontal="center" vertical="center" wrapText="1"/>
    </xf>
    <xf numFmtId="2" fontId="45" fillId="0" borderId="1" xfId="0" applyNumberFormat="1" applyFont="1" applyBorder="1" applyAlignment="1">
      <alignment horizontal="center" vertical="center" wrapText="1"/>
    </xf>
    <xf numFmtId="0" fontId="17" fillId="0" borderId="1" xfId="0" applyFont="1" applyBorder="1" applyAlignment="1">
      <alignment horizontal="center" vertical="center" wrapText="1"/>
    </xf>
    <xf numFmtId="164" fontId="17" fillId="0" borderId="1" xfId="0" applyNumberFormat="1" applyFont="1" applyBorder="1" applyAlignment="1">
      <alignment horizontal="center" vertical="center" wrapText="1"/>
    </xf>
    <xf numFmtId="0" fontId="17" fillId="0" borderId="0" xfId="0" applyFont="1" applyAlignment="1">
      <alignment horizontal="center" vertical="center" wrapText="1"/>
    </xf>
    <xf numFmtId="165" fontId="8" fillId="0" borderId="1" xfId="0" applyNumberFormat="1" applyFont="1" applyBorder="1" applyAlignment="1">
      <alignment horizontal="right" vertical="center"/>
    </xf>
    <xf numFmtId="0" fontId="6" fillId="0" borderId="1" xfId="0" applyFont="1" applyBorder="1" applyAlignment="1">
      <alignment horizontal="center" vertical="center" wrapText="1"/>
    </xf>
    <xf numFmtId="2" fontId="6" fillId="0" borderId="1" xfId="0" applyNumberFormat="1" applyFont="1" applyBorder="1" applyAlignment="1">
      <alignment horizontal="center" vertical="center"/>
    </xf>
    <xf numFmtId="165" fontId="17" fillId="0" borderId="1" xfId="0" applyNumberFormat="1" applyFont="1" applyBorder="1" applyAlignment="1">
      <alignment horizontal="right"/>
    </xf>
    <xf numFmtId="165" fontId="48" fillId="0" borderId="1" xfId="0" applyNumberFormat="1" applyFont="1" applyBorder="1" applyAlignment="1">
      <alignment horizontal="right" vertical="center"/>
    </xf>
    <xf numFmtId="0" fontId="44" fillId="0" borderId="0" xfId="0" applyFont="1" applyAlignment="1">
      <alignment horizontal="center" vertical="center"/>
    </xf>
    <xf numFmtId="49" fontId="47" fillId="0" borderId="0" xfId="0" applyNumberFormat="1" applyFont="1" applyAlignment="1">
      <alignment horizontal="center" vertical="center" wrapText="1"/>
    </xf>
    <xf numFmtId="165" fontId="44" fillId="0" borderId="0" xfId="0" applyNumberFormat="1" applyFont="1" applyAlignment="1">
      <alignment horizontal="right" vertical="center"/>
    </xf>
    <xf numFmtId="2" fontId="44" fillId="0" borderId="0" xfId="0" applyNumberFormat="1" applyFont="1" applyAlignment="1">
      <alignment horizontal="center" vertical="center"/>
    </xf>
    <xf numFmtId="164" fontId="44" fillId="0" borderId="0" xfId="0" applyNumberFormat="1" applyFont="1" applyAlignment="1">
      <alignment horizontal="center" vertical="center"/>
    </xf>
    <xf numFmtId="0" fontId="44" fillId="0" borderId="0" xfId="0" applyFont="1"/>
    <xf numFmtId="0" fontId="43" fillId="0" borderId="1" xfId="5" applyFont="1" applyBorder="1" applyAlignment="1">
      <alignment horizontal="center" vertical="center" wrapText="1"/>
    </xf>
    <xf numFmtId="4" fontId="43" fillId="0" borderId="1" xfId="5" applyNumberFormat="1" applyFont="1" applyBorder="1" applyAlignment="1">
      <alignment horizontal="center" vertical="center" wrapText="1"/>
    </xf>
    <xf numFmtId="0" fontId="6" fillId="0" borderId="1" xfId="0" applyFont="1" applyBorder="1" applyAlignment="1">
      <alignment horizontal="center" vertical="center"/>
    </xf>
    <xf numFmtId="1" fontId="6" fillId="0" borderId="1" xfId="0" applyNumberFormat="1" applyFont="1" applyBorder="1" applyAlignment="1">
      <alignment horizontal="center" vertical="center"/>
    </xf>
    <xf numFmtId="0" fontId="6" fillId="0" borderId="1" xfId="5" applyFont="1" applyBorder="1" applyAlignment="1">
      <alignment horizontal="right" vertical="center"/>
    </xf>
    <xf numFmtId="164" fontId="44" fillId="0" borderId="1" xfId="0" applyNumberFormat="1" applyFont="1" applyBorder="1" applyAlignment="1">
      <alignment horizontal="right" vertical="center"/>
    </xf>
    <xf numFmtId="166" fontId="6" fillId="0" borderId="1" xfId="0" applyNumberFormat="1" applyFont="1" applyBorder="1" applyAlignment="1">
      <alignment horizontal="center" vertical="center"/>
    </xf>
    <xf numFmtId="0" fontId="6" fillId="0" borderId="1" xfId="0" applyFont="1" applyBorder="1" applyAlignment="1">
      <alignment horizontal="right" vertical="center" wrapText="1"/>
    </xf>
    <xf numFmtId="2" fontId="6" fillId="0" borderId="1" xfId="5" applyNumberFormat="1" applyFont="1" applyBorder="1" applyAlignment="1">
      <alignment horizontal="right" vertical="center"/>
    </xf>
    <xf numFmtId="164" fontId="45" fillId="0" borderId="1" xfId="0" applyNumberFormat="1" applyFont="1" applyBorder="1" applyAlignment="1">
      <alignment horizontal="right" vertical="center"/>
    </xf>
    <xf numFmtId="0" fontId="50" fillId="0" borderId="0" xfId="0" applyFont="1"/>
    <xf numFmtId="0" fontId="42" fillId="0" borderId="0" xfId="0" applyFont="1" applyAlignment="1">
      <alignment horizontal="left" vertical="center" wrapText="1"/>
    </xf>
    <xf numFmtId="0" fontId="50" fillId="0" borderId="0" xfId="0" applyFont="1" applyAlignment="1">
      <alignment vertical="center"/>
    </xf>
    <xf numFmtId="0" fontId="42" fillId="0" borderId="1" xfId="0" applyFont="1" applyBorder="1" applyAlignment="1">
      <alignment horizontal="center" vertical="center"/>
    </xf>
    <xf numFmtId="0" fontId="53" fillId="0" borderId="0" xfId="0" applyFont="1"/>
    <xf numFmtId="0" fontId="53" fillId="0" borderId="1" xfId="0" applyFont="1" applyBorder="1" applyAlignment="1">
      <alignment horizontal="right"/>
    </xf>
    <xf numFmtId="164" fontId="50" fillId="0" borderId="1" xfId="0" applyNumberFormat="1" applyFont="1" applyBorder="1" applyAlignment="1">
      <alignment vertical="center"/>
    </xf>
    <xf numFmtId="164" fontId="50" fillId="0" borderId="0" xfId="0" applyNumberFormat="1" applyFont="1"/>
    <xf numFmtId="0" fontId="42" fillId="0" borderId="1" xfId="0" applyFont="1" applyBorder="1" applyAlignment="1">
      <alignment horizontal="right" vertical="center" wrapText="1"/>
    </xf>
    <xf numFmtId="164" fontId="42" fillId="0" borderId="1" xfId="0" applyNumberFormat="1" applyFont="1" applyBorder="1" applyAlignment="1">
      <alignment vertical="center"/>
    </xf>
    <xf numFmtId="0" fontId="50" fillId="0" borderId="1" xfId="0" applyFont="1" applyBorder="1" applyAlignment="1">
      <alignment horizontal="right"/>
    </xf>
    <xf numFmtId="0" fontId="54" fillId="0" borderId="1" xfId="0" applyFont="1" applyBorder="1" applyAlignment="1">
      <alignment horizontal="right"/>
    </xf>
    <xf numFmtId="164" fontId="54" fillId="0" borderId="18" xfId="0" applyNumberFormat="1" applyFont="1" applyBorder="1"/>
    <xf numFmtId="165" fontId="55" fillId="0" borderId="1" xfId="0" applyNumberFormat="1" applyFont="1" applyBorder="1" applyAlignment="1">
      <alignment horizontal="right" vertical="center"/>
    </xf>
    <xf numFmtId="0" fontId="50" fillId="0" borderId="0" xfId="0" applyFont="1" applyAlignment="1">
      <alignment horizontal="right"/>
    </xf>
    <xf numFmtId="2" fontId="57" fillId="3" borderId="0" xfId="0" applyNumberFormat="1" applyFont="1" applyFill="1" applyAlignment="1" applyProtection="1">
      <alignment horizontal="center"/>
      <protection locked="0"/>
    </xf>
    <xf numFmtId="0" fontId="58" fillId="4" borderId="14" xfId="0" applyFont="1" applyFill="1" applyBorder="1" applyProtection="1">
      <protection hidden="1"/>
    </xf>
    <xf numFmtId="0" fontId="59" fillId="4" borderId="15" xfId="0" applyFont="1" applyFill="1" applyBorder="1" applyAlignment="1" applyProtection="1">
      <alignment horizontal="center"/>
      <protection hidden="1"/>
    </xf>
    <xf numFmtId="0" fontId="59" fillId="4" borderId="15" xfId="0" applyFont="1" applyFill="1" applyBorder="1" applyProtection="1">
      <protection hidden="1"/>
    </xf>
    <xf numFmtId="0" fontId="58" fillId="4" borderId="15" xfId="0" applyFont="1" applyFill="1" applyBorder="1" applyAlignment="1" applyProtection="1">
      <alignment horizontal="center"/>
      <protection hidden="1"/>
    </xf>
    <xf numFmtId="0" fontId="57" fillId="5" borderId="1" xfId="0" applyFont="1" applyFill="1" applyBorder="1" applyProtection="1">
      <protection hidden="1"/>
    </xf>
    <xf numFmtId="0" fontId="59" fillId="5" borderId="1" xfId="0" applyFont="1" applyFill="1" applyBorder="1" applyAlignment="1" applyProtection="1">
      <alignment horizontal="center"/>
      <protection hidden="1"/>
    </xf>
    <xf numFmtId="0" fontId="59" fillId="5" borderId="1" xfId="0" applyFont="1" applyFill="1" applyBorder="1" applyProtection="1">
      <protection hidden="1"/>
    </xf>
    <xf numFmtId="0" fontId="59" fillId="6" borderId="1" xfId="0" applyFont="1" applyFill="1" applyBorder="1" applyProtection="1">
      <protection hidden="1"/>
    </xf>
    <xf numFmtId="0" fontId="57" fillId="0" borderId="0" xfId="0" applyFont="1" applyAlignment="1" applyProtection="1">
      <alignment horizontal="left"/>
      <protection hidden="1"/>
    </xf>
    <xf numFmtId="0" fontId="59" fillId="0" borderId="0" xfId="0" applyFont="1"/>
    <xf numFmtId="0" fontId="2" fillId="0" borderId="0" xfId="0" applyFont="1"/>
    <xf numFmtId="0" fontId="7" fillId="0" borderId="22" xfId="1" applyFont="1" applyBorder="1" applyAlignment="1">
      <alignment horizontal="center" vertical="center"/>
    </xf>
    <xf numFmtId="0" fontId="7" fillId="0" borderId="17" xfId="1" applyFont="1" applyBorder="1" applyAlignment="1">
      <alignment horizontal="center" vertical="center"/>
    </xf>
    <xf numFmtId="0" fontId="8" fillId="0" borderId="18" xfId="1" applyFont="1" applyBorder="1" applyAlignment="1">
      <alignment horizontal="center" vertical="center"/>
    </xf>
    <xf numFmtId="0" fontId="7" fillId="0" borderId="18" xfId="1" applyFont="1" applyBorder="1" applyAlignment="1">
      <alignment horizontal="center" vertical="center"/>
    </xf>
    <xf numFmtId="2" fontId="7" fillId="0" borderId="18" xfId="1" applyNumberFormat="1" applyFont="1" applyBorder="1" applyAlignment="1">
      <alignment horizontal="center" vertical="center"/>
    </xf>
    <xf numFmtId="43" fontId="7" fillId="0" borderId="18" xfId="2" applyFont="1" applyBorder="1" applyAlignment="1">
      <alignment horizontal="center" vertical="center" wrapText="1"/>
    </xf>
    <xf numFmtId="167" fontId="7" fillId="0" borderId="18" xfId="1" applyNumberFormat="1" applyFont="1" applyBorder="1" applyAlignment="1">
      <alignment horizontal="center" vertical="center" wrapText="1"/>
    </xf>
    <xf numFmtId="167" fontId="7" fillId="0" borderId="18" xfId="1" applyNumberFormat="1" applyFont="1" applyBorder="1" applyAlignment="1">
      <alignment horizontal="right" vertical="center" wrapText="1"/>
    </xf>
    <xf numFmtId="0" fontId="8" fillId="0" borderId="1" xfId="1" applyFont="1" applyBorder="1" applyAlignment="1">
      <alignment horizontal="center" vertical="center"/>
    </xf>
    <xf numFmtId="166" fontId="7" fillId="0" borderId="1" xfId="1" applyNumberFormat="1" applyFont="1" applyBorder="1" applyAlignment="1">
      <alignment horizontal="center" vertical="center"/>
    </xf>
    <xf numFmtId="0" fontId="7" fillId="0" borderId="1" xfId="1" applyFont="1" applyBorder="1" applyAlignment="1">
      <alignment horizontal="center" vertical="center"/>
    </xf>
    <xf numFmtId="167" fontId="7" fillId="0" borderId="1" xfId="1" applyNumberFormat="1" applyFont="1" applyBorder="1" applyAlignment="1">
      <alignment horizontal="center" vertical="center"/>
    </xf>
    <xf numFmtId="167" fontId="7" fillId="0" borderId="1" xfId="1" applyNumberFormat="1" applyFont="1" applyBorder="1" applyAlignment="1">
      <alignment horizontal="right" vertical="center" wrapText="1"/>
    </xf>
    <xf numFmtId="167" fontId="8" fillId="0" borderId="1" xfId="1" applyNumberFormat="1" applyFont="1" applyBorder="1" applyAlignment="1">
      <alignment horizontal="center" vertical="center"/>
    </xf>
    <xf numFmtId="167" fontId="8" fillId="0" borderId="1" xfId="2" applyNumberFormat="1" applyFont="1" applyBorder="1" applyAlignment="1">
      <alignment horizontal="right" vertical="center"/>
    </xf>
    <xf numFmtId="166" fontId="8" fillId="0" borderId="1" xfId="1" applyNumberFormat="1" applyFont="1" applyBorder="1" applyAlignment="1">
      <alignment horizontal="center" vertical="center"/>
    </xf>
    <xf numFmtId="0" fontId="8" fillId="0" borderId="1" xfId="1" applyFont="1" applyBorder="1" applyAlignment="1">
      <alignment horizontal="center"/>
    </xf>
    <xf numFmtId="167" fontId="8" fillId="0" borderId="1" xfId="1" applyNumberFormat="1" applyFont="1" applyBorder="1" applyAlignment="1">
      <alignment horizontal="center"/>
    </xf>
    <xf numFmtId="167" fontId="8" fillId="0" borderId="1" xfId="2" applyNumberFormat="1" applyFont="1" applyBorder="1" applyAlignment="1">
      <alignment horizontal="right"/>
    </xf>
    <xf numFmtId="2" fontId="8" fillId="0" borderId="1" xfId="1" applyNumberFormat="1" applyFont="1" applyBorder="1" applyAlignment="1">
      <alignment horizontal="center" vertical="center"/>
    </xf>
    <xf numFmtId="2" fontId="5" fillId="0" borderId="1" xfId="1" applyNumberFormat="1" applyFont="1" applyBorder="1" applyAlignment="1">
      <alignment horizontal="center" vertical="center"/>
    </xf>
    <xf numFmtId="167" fontId="7" fillId="0" borderId="1" xfId="2" applyNumberFormat="1" applyFont="1" applyBorder="1" applyAlignment="1">
      <alignment horizontal="right" vertical="center"/>
    </xf>
    <xf numFmtId="0" fontId="8" fillId="0" borderId="1" xfId="1" applyFont="1" applyBorder="1" applyAlignment="1">
      <alignment horizontal="center" vertical="center" shrinkToFit="1"/>
    </xf>
    <xf numFmtId="0" fontId="8" fillId="0" borderId="1" xfId="1" applyFont="1" applyBorder="1" applyAlignment="1">
      <alignment horizontal="center" vertical="center" wrapText="1" shrinkToFit="1"/>
    </xf>
    <xf numFmtId="2" fontId="8" fillId="0" borderId="1" xfId="1" applyNumberFormat="1" applyFont="1" applyBorder="1" applyAlignment="1">
      <alignment horizontal="center" vertical="center" wrapText="1" shrinkToFit="1"/>
    </xf>
    <xf numFmtId="167" fontId="8" fillId="0" borderId="1" xfId="1" applyNumberFormat="1" applyFont="1" applyBorder="1" applyAlignment="1">
      <alignment horizontal="center" vertical="center" wrapText="1" shrinkToFit="1"/>
    </xf>
    <xf numFmtId="167" fontId="8" fillId="0" borderId="1" xfId="2" applyNumberFormat="1" applyFont="1" applyBorder="1" applyAlignment="1">
      <alignment horizontal="right" vertical="center" shrinkToFit="1"/>
    </xf>
    <xf numFmtId="0" fontId="8" fillId="0" borderId="1" xfId="1" applyFont="1" applyBorder="1" applyAlignment="1">
      <alignment horizontal="center" vertical="center" wrapText="1"/>
    </xf>
    <xf numFmtId="2" fontId="8" fillId="0" borderId="1" xfId="1" applyNumberFormat="1" applyFont="1" applyBorder="1" applyAlignment="1">
      <alignment horizontal="center" vertical="center" wrapText="1"/>
    </xf>
    <xf numFmtId="2" fontId="60" fillId="0" borderId="1" xfId="1" applyNumberFormat="1" applyFont="1" applyBorder="1" applyAlignment="1">
      <alignment horizontal="center" vertical="center"/>
    </xf>
    <xf numFmtId="2" fontId="8" fillId="0" borderId="18" xfId="1" applyNumberFormat="1" applyFont="1" applyBorder="1" applyAlignment="1">
      <alignment horizontal="center" vertical="center" wrapText="1"/>
    </xf>
    <xf numFmtId="167" fontId="8" fillId="0" borderId="18" xfId="1" applyNumberFormat="1" applyFont="1" applyBorder="1" applyAlignment="1">
      <alignment horizontal="center" vertical="center"/>
    </xf>
    <xf numFmtId="167" fontId="8" fillId="0" borderId="18" xfId="2" applyNumberFormat="1" applyFont="1" applyBorder="1" applyAlignment="1">
      <alignment horizontal="right" vertical="center"/>
    </xf>
    <xf numFmtId="0" fontId="7" fillId="0" borderId="1" xfId="1" applyFont="1" applyBorder="1" applyAlignment="1">
      <alignment horizontal="left"/>
    </xf>
    <xf numFmtId="0" fontId="8" fillId="0" borderId="1" xfId="1" applyFont="1" applyBorder="1"/>
    <xf numFmtId="167" fontId="8" fillId="0" borderId="1" xfId="1" applyNumberFormat="1" applyFont="1" applyBorder="1" applyAlignment="1">
      <alignment horizontal="right" vertical="center"/>
    </xf>
    <xf numFmtId="0" fontId="61" fillId="0" borderId="0" xfId="38" applyFont="1" applyAlignment="1">
      <alignment wrapText="1"/>
    </xf>
    <xf numFmtId="0" fontId="7" fillId="0" borderId="0" xfId="38" applyFont="1" applyAlignment="1">
      <alignment horizontal="center"/>
    </xf>
    <xf numFmtId="0" fontId="7" fillId="0" borderId="0" xfId="38" applyFont="1"/>
    <xf numFmtId="2" fontId="8" fillId="0" borderId="0" xfId="38" applyNumberFormat="1" applyFont="1" applyAlignment="1">
      <alignment wrapText="1"/>
    </xf>
    <xf numFmtId="0" fontId="8" fillId="0" borderId="0" xfId="38" applyFont="1" applyAlignment="1">
      <alignment wrapText="1"/>
    </xf>
    <xf numFmtId="0" fontId="8" fillId="0" borderId="0" xfId="38" applyFont="1" applyAlignment="1">
      <alignment horizontal="center"/>
    </xf>
    <xf numFmtId="0" fontId="8" fillId="0" borderId="0" xfId="38" applyFont="1"/>
    <xf numFmtId="0" fontId="7" fillId="0" borderId="1" xfId="38" applyFont="1" applyBorder="1" applyAlignment="1">
      <alignment horizontal="center" vertical="center" wrapText="1"/>
    </xf>
    <xf numFmtId="2" fontId="7" fillId="0" borderId="1" xfId="38" applyNumberFormat="1" applyFont="1" applyBorder="1" applyAlignment="1">
      <alignment horizontal="center" vertical="center" wrapText="1"/>
    </xf>
    <xf numFmtId="0" fontId="8" fillId="0" borderId="0" xfId="1" applyFont="1" applyAlignment="1">
      <alignment horizontal="center" vertical="center" wrapText="1"/>
    </xf>
    <xf numFmtId="0" fontId="8" fillId="0" borderId="1" xfId="38" applyFont="1" applyBorder="1" applyAlignment="1">
      <alignment horizontal="center" vertical="center" wrapText="1"/>
    </xf>
    <xf numFmtId="0" fontId="6" fillId="0" borderId="1" xfId="1" applyFont="1" applyBorder="1" applyAlignment="1">
      <alignment horizontal="center" vertical="center" wrapText="1"/>
    </xf>
    <xf numFmtId="0" fontId="6" fillId="0" borderId="1" xfId="5" applyFont="1" applyBorder="1" applyAlignment="1">
      <alignment horizontal="center" vertical="center" wrapText="1"/>
    </xf>
    <xf numFmtId="2" fontId="7" fillId="0" borderId="1" xfId="5" applyNumberFormat="1" applyFont="1" applyBorder="1" applyAlignment="1">
      <alignment horizontal="center" vertical="center" wrapText="1"/>
    </xf>
    <xf numFmtId="0" fontId="8" fillId="0" borderId="0" xfId="38" applyFont="1" applyAlignment="1">
      <alignment horizontal="center" vertical="center" wrapText="1"/>
    </xf>
    <xf numFmtId="0" fontId="8" fillId="0" borderId="0" xfId="38" applyFont="1" applyAlignment="1">
      <alignment horizontal="center" wrapText="1"/>
    </xf>
    <xf numFmtId="0" fontId="8" fillId="0" borderId="0" xfId="38" applyFont="1" applyAlignment="1">
      <alignment horizontal="right" wrapText="1"/>
    </xf>
    <xf numFmtId="2" fontId="7" fillId="0" borderId="0" xfId="38" applyNumberFormat="1" applyFont="1" applyAlignment="1">
      <alignment horizontal="center" wrapText="1"/>
    </xf>
    <xf numFmtId="0" fontId="8" fillId="0" borderId="0" xfId="38" applyFont="1" applyAlignment="1">
      <alignment horizontal="left" wrapText="1"/>
    </xf>
    <xf numFmtId="2" fontId="8" fillId="0" borderId="0" xfId="38" applyNumberFormat="1" applyFont="1" applyAlignment="1">
      <alignment horizontal="center"/>
    </xf>
    <xf numFmtId="2" fontId="8" fillId="0" borderId="0" xfId="38" applyNumberFormat="1" applyFont="1"/>
    <xf numFmtId="0" fontId="7" fillId="0" borderId="16" xfId="38" applyFont="1" applyBorder="1" applyAlignment="1">
      <alignment horizontal="center" vertical="center" wrapText="1"/>
    </xf>
    <xf numFmtId="168" fontId="8" fillId="0" borderId="1" xfId="1" applyNumberFormat="1" applyFont="1" applyBorder="1" applyAlignment="1">
      <alignment horizontal="center" vertical="center" wrapText="1"/>
    </xf>
    <xf numFmtId="0" fontId="7" fillId="0" borderId="0" xfId="38" applyFont="1" applyAlignment="1">
      <alignment horizontal="left" wrapText="1"/>
    </xf>
    <xf numFmtId="0" fontId="7" fillId="0" borderId="0" xfId="38" applyFont="1" applyAlignment="1">
      <alignment wrapText="1"/>
    </xf>
    <xf numFmtId="0" fontId="8" fillId="0" borderId="0" xfId="38" applyFont="1" applyAlignment="1">
      <alignment horizontal="center" vertical="center"/>
    </xf>
    <xf numFmtId="2" fontId="8" fillId="0" borderId="1" xfId="38" applyNumberFormat="1" applyFont="1" applyBorder="1" applyAlignment="1">
      <alignment horizontal="center" vertical="center" wrapText="1"/>
    </xf>
    <xf numFmtId="0" fontId="8" fillId="0" borderId="1" xfId="38" applyFont="1" applyBorder="1" applyAlignment="1">
      <alignment horizontal="center" wrapText="1"/>
    </xf>
    <xf numFmtId="2" fontId="7" fillId="0" borderId="1" xfId="38" applyNumberFormat="1" applyFont="1" applyBorder="1" applyAlignment="1">
      <alignment horizontal="center" wrapText="1"/>
    </xf>
    <xf numFmtId="0" fontId="7" fillId="0" borderId="1" xfId="38" applyFont="1" applyBorder="1" applyAlignment="1">
      <alignment wrapText="1"/>
    </xf>
    <xf numFmtId="0" fontId="7" fillId="0" borderId="1" xfId="38" applyFont="1" applyBorder="1" applyAlignment="1">
      <alignment horizontal="center" wrapText="1"/>
    </xf>
    <xf numFmtId="0" fontId="7" fillId="0" borderId="1" xfId="38" applyFont="1" applyBorder="1" applyAlignment="1">
      <alignment horizontal="left" wrapText="1"/>
    </xf>
    <xf numFmtId="2" fontId="7" fillId="0" borderId="0" xfId="38" applyNumberFormat="1" applyFont="1" applyAlignment="1">
      <alignment wrapText="1"/>
    </xf>
    <xf numFmtId="168" fontId="8" fillId="0" borderId="1" xfId="38" applyNumberFormat="1" applyFont="1" applyBorder="1" applyAlignment="1">
      <alignment horizontal="center" wrapText="1"/>
    </xf>
    <xf numFmtId="0" fontId="6" fillId="0" borderId="0" xfId="5" applyFont="1" applyAlignment="1">
      <alignment horizontal="center" vertical="center" wrapText="1"/>
    </xf>
    <xf numFmtId="0" fontId="7" fillId="0" borderId="3" xfId="38" applyFont="1" applyBorder="1" applyAlignment="1">
      <alignment horizontal="center" vertical="center" wrapText="1"/>
    </xf>
    <xf numFmtId="0" fontId="7" fillId="0" borderId="4" xfId="38" applyFont="1" applyBorder="1" applyAlignment="1">
      <alignment horizontal="center" vertical="center" wrapText="1"/>
    </xf>
    <xf numFmtId="0" fontId="62" fillId="0" borderId="0" xfId="38" applyFont="1" applyAlignment="1">
      <alignment horizontal="center" wrapText="1"/>
    </xf>
    <xf numFmtId="0" fontId="8" fillId="0" borderId="4" xfId="38" applyFont="1" applyBorder="1" applyAlignment="1">
      <alignment horizontal="center" vertical="center" wrapText="1"/>
    </xf>
    <xf numFmtId="0" fontId="16" fillId="0" borderId="1" xfId="1" applyFont="1" applyBorder="1" applyAlignment="1">
      <alignment horizontal="center" vertical="center" wrapText="1"/>
    </xf>
    <xf numFmtId="2" fontId="7" fillId="0" borderId="0" xfId="38" applyNumberFormat="1" applyFont="1" applyAlignment="1">
      <alignment horizontal="center" vertical="center" wrapText="1"/>
    </xf>
    <xf numFmtId="0" fontId="8" fillId="0" borderId="18" xfId="38" applyFont="1" applyBorder="1" applyAlignment="1">
      <alignment horizontal="center" wrapText="1"/>
    </xf>
    <xf numFmtId="1" fontId="8" fillId="0" borderId="18" xfId="38" applyNumberFormat="1" applyFont="1" applyBorder="1" applyAlignment="1">
      <alignment horizontal="center" wrapText="1"/>
    </xf>
    <xf numFmtId="2" fontId="7" fillId="0" borderId="18" xfId="38" applyNumberFormat="1" applyFont="1" applyBorder="1" applyAlignment="1">
      <alignment horizontal="center" wrapText="1"/>
    </xf>
    <xf numFmtId="2" fontId="8" fillId="0" borderId="1" xfId="38" applyNumberFormat="1" applyFont="1" applyBorder="1" applyAlignment="1">
      <alignment horizontal="center" wrapText="1"/>
    </xf>
    <xf numFmtId="0" fontId="9" fillId="0" borderId="18" xfId="38" applyFont="1" applyBorder="1" applyAlignment="1">
      <alignment horizontal="center" vertical="center" wrapText="1"/>
    </xf>
    <xf numFmtId="0" fontId="9" fillId="0" borderId="1" xfId="38" applyFont="1" applyBorder="1" applyAlignment="1">
      <alignment horizontal="center" vertical="center" wrapText="1"/>
    </xf>
    <xf numFmtId="0" fontId="8" fillId="0" borderId="1" xfId="38" applyFont="1" applyBorder="1" applyAlignment="1">
      <alignment wrapText="1"/>
    </xf>
    <xf numFmtId="0" fontId="7" fillId="0" borderId="20" xfId="38" applyFont="1" applyBorder="1" applyAlignment="1">
      <alignment horizontal="center" vertical="center" wrapText="1"/>
    </xf>
    <xf numFmtId="0" fontId="7" fillId="0" borderId="1" xfId="38" applyFont="1" applyBorder="1" applyAlignment="1">
      <alignment horizontal="left" vertical="center" wrapText="1"/>
    </xf>
    <xf numFmtId="0" fontId="22" fillId="0" borderId="0" xfId="0" applyFont="1"/>
    <xf numFmtId="0" fontId="22" fillId="0" borderId="1" xfId="0" applyFont="1" applyBorder="1"/>
    <xf numFmtId="2" fontId="20" fillId="0" borderId="0" xfId="0" applyNumberFormat="1" applyFont="1" applyAlignment="1">
      <alignment horizontal="center"/>
    </xf>
    <xf numFmtId="2" fontId="22" fillId="0" borderId="0" xfId="0" applyNumberFormat="1" applyFont="1"/>
    <xf numFmtId="0" fontId="20" fillId="0" borderId="0" xfId="0" quotePrefix="1" applyFont="1"/>
    <xf numFmtId="2" fontId="20" fillId="0" borderId="0" xfId="0" applyNumberFormat="1" applyFont="1" applyAlignment="1">
      <alignment horizontal="right"/>
    </xf>
    <xf numFmtId="2" fontId="22" fillId="0" borderId="0" xfId="0" applyNumberFormat="1" applyFont="1" applyAlignment="1">
      <alignment horizontal="right" wrapText="1"/>
    </xf>
    <xf numFmtId="2" fontId="22" fillId="0" borderId="0" xfId="0" applyNumberFormat="1" applyFont="1" applyAlignment="1">
      <alignment vertical="top"/>
    </xf>
    <xf numFmtId="0" fontId="22" fillId="0" borderId="0" xfId="0" applyFont="1" applyAlignment="1">
      <alignment vertical="top"/>
    </xf>
    <xf numFmtId="0" fontId="22" fillId="0" borderId="0" xfId="0" applyFont="1" applyAlignment="1">
      <alignment horizontal="center" vertical="top"/>
    </xf>
    <xf numFmtId="0" fontId="22" fillId="0" borderId="0" xfId="0" applyFont="1" applyAlignment="1">
      <alignment horizontal="center"/>
    </xf>
    <xf numFmtId="0" fontId="33" fillId="0" borderId="0" xfId="0" quotePrefix="1" applyFont="1" applyAlignment="1">
      <alignment horizontal="center" vertical="top" wrapText="1"/>
    </xf>
    <xf numFmtId="0" fontId="22" fillId="0" borderId="0" xfId="0" applyFont="1" applyAlignment="1">
      <alignment horizontal="left" vertical="top" wrapText="1"/>
    </xf>
    <xf numFmtId="2" fontId="22" fillId="0" borderId="0" xfId="0" applyNumberFormat="1" applyFont="1" applyAlignment="1">
      <alignment horizontal="center"/>
    </xf>
    <xf numFmtId="0" fontId="22" fillId="0" borderId="0" xfId="0" applyFont="1" applyAlignment="1">
      <alignment horizontal="left" vertical="center"/>
    </xf>
    <xf numFmtId="0" fontId="22" fillId="0" borderId="0" xfId="0" applyFont="1" applyAlignment="1">
      <alignment horizontal="left" vertical="top" indent="2"/>
    </xf>
    <xf numFmtId="0" fontId="22" fillId="0" borderId="0" xfId="0" applyFont="1" applyAlignment="1">
      <alignment horizontal="left" vertical="top" wrapText="1" indent="2"/>
    </xf>
    <xf numFmtId="0" fontId="22" fillId="0" borderId="0" xfId="0" quotePrefix="1" applyFont="1" applyAlignment="1">
      <alignment horizontal="left" vertical="top" indent="5"/>
    </xf>
    <xf numFmtId="0" fontId="20" fillId="0" borderId="0" xfId="0" applyFont="1" applyAlignment="1">
      <alignment horizontal="center" vertical="top" wrapText="1"/>
    </xf>
    <xf numFmtId="0" fontId="20" fillId="0" borderId="0" xfId="0" applyFont="1" applyAlignment="1">
      <alignment horizontal="left" vertical="top" wrapText="1" shrinkToFit="1"/>
    </xf>
    <xf numFmtId="0" fontId="3" fillId="0" borderId="0" xfId="0" applyFont="1" applyAlignment="1">
      <alignment horizontal="center" wrapText="1"/>
    </xf>
    <xf numFmtId="165" fontId="17" fillId="0" borderId="1" xfId="0" applyNumberFormat="1" applyFont="1" applyBorder="1" applyAlignment="1">
      <alignment horizontal="right" vertical="center" wrapText="1"/>
    </xf>
    <xf numFmtId="0" fontId="9" fillId="4" borderId="15" xfId="0" applyFont="1" applyFill="1" applyBorder="1" applyAlignment="1" applyProtection="1">
      <alignment horizontal="right"/>
      <protection hidden="1"/>
    </xf>
    <xf numFmtId="169" fontId="22" fillId="0" borderId="0" xfId="0" applyNumberFormat="1" applyFont="1"/>
    <xf numFmtId="0" fontId="7" fillId="0" borderId="26" xfId="1" applyFont="1" applyBorder="1" applyAlignment="1">
      <alignment horizontal="center" vertical="center" wrapText="1"/>
    </xf>
    <xf numFmtId="0" fontId="12" fillId="0" borderId="1" xfId="0" applyFont="1" applyBorder="1" applyAlignment="1">
      <alignment horizontal="center" vertical="top"/>
    </xf>
    <xf numFmtId="0" fontId="8" fillId="0" borderId="1" xfId="1" applyFont="1" applyBorder="1" applyAlignment="1">
      <alignment horizontal="center" vertical="top"/>
    </xf>
    <xf numFmtId="167" fontId="8" fillId="0" borderId="1" xfId="1" applyNumberFormat="1" applyFont="1" applyBorder="1" applyAlignment="1">
      <alignment horizontal="right"/>
    </xf>
    <xf numFmtId="0" fontId="8" fillId="0" borderId="1" xfId="1" applyFont="1" applyBorder="1" applyAlignment="1">
      <alignment horizontal="center" vertical="distributed"/>
    </xf>
    <xf numFmtId="2" fontId="5" fillId="0" borderId="1" xfId="1" applyNumberFormat="1" applyFont="1" applyBorder="1" applyAlignment="1">
      <alignment horizontal="center" vertical="distributed"/>
    </xf>
    <xf numFmtId="167" fontId="8" fillId="0" borderId="1" xfId="1" applyNumberFormat="1" applyFont="1" applyBorder="1" applyAlignment="1">
      <alignment horizontal="center" vertical="distributed"/>
    </xf>
    <xf numFmtId="167" fontId="8" fillId="0" borderId="1" xfId="2" applyNumberFormat="1" applyFont="1" applyBorder="1" applyAlignment="1">
      <alignment horizontal="right" vertical="distributed"/>
    </xf>
    <xf numFmtId="0" fontId="6" fillId="0" borderId="1" xfId="0" applyFont="1" applyBorder="1" applyAlignment="1">
      <alignment vertical="center" wrapText="1"/>
    </xf>
    <xf numFmtId="2" fontId="6" fillId="0" borderId="1" xfId="5" applyNumberFormat="1" applyFont="1" applyBorder="1" applyAlignment="1">
      <alignment vertical="center"/>
    </xf>
    <xf numFmtId="0" fontId="6" fillId="0" borderId="1" xfId="5" applyFont="1" applyBorder="1" applyAlignment="1">
      <alignment vertical="center"/>
    </xf>
    <xf numFmtId="0" fontId="15" fillId="0" borderId="0" xfId="0" applyFont="1"/>
    <xf numFmtId="0" fontId="22" fillId="0" borderId="1" xfId="0" applyFont="1" applyBorder="1" applyAlignment="1">
      <alignment horizontal="center" vertical="center"/>
    </xf>
    <xf numFmtId="0" fontId="11"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59" fillId="0" borderId="0" xfId="0" applyFont="1" applyAlignment="1">
      <alignment wrapText="1"/>
    </xf>
    <xf numFmtId="2" fontId="59" fillId="0" borderId="0" xfId="0" applyNumberFormat="1" applyFont="1"/>
    <xf numFmtId="0" fontId="59" fillId="0" borderId="0" xfId="0" applyFont="1" applyAlignment="1">
      <alignment horizontal="center"/>
    </xf>
    <xf numFmtId="165" fontId="8" fillId="0" borderId="1" xfId="0" applyNumberFormat="1" applyFont="1" applyBorder="1" applyAlignment="1">
      <alignment horizontal="right"/>
    </xf>
    <xf numFmtId="169" fontId="65" fillId="0" borderId="1" xfId="0" applyNumberFormat="1" applyFont="1" applyBorder="1" applyAlignment="1">
      <alignment vertical="center" wrapText="1"/>
    </xf>
    <xf numFmtId="0" fontId="8" fillId="0" borderId="0" xfId="0" applyFont="1"/>
    <xf numFmtId="0" fontId="8" fillId="0" borderId="0" xfId="0" applyFont="1" applyAlignment="1">
      <alignment vertical="center"/>
    </xf>
    <xf numFmtId="168" fontId="8" fillId="0" borderId="0" xfId="0" applyNumberFormat="1" applyFont="1" applyAlignment="1">
      <alignment vertical="center"/>
    </xf>
    <xf numFmtId="168" fontId="8" fillId="0" borderId="0" xfId="0" applyNumberFormat="1" applyFont="1"/>
    <xf numFmtId="164" fontId="8" fillId="0" borderId="16" xfId="0" applyNumberFormat="1" applyFont="1" applyBorder="1" applyAlignment="1">
      <alignment horizontal="center" vertical="center"/>
    </xf>
    <xf numFmtId="2" fontId="8" fillId="0" borderId="1" xfId="0" applyNumberFormat="1" applyFont="1" applyBorder="1" applyAlignment="1">
      <alignment horizontal="center"/>
    </xf>
    <xf numFmtId="0" fontId="8" fillId="0" borderId="1" xfId="0" applyFont="1" applyBorder="1" applyAlignment="1">
      <alignment horizontal="center"/>
    </xf>
    <xf numFmtId="164" fontId="8" fillId="0" borderId="16" xfId="0" applyNumberFormat="1" applyFont="1" applyBorder="1" applyAlignment="1">
      <alignment horizontal="right"/>
    </xf>
    <xf numFmtId="0" fontId="59" fillId="0" borderId="0" xfId="0" applyFont="1" applyAlignment="1">
      <alignment horizontal="right"/>
    </xf>
    <xf numFmtId="0" fontId="43" fillId="0" borderId="1" xfId="0" applyFont="1" applyBorder="1" applyAlignment="1">
      <alignment horizontal="center" wrapText="1"/>
    </xf>
    <xf numFmtId="0" fontId="11" fillId="0" borderId="1" xfId="0" applyFont="1" applyBorder="1" applyAlignment="1">
      <alignment horizontal="center" wrapText="1"/>
    </xf>
    <xf numFmtId="0" fontId="11" fillId="0" borderId="1" xfId="0" applyFont="1" applyBorder="1" applyAlignment="1">
      <alignment horizontal="right" wrapText="1"/>
    </xf>
    <xf numFmtId="0" fontId="9" fillId="0" borderId="1" xfId="0" applyFont="1" applyBorder="1" applyAlignment="1">
      <alignment horizontal="center" vertical="top"/>
    </xf>
    <xf numFmtId="2" fontId="9" fillId="0" borderId="1" xfId="0" applyNumberFormat="1" applyFont="1" applyBorder="1" applyAlignment="1">
      <alignment horizontal="right"/>
    </xf>
    <xf numFmtId="2" fontId="9" fillId="0" borderId="1" xfId="0" applyNumberFormat="1" applyFont="1" applyBorder="1" applyAlignment="1">
      <alignment horizontal="center" vertical="top"/>
    </xf>
    <xf numFmtId="2" fontId="9" fillId="0" borderId="1" xfId="0" applyNumberFormat="1" applyFont="1" applyBorder="1" applyAlignment="1">
      <alignment horizontal="right" wrapText="1"/>
    </xf>
    <xf numFmtId="2" fontId="9" fillId="0" borderId="1" xfId="0" applyNumberFormat="1" applyFont="1" applyBorder="1"/>
    <xf numFmtId="0" fontId="67" fillId="0" borderId="1" xfId="0" applyFont="1" applyBorder="1" applyAlignment="1">
      <alignment horizontal="center" vertical="center" wrapText="1"/>
    </xf>
    <xf numFmtId="0" fontId="67" fillId="0" borderId="1" xfId="0" applyFont="1" applyBorder="1" applyAlignment="1">
      <alignment horizontal="center" vertical="center"/>
    </xf>
    <xf numFmtId="0" fontId="23" fillId="0" borderId="1" xfId="0" applyFont="1" applyBorder="1"/>
    <xf numFmtId="0" fontId="69" fillId="0" borderId="1" xfId="0" applyFont="1" applyBorder="1" applyAlignment="1">
      <alignment horizontal="center" vertical="center" wrapText="1"/>
    </xf>
    <xf numFmtId="0" fontId="70" fillId="0" borderId="1" xfId="0" applyFont="1" applyBorder="1" applyAlignment="1">
      <alignment horizontal="center" vertical="center" wrapText="1"/>
    </xf>
    <xf numFmtId="0" fontId="69" fillId="0" borderId="1" xfId="0" applyFont="1" applyBorder="1" applyAlignment="1">
      <alignment vertical="center" wrapText="1"/>
    </xf>
    <xf numFmtId="0" fontId="23" fillId="0" borderId="1" xfId="0" applyFont="1" applyBorder="1" applyAlignment="1">
      <alignment horizontal="center" vertical="center"/>
    </xf>
    <xf numFmtId="0" fontId="23" fillId="0" borderId="1" xfId="0" applyFont="1" applyBorder="1" applyAlignment="1">
      <alignment horizontal="center"/>
    </xf>
    <xf numFmtId="169" fontId="33" fillId="0" borderId="1" xfId="0" applyNumberFormat="1" applyFont="1" applyBorder="1" applyAlignment="1">
      <alignment horizontal="center" vertical="center"/>
    </xf>
    <xf numFmtId="0" fontId="33" fillId="0" borderId="1" xfId="0" applyFont="1" applyBorder="1" applyAlignment="1">
      <alignment horizontal="center"/>
    </xf>
    <xf numFmtId="169" fontId="22" fillId="0" borderId="1" xfId="0" applyNumberFormat="1" applyFont="1" applyBorder="1" applyAlignment="1">
      <alignment horizontal="center" vertical="center"/>
    </xf>
    <xf numFmtId="0" fontId="27" fillId="0" borderId="0" xfId="0" applyFont="1" applyAlignment="1">
      <alignment horizontal="left" vertical="center"/>
    </xf>
    <xf numFmtId="0" fontId="59" fillId="0" borderId="1" xfId="0" applyFont="1" applyBorder="1" applyAlignment="1">
      <alignment horizontal="center" vertical="top" wrapText="1"/>
    </xf>
    <xf numFmtId="2" fontId="59" fillId="0" borderId="1" xfId="0" applyNumberFormat="1" applyFont="1" applyBorder="1" applyAlignment="1">
      <alignment horizontal="right"/>
    </xf>
    <xf numFmtId="0" fontId="9" fillId="0" borderId="1" xfId="0" applyFont="1" applyBorder="1" applyAlignment="1">
      <alignment wrapText="1"/>
    </xf>
    <xf numFmtId="2" fontId="20" fillId="0" borderId="1" xfId="0" applyNumberFormat="1" applyFont="1" applyBorder="1" applyAlignment="1">
      <alignment horizontal="right"/>
    </xf>
    <xf numFmtId="0" fontId="8" fillId="0" borderId="1" xfId="0" applyFont="1" applyBorder="1" applyAlignment="1">
      <alignment horizontal="center" vertical="center"/>
    </xf>
    <xf numFmtId="2" fontId="8" fillId="0" borderId="1" xfId="0" applyNumberFormat="1" applyFont="1" applyBorder="1"/>
    <xf numFmtId="164" fontId="71" fillId="0" borderId="1" xfId="0" applyNumberFormat="1" applyFont="1" applyBorder="1" applyAlignment="1">
      <alignment horizontal="right"/>
    </xf>
    <xf numFmtId="0" fontId="8" fillId="0" borderId="1" xfId="0" applyFont="1" applyBorder="1"/>
    <xf numFmtId="0" fontId="72" fillId="0" borderId="1" xfId="0" applyFont="1" applyBorder="1" applyAlignment="1">
      <alignment wrapText="1"/>
    </xf>
    <xf numFmtId="0" fontId="8" fillId="0" borderId="1" xfId="0" applyFont="1" applyBorder="1" applyAlignment="1">
      <alignment vertical="top" wrapText="1"/>
    </xf>
    <xf numFmtId="169" fontId="8" fillId="0" borderId="1" xfId="0" applyNumberFormat="1" applyFont="1" applyBorder="1" applyAlignment="1">
      <alignment vertical="top" wrapText="1"/>
    </xf>
    <xf numFmtId="164" fontId="8" fillId="0" borderId="1" xfId="0" applyNumberFormat="1" applyFont="1" applyBorder="1" applyAlignment="1">
      <alignment horizontal="center" vertical="center"/>
    </xf>
    <xf numFmtId="164" fontId="8" fillId="0" borderId="18" xfId="0" applyNumberFormat="1" applyFont="1" applyBorder="1" applyAlignment="1">
      <alignment horizontal="right" vertical="center"/>
    </xf>
    <xf numFmtId="168" fontId="8" fillId="0" borderId="1" xfId="0" applyNumberFormat="1" applyFont="1" applyBorder="1"/>
    <xf numFmtId="164" fontId="8" fillId="0" borderId="18" xfId="0" applyNumberFormat="1" applyFont="1" applyBorder="1" applyAlignment="1">
      <alignment horizontal="center" vertical="center"/>
    </xf>
    <xf numFmtId="0" fontId="59" fillId="0" borderId="1" xfId="0" applyFont="1" applyBorder="1"/>
    <xf numFmtId="164" fontId="8" fillId="0" borderId="1" xfId="0" applyNumberFormat="1" applyFont="1" applyBorder="1" applyAlignment="1">
      <alignment horizontal="right" vertical="center"/>
    </xf>
    <xf numFmtId="2" fontId="8" fillId="0" borderId="1" xfId="0" applyNumberFormat="1" applyFont="1" applyBorder="1" applyAlignment="1">
      <alignment horizontal="center" vertical="center"/>
    </xf>
    <xf numFmtId="0" fontId="9" fillId="0" borderId="1" xfId="0" applyFont="1" applyBorder="1" applyAlignment="1">
      <alignment horizontal="justify" vertical="center" wrapText="1"/>
    </xf>
    <xf numFmtId="0" fontId="12" fillId="0" borderId="1" xfId="0" applyFont="1" applyBorder="1" applyAlignment="1">
      <alignment horizontal="justify" vertical="top"/>
    </xf>
    <xf numFmtId="2" fontId="12" fillId="0" borderId="1" xfId="0" applyNumberFormat="1" applyFont="1" applyBorder="1" applyAlignment="1">
      <alignment horizontal="center" vertical="center"/>
    </xf>
    <xf numFmtId="2" fontId="11" fillId="0" borderId="1" xfId="0" applyNumberFormat="1" applyFont="1" applyBorder="1" applyAlignment="1">
      <alignment horizontal="right" wrapText="1"/>
    </xf>
    <xf numFmtId="2" fontId="8" fillId="0" borderId="1" xfId="0" applyNumberFormat="1" applyFont="1" applyBorder="1" applyAlignment="1">
      <alignment horizontal="right" wrapText="1"/>
    </xf>
    <xf numFmtId="0" fontId="44" fillId="0" borderId="0" xfId="0" applyFont="1" applyAlignment="1">
      <alignment horizontal="right" vertical="center"/>
    </xf>
    <xf numFmtId="2" fontId="59" fillId="0" borderId="0" xfId="0" applyNumberFormat="1" applyFont="1" applyAlignment="1">
      <alignment horizontal="right"/>
    </xf>
    <xf numFmtId="0" fontId="59" fillId="0" borderId="1" xfId="0" applyFont="1" applyBorder="1" applyAlignment="1">
      <alignment horizontal="justify" vertical="top" wrapText="1"/>
    </xf>
    <xf numFmtId="0" fontId="17" fillId="0" borderId="3" xfId="0" applyFont="1" applyBorder="1" applyAlignment="1">
      <alignment horizontal="center" vertical="center" wrapText="1"/>
    </xf>
    <xf numFmtId="0" fontId="17" fillId="0" borderId="5" xfId="0" applyFont="1" applyBorder="1" applyAlignment="1">
      <alignment horizontal="center" vertical="center" wrapText="1"/>
    </xf>
    <xf numFmtId="0" fontId="74" fillId="0" borderId="0" xfId="65" applyFont="1"/>
    <xf numFmtId="0" fontId="43" fillId="0" borderId="0" xfId="5" applyFont="1" applyAlignment="1">
      <alignment wrapText="1"/>
    </xf>
    <xf numFmtId="0" fontId="43" fillId="0" borderId="0" xfId="5" applyFont="1" applyAlignment="1">
      <alignment horizontal="center" vertical="center" wrapText="1"/>
    </xf>
    <xf numFmtId="170" fontId="43" fillId="0" borderId="0" xfId="5" applyNumberFormat="1" applyFont="1" applyAlignment="1">
      <alignment horizontal="center" vertical="center" wrapText="1"/>
    </xf>
    <xf numFmtId="0" fontId="6" fillId="0" borderId="0" xfId="5" applyFont="1" applyAlignment="1">
      <alignment wrapText="1"/>
    </xf>
    <xf numFmtId="170" fontId="6" fillId="0" borderId="0" xfId="5" applyNumberFormat="1" applyFont="1" applyAlignment="1">
      <alignment horizontal="center" vertical="center" wrapText="1"/>
    </xf>
    <xf numFmtId="170" fontId="6" fillId="0" borderId="1" xfId="5" applyNumberFormat="1" applyFont="1" applyBorder="1" applyAlignment="1">
      <alignment horizontal="center" vertical="center" wrapText="1"/>
    </xf>
    <xf numFmtId="170" fontId="43" fillId="0" borderId="1" xfId="5" applyNumberFormat="1" applyFont="1" applyBorder="1" applyAlignment="1">
      <alignment horizontal="center" vertical="center" wrapText="1"/>
    </xf>
    <xf numFmtId="0" fontId="73" fillId="0" borderId="0" xfId="74" applyAlignment="1">
      <alignment horizontal="left" vertical="top"/>
    </xf>
    <xf numFmtId="0" fontId="17" fillId="0" borderId="1" xfId="69" applyFont="1" applyBorder="1" applyAlignment="1">
      <alignment horizontal="center" vertical="center" wrapText="1"/>
    </xf>
    <xf numFmtId="0" fontId="17" fillId="0" borderId="1" xfId="69" applyFont="1" applyBorder="1" applyAlignment="1">
      <alignment horizontal="center" vertical="center"/>
    </xf>
    <xf numFmtId="0" fontId="12" fillId="0" borderId="1" xfId="69" applyFont="1" applyBorder="1" applyAlignment="1">
      <alignment horizontal="center" vertical="center"/>
    </xf>
    <xf numFmtId="0" fontId="12" fillId="0" borderId="1" xfId="69" applyFont="1" applyBorder="1"/>
    <xf numFmtId="0" fontId="12" fillId="0" borderId="1" xfId="69" applyFont="1" applyBorder="1" applyAlignment="1">
      <alignment horizontal="justify"/>
    </xf>
    <xf numFmtId="0" fontId="3" fillId="0" borderId="1" xfId="0" applyFont="1" applyBorder="1" applyAlignment="1">
      <alignment horizontal="center" vertical="top"/>
    </xf>
    <xf numFmtId="164" fontId="42" fillId="0" borderId="18" xfId="0" applyNumberFormat="1" applyFont="1" applyBorder="1" applyAlignment="1">
      <alignment vertical="center"/>
    </xf>
    <xf numFmtId="0" fontId="43" fillId="0" borderId="0" xfId="5" applyFont="1" applyAlignment="1">
      <alignment horizontal="left" wrapText="1"/>
    </xf>
    <xf numFmtId="0" fontId="6" fillId="0" borderId="1" xfId="5" applyFont="1" applyBorder="1" applyAlignment="1">
      <alignment wrapText="1"/>
    </xf>
    <xf numFmtId="0" fontId="6" fillId="0" borderId="1" xfId="5" applyFont="1" applyBorder="1" applyAlignment="1">
      <alignment vertical="center" wrapText="1"/>
    </xf>
    <xf numFmtId="0" fontId="6" fillId="0" borderId="1" xfId="5" applyFont="1" applyBorder="1" applyAlignment="1">
      <alignment horizontal="left" vertical="center" wrapText="1"/>
    </xf>
    <xf numFmtId="0" fontId="43" fillId="0" borderId="1" xfId="5" applyFont="1" applyBorder="1" applyAlignment="1">
      <alignment wrapText="1"/>
    </xf>
    <xf numFmtId="0" fontId="6" fillId="0" borderId="1" xfId="5" applyFont="1" applyBorder="1" applyAlignment="1">
      <alignment horizontal="right" wrapText="1"/>
    </xf>
    <xf numFmtId="9" fontId="6" fillId="0" borderId="1" xfId="5" applyNumberFormat="1" applyFont="1" applyBorder="1" applyAlignment="1">
      <alignment horizontal="center" vertical="center" wrapText="1"/>
    </xf>
    <xf numFmtId="0" fontId="0" fillId="0" borderId="0" xfId="0" applyAlignment="1">
      <alignment horizontal="right" vertical="top"/>
    </xf>
    <xf numFmtId="170" fontId="43" fillId="0" borderId="0" xfId="5" applyNumberFormat="1" applyFont="1" applyAlignment="1">
      <alignment horizontal="right" vertical="center" wrapText="1"/>
    </xf>
    <xf numFmtId="170" fontId="6" fillId="0" borderId="0" xfId="5" applyNumberFormat="1" applyFont="1" applyAlignment="1">
      <alignment horizontal="right" vertical="center" wrapText="1"/>
    </xf>
    <xf numFmtId="170" fontId="6" fillId="0" borderId="1" xfId="5" applyNumberFormat="1" applyFont="1" applyBorder="1" applyAlignment="1">
      <alignment horizontal="right" vertical="center" wrapText="1"/>
    </xf>
    <xf numFmtId="170" fontId="43" fillId="0" borderId="1" xfId="5" applyNumberFormat="1" applyFont="1" applyBorder="1" applyAlignment="1">
      <alignment horizontal="right" vertical="center" wrapText="1"/>
    </xf>
    <xf numFmtId="0" fontId="0" fillId="0" borderId="1" xfId="0" applyBorder="1" applyAlignment="1">
      <alignment horizontal="left" vertical="top" wrapText="1"/>
    </xf>
    <xf numFmtId="0" fontId="12" fillId="0" borderId="1" xfId="69" applyFont="1" applyBorder="1" applyAlignment="1">
      <alignment horizontal="center"/>
    </xf>
    <xf numFmtId="0" fontId="3" fillId="0" borderId="1" xfId="0" applyFont="1" applyBorder="1" applyAlignment="1">
      <alignment horizontal="left" vertical="top" wrapText="1"/>
    </xf>
    <xf numFmtId="0" fontId="0" fillId="0" borderId="1" xfId="0" applyBorder="1" applyAlignment="1">
      <alignment horizontal="center"/>
    </xf>
    <xf numFmtId="2" fontId="45" fillId="0" borderId="4" xfId="0" applyNumberFormat="1" applyFont="1" applyBorder="1" applyAlignment="1">
      <alignment horizontal="center" vertical="center" wrapText="1"/>
    </xf>
    <xf numFmtId="2" fontId="9" fillId="0" borderId="1" xfId="0" applyNumberFormat="1" applyFont="1" applyBorder="1" applyAlignment="1">
      <alignment horizontal="center"/>
    </xf>
    <xf numFmtId="0" fontId="9" fillId="0" borderId="1" xfId="0" applyFont="1" applyBorder="1" applyAlignment="1">
      <alignment horizontal="center" wrapText="1"/>
    </xf>
    <xf numFmtId="0" fontId="9" fillId="0" borderId="1" xfId="0" applyFont="1" applyBorder="1" applyAlignment="1">
      <alignment horizontal="center"/>
    </xf>
    <xf numFmtId="2" fontId="8" fillId="0" borderId="1" xfId="0" applyNumberFormat="1" applyFont="1" applyBorder="1" applyAlignment="1">
      <alignment wrapText="1"/>
    </xf>
    <xf numFmtId="0" fontId="59" fillId="0" borderId="1" xfId="0" applyFont="1" applyBorder="1" applyAlignment="1">
      <alignment horizontal="center" wrapText="1"/>
    </xf>
    <xf numFmtId="2" fontId="59" fillId="0" borderId="1" xfId="0" applyNumberFormat="1" applyFont="1" applyBorder="1" applyAlignment="1">
      <alignment horizontal="center" wrapText="1"/>
    </xf>
    <xf numFmtId="168" fontId="9" fillId="0" borderId="1" xfId="0" applyNumberFormat="1" applyFont="1" applyBorder="1" applyAlignment="1">
      <alignment horizontal="center"/>
    </xf>
    <xf numFmtId="0" fontId="16" fillId="0" borderId="1" xfId="0" applyFont="1" applyBorder="1" applyAlignment="1">
      <alignment horizontal="center" wrapText="1"/>
    </xf>
    <xf numFmtId="49" fontId="66" fillId="0" borderId="1" xfId="0" applyNumberFormat="1" applyFont="1" applyBorder="1" applyAlignment="1">
      <alignment horizontal="center" wrapText="1"/>
    </xf>
    <xf numFmtId="0" fontId="65" fillId="0" borderId="1" xfId="0" applyFont="1" applyBorder="1" applyAlignment="1">
      <alignment wrapText="1"/>
    </xf>
    <xf numFmtId="0" fontId="44" fillId="0" borderId="0" xfId="0" applyFont="1" applyAlignment="1">
      <alignment horizontal="center"/>
    </xf>
    <xf numFmtId="49" fontId="47" fillId="0" borderId="0" xfId="0" applyNumberFormat="1" applyFont="1" applyAlignment="1">
      <alignment horizontal="center" wrapText="1"/>
    </xf>
    <xf numFmtId="165" fontId="45" fillId="0" borderId="1" xfId="0" applyNumberFormat="1" applyFont="1" applyBorder="1" applyAlignment="1">
      <alignment horizontal="right" vertical="top"/>
    </xf>
    <xf numFmtId="0" fontId="49" fillId="0" borderId="0" xfId="0" applyFont="1" applyAlignment="1">
      <alignment vertical="center"/>
    </xf>
    <xf numFmtId="0" fontId="65" fillId="0" borderId="1" xfId="5" applyFont="1" applyBorder="1" applyAlignment="1">
      <alignment horizontal="center" vertical="center" wrapText="1"/>
    </xf>
    <xf numFmtId="0" fontId="23" fillId="0" borderId="1" xfId="0" applyFont="1" applyBorder="1" applyAlignment="1">
      <alignment horizontal="center" vertical="top"/>
    </xf>
    <xf numFmtId="0" fontId="59" fillId="0" borderId="1" xfId="0" quotePrefix="1" applyFont="1" applyBorder="1" applyAlignment="1">
      <alignment horizontal="center" vertical="top" wrapText="1"/>
    </xf>
    <xf numFmtId="1" fontId="23" fillId="0" borderId="1" xfId="0" applyNumberFormat="1" applyFont="1" applyBorder="1" applyAlignment="1">
      <alignment horizontal="center"/>
    </xf>
    <xf numFmtId="2" fontId="59" fillId="0" borderId="1" xfId="0" applyNumberFormat="1" applyFont="1" applyBorder="1" applyAlignment="1">
      <alignment horizontal="center"/>
    </xf>
    <xf numFmtId="2" fontId="23" fillId="0" borderId="1" xfId="0" applyNumberFormat="1" applyFont="1" applyBorder="1" applyAlignment="1">
      <alignment horizontal="center"/>
    </xf>
    <xf numFmtId="0" fontId="23" fillId="0" borderId="1" xfId="0" quotePrefix="1" applyFont="1" applyBorder="1" applyAlignment="1">
      <alignment horizontal="center" vertical="top" wrapText="1"/>
    </xf>
    <xf numFmtId="0" fontId="23" fillId="0" borderId="1" xfId="0" applyFont="1" applyBorder="1" applyAlignment="1">
      <alignment horizontal="left" vertical="top" wrapText="1"/>
    </xf>
    <xf numFmtId="0" fontId="23" fillId="0" borderId="1" xfId="0" applyFont="1" applyBorder="1" applyAlignment="1">
      <alignment horizontal="right"/>
    </xf>
    <xf numFmtId="0" fontId="59" fillId="0" borderId="1" xfId="0" quotePrefix="1" applyFont="1" applyBorder="1" applyAlignment="1">
      <alignment horizontal="center"/>
    </xf>
    <xf numFmtId="0" fontId="70" fillId="7" borderId="1" xfId="0" applyFont="1" applyFill="1" applyBorder="1" applyAlignment="1">
      <alignment horizontal="justify" vertical="top" wrapText="1"/>
    </xf>
    <xf numFmtId="2" fontId="70" fillId="7" borderId="1" xfId="0" applyNumberFormat="1" applyFont="1" applyFill="1" applyBorder="1" applyAlignment="1">
      <alignment horizontal="center" wrapText="1"/>
    </xf>
    <xf numFmtId="49" fontId="70" fillId="0" borderId="1" xfId="0" applyNumberFormat="1" applyFont="1" applyBorder="1" applyAlignment="1">
      <alignment horizontal="center" vertical="top" wrapText="1"/>
    </xf>
    <xf numFmtId="49" fontId="70" fillId="0" borderId="1" xfId="0" applyNumberFormat="1" applyFont="1" applyBorder="1" applyAlignment="1">
      <alignment horizontal="center" vertical="center" wrapText="1"/>
    </xf>
    <xf numFmtId="0" fontId="23" fillId="0" borderId="1" xfId="0" applyFont="1" applyBorder="1" applyAlignment="1">
      <alignment vertical="top"/>
    </xf>
    <xf numFmtId="0" fontId="23" fillId="0" borderId="1" xfId="0" applyFont="1" applyBorder="1" applyAlignment="1">
      <alignment horizontal="center" vertical="top" wrapText="1"/>
    </xf>
    <xf numFmtId="0" fontId="27" fillId="0" borderId="1" xfId="0" applyFont="1" applyBorder="1" applyAlignment="1">
      <alignment horizontal="right"/>
    </xf>
    <xf numFmtId="0" fontId="23" fillId="0" borderId="1" xfId="0" applyFont="1" applyBorder="1" applyAlignment="1">
      <alignment horizontal="left" vertical="justify" wrapText="1" shrinkToFit="1"/>
    </xf>
    <xf numFmtId="0" fontId="70" fillId="0" borderId="1" xfId="7" applyFont="1" applyBorder="1" applyAlignment="1">
      <alignment vertical="top" wrapText="1"/>
    </xf>
    <xf numFmtId="2" fontId="70" fillId="0" borderId="1" xfId="7" applyNumberFormat="1" applyFont="1" applyBorder="1" applyAlignment="1">
      <alignment horizontal="center" wrapText="1"/>
    </xf>
    <xf numFmtId="0" fontId="70" fillId="0" borderId="1" xfId="7" applyFont="1" applyBorder="1" applyAlignment="1">
      <alignment horizontal="center" wrapText="1"/>
    </xf>
    <xf numFmtId="0" fontId="23" fillId="0" borderId="1" xfId="0" applyFont="1" applyBorder="1" applyAlignment="1">
      <alignment horizontal="justify" vertical="justify" wrapText="1" shrinkToFit="1"/>
    </xf>
    <xf numFmtId="0" fontId="27" fillId="0" borderId="1" xfId="0" applyFont="1" applyBorder="1" applyAlignment="1">
      <alignment horizontal="center" wrapText="1"/>
    </xf>
    <xf numFmtId="0" fontId="59" fillId="0" borderId="0" xfId="0" applyFont="1" applyAlignment="1">
      <alignment horizontal="center" vertical="top" wrapText="1"/>
    </xf>
    <xf numFmtId="0" fontId="59" fillId="0" borderId="0" xfId="0" applyFont="1" applyAlignment="1">
      <alignment horizontal="left" vertical="top" wrapText="1" shrinkToFit="1"/>
    </xf>
    <xf numFmtId="0" fontId="27" fillId="0" borderId="0" xfId="0" applyFont="1" applyAlignment="1">
      <alignment horizontal="center" wrapText="1"/>
    </xf>
    <xf numFmtId="0" fontId="24" fillId="0" borderId="0" xfId="0" applyFont="1"/>
    <xf numFmtId="0" fontId="23" fillId="0" borderId="0" xfId="0" applyFont="1" applyAlignment="1">
      <alignment horizontal="right"/>
    </xf>
    <xf numFmtId="2" fontId="23" fillId="0" borderId="0" xfId="0" applyNumberFormat="1" applyFont="1" applyAlignment="1">
      <alignment horizontal="center"/>
    </xf>
    <xf numFmtId="0" fontId="59" fillId="0" borderId="1" xfId="0" applyFont="1" applyBorder="1" applyAlignment="1">
      <alignment horizontal="left" vertical="top" wrapText="1" shrinkToFit="1"/>
    </xf>
    <xf numFmtId="0" fontId="24" fillId="0" borderId="1" xfId="0" applyFont="1" applyBorder="1"/>
    <xf numFmtId="164" fontId="44" fillId="0" borderId="0" xfId="0" applyNumberFormat="1" applyFont="1"/>
    <xf numFmtId="169" fontId="48" fillId="0" borderId="0" xfId="0" applyNumberFormat="1" applyFont="1" applyAlignment="1">
      <alignment vertical="center"/>
    </xf>
    <xf numFmtId="0" fontId="79"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1" xfId="0" applyFont="1" applyBorder="1" applyAlignment="1">
      <alignment horizontal="left" vertical="center" wrapText="1"/>
    </xf>
    <xf numFmtId="0" fontId="8" fillId="0" borderId="1" xfId="0" applyFont="1" applyBorder="1" applyAlignment="1">
      <alignment wrapText="1"/>
    </xf>
    <xf numFmtId="0" fontId="44" fillId="0" borderId="0" xfId="0" applyFont="1" applyAlignment="1">
      <alignment vertical="center" wrapText="1"/>
    </xf>
    <xf numFmtId="0" fontId="9" fillId="4" borderId="15" xfId="0" applyFont="1" applyFill="1" applyBorder="1" applyAlignment="1" applyProtection="1">
      <alignment horizontal="center" wrapText="1"/>
      <protection hidden="1"/>
    </xf>
    <xf numFmtId="0" fontId="0" fillId="0" borderId="43" xfId="0" applyBorder="1"/>
    <xf numFmtId="0" fontId="81" fillId="0" borderId="43" xfId="0" applyFont="1" applyBorder="1" applyAlignment="1">
      <alignment horizontal="center" vertical="center" wrapText="1"/>
    </xf>
    <xf numFmtId="49" fontId="82" fillId="0" borderId="43" xfId="0" applyNumberFormat="1" applyFont="1" applyBorder="1" applyAlignment="1">
      <alignment horizontal="center" vertical="center" wrapText="1"/>
    </xf>
    <xf numFmtId="49" fontId="83" fillId="0" borderId="43" xfId="0" applyNumberFormat="1" applyFont="1" applyBorder="1" applyAlignment="1">
      <alignment horizontal="center" vertical="center" wrapText="1"/>
    </xf>
    <xf numFmtId="2" fontId="82" fillId="0" borderId="43" xfId="0" applyNumberFormat="1" applyFont="1" applyBorder="1" applyAlignment="1">
      <alignment horizontal="center" vertical="center" wrapText="1"/>
    </xf>
    <xf numFmtId="164" fontId="81" fillId="0" borderId="43" xfId="0" applyNumberFormat="1" applyFont="1" applyBorder="1" applyAlignment="1">
      <alignment horizontal="center" vertical="center" wrapText="1"/>
    </xf>
    <xf numFmtId="165" fontId="81" fillId="0" borderId="43" xfId="0" applyNumberFormat="1" applyFont="1" applyBorder="1" applyAlignment="1">
      <alignment horizontal="right" vertical="center" wrapText="1"/>
    </xf>
    <xf numFmtId="0" fontId="85" fillId="0" borderId="43" xfId="0" applyFont="1" applyBorder="1" applyAlignment="1">
      <alignment horizontal="center" vertical="center"/>
    </xf>
    <xf numFmtId="2" fontId="85" fillId="0" borderId="43" xfId="0" applyNumberFormat="1" applyFont="1" applyBorder="1" applyAlignment="1">
      <alignment horizontal="right" vertical="center"/>
    </xf>
    <xf numFmtId="164" fontId="85" fillId="0" borderId="43" xfId="0" applyNumberFormat="1" applyFont="1" applyBorder="1" applyAlignment="1">
      <alignment horizontal="center" vertical="center"/>
    </xf>
    <xf numFmtId="165" fontId="85" fillId="0" borderId="43" xfId="0" applyNumberFormat="1" applyFont="1" applyBorder="1" applyAlignment="1">
      <alignment horizontal="right" vertical="center"/>
    </xf>
    <xf numFmtId="2" fontId="85" fillId="0" borderId="43" xfId="0" applyNumberFormat="1" applyFont="1" applyBorder="1" applyAlignment="1">
      <alignment horizontal="center" vertical="center"/>
    </xf>
    <xf numFmtId="168" fontId="85" fillId="0" borderId="43" xfId="0" applyNumberFormat="1" applyFont="1" applyBorder="1" applyAlignment="1">
      <alignment horizontal="right" vertical="center"/>
    </xf>
    <xf numFmtId="165" fontId="81" fillId="0" borderId="43" xfId="0" applyNumberFormat="1" applyFont="1" applyBorder="1" applyAlignment="1">
      <alignment horizontal="right" vertical="center"/>
    </xf>
    <xf numFmtId="165" fontId="87" fillId="0" borderId="43" xfId="0" applyNumberFormat="1" applyFont="1" applyBorder="1" applyAlignment="1">
      <alignment horizontal="right" vertical="center"/>
    </xf>
    <xf numFmtId="0" fontId="81" fillId="8" borderId="44" xfId="0" applyFont="1" applyFill="1" applyBorder="1" applyAlignment="1">
      <alignment horizontal="center" vertical="center" wrapText="1"/>
    </xf>
    <xf numFmtId="0" fontId="81" fillId="0" borderId="44" xfId="0" applyFont="1" applyBorder="1" applyAlignment="1">
      <alignment horizontal="left" vertical="top" wrapText="1"/>
    </xf>
    <xf numFmtId="0" fontId="0" fillId="0" borderId="44" xfId="0" applyBorder="1"/>
    <xf numFmtId="0" fontId="90" fillId="9" borderId="44" xfId="0" applyFont="1" applyFill="1" applyBorder="1" applyAlignment="1">
      <alignment horizontal="left" vertical="center"/>
    </xf>
    <xf numFmtId="0" fontId="85" fillId="0" borderId="44" xfId="0" applyFont="1" applyBorder="1" applyAlignment="1">
      <alignment horizontal="left" vertical="center"/>
    </xf>
    <xf numFmtId="0" fontId="85" fillId="0" borderId="44" xfId="0" applyFont="1" applyBorder="1" applyAlignment="1">
      <alignment horizontal="center" vertical="center"/>
    </xf>
    <xf numFmtId="168" fontId="85" fillId="0" borderId="44" xfId="0" applyNumberFormat="1" applyFont="1" applyBorder="1" applyAlignment="1">
      <alignment horizontal="right" vertical="center"/>
    </xf>
    <xf numFmtId="2" fontId="85" fillId="0" borderId="44" xfId="0" applyNumberFormat="1" applyFont="1" applyBorder="1" applyAlignment="1">
      <alignment horizontal="right" vertical="center"/>
    </xf>
    <xf numFmtId="2" fontId="81" fillId="0" borderId="44" xfId="0" applyNumberFormat="1" applyFont="1" applyBorder="1" applyAlignment="1">
      <alignment horizontal="right" vertical="center"/>
    </xf>
    <xf numFmtId="0" fontId="81" fillId="0" borderId="44" xfId="0" applyFont="1" applyBorder="1" applyAlignment="1">
      <alignment horizontal="center" vertical="center"/>
    </xf>
    <xf numFmtId="2" fontId="81" fillId="10" borderId="45" xfId="0" applyNumberFormat="1" applyFont="1" applyFill="1" applyBorder="1" applyAlignment="1">
      <alignment horizontal="right" vertical="center"/>
    </xf>
    <xf numFmtId="0" fontId="81" fillId="10" borderId="45" xfId="0" applyFont="1" applyFill="1" applyBorder="1" applyAlignment="1">
      <alignment horizontal="center" vertical="center"/>
    </xf>
    <xf numFmtId="2" fontId="81" fillId="10" borderId="45" xfId="0" applyNumberFormat="1" applyFont="1" applyFill="1" applyBorder="1" applyAlignment="1">
      <alignment horizontal="center" vertical="center"/>
    </xf>
    <xf numFmtId="4" fontId="81" fillId="10" borderId="45" xfId="0" applyNumberFormat="1" applyFont="1" applyFill="1" applyBorder="1" applyAlignment="1">
      <alignment horizontal="right" vertical="center"/>
    </xf>
    <xf numFmtId="2" fontId="81" fillId="11" borderId="45" xfId="0" applyNumberFormat="1" applyFont="1" applyFill="1" applyBorder="1" applyAlignment="1">
      <alignment horizontal="right" vertical="center"/>
    </xf>
    <xf numFmtId="0" fontId="81" fillId="11" borderId="45" xfId="0" applyFont="1" applyFill="1" applyBorder="1" applyAlignment="1">
      <alignment horizontal="center" vertical="center"/>
    </xf>
    <xf numFmtId="2" fontId="81" fillId="11" borderId="45" xfId="0" applyNumberFormat="1" applyFont="1" applyFill="1" applyBorder="1" applyAlignment="1">
      <alignment horizontal="center" vertical="center"/>
    </xf>
    <xf numFmtId="4" fontId="81" fillId="11" borderId="45" xfId="0" applyNumberFormat="1" applyFont="1" applyFill="1" applyBorder="1" applyAlignment="1">
      <alignment horizontal="right" vertical="center"/>
    </xf>
    <xf numFmtId="2" fontId="91" fillId="12" borderId="45" xfId="0" applyNumberFormat="1" applyFont="1" applyFill="1" applyBorder="1" applyAlignment="1">
      <alignment horizontal="right" vertical="center"/>
    </xf>
    <xf numFmtId="0" fontId="81" fillId="12" borderId="45" xfId="0" applyFont="1" applyFill="1" applyBorder="1" applyAlignment="1">
      <alignment horizontal="center" vertical="center"/>
    </xf>
    <xf numFmtId="2" fontId="81" fillId="12" borderId="45" xfId="0" applyNumberFormat="1" applyFont="1" applyFill="1" applyBorder="1" applyAlignment="1">
      <alignment horizontal="center" vertical="center"/>
    </xf>
    <xf numFmtId="4" fontId="91" fillId="12" borderId="45" xfId="0" applyNumberFormat="1" applyFont="1" applyFill="1" applyBorder="1" applyAlignment="1">
      <alignment horizontal="right" vertical="center"/>
    </xf>
    <xf numFmtId="0" fontId="0" fillId="0" borderId="49" xfId="0" applyBorder="1"/>
    <xf numFmtId="0" fontId="0" fillId="0" borderId="0" xfId="0" applyAlignment="1">
      <alignment wrapText="1"/>
    </xf>
    <xf numFmtId="0" fontId="85" fillId="0" borderId="43" xfId="0" applyFont="1" applyBorder="1" applyAlignment="1">
      <alignment horizontal="left" vertical="center" wrapText="1"/>
    </xf>
    <xf numFmtId="0" fontId="90" fillId="9" borderId="44" xfId="0" applyFont="1" applyFill="1" applyBorder="1" applyAlignment="1">
      <alignment horizontal="left" vertical="center" wrapText="1"/>
    </xf>
    <xf numFmtId="0" fontId="85" fillId="0" borderId="44" xfId="0" applyFont="1" applyBorder="1" applyAlignment="1">
      <alignment horizontal="left" vertical="center" wrapText="1"/>
    </xf>
    <xf numFmtId="0" fontId="85" fillId="0" borderId="44" xfId="0" applyFont="1" applyBorder="1" applyAlignment="1">
      <alignment horizontal="center" vertical="center" wrapText="1"/>
    </xf>
    <xf numFmtId="0" fontId="0" fillId="0" borderId="44" xfId="0" applyBorder="1" applyAlignment="1">
      <alignment wrapText="1"/>
    </xf>
    <xf numFmtId="2" fontId="85" fillId="0" borderId="44" xfId="0" applyNumberFormat="1" applyFont="1" applyBorder="1" applyAlignment="1">
      <alignment horizontal="right" vertical="center" wrapText="1"/>
    </xf>
    <xf numFmtId="0" fontId="85" fillId="0" borderId="51" xfId="0" applyFont="1" applyBorder="1" applyAlignment="1">
      <alignment horizontal="left" vertical="center"/>
    </xf>
    <xf numFmtId="0" fontId="85" fillId="0" borderId="51" xfId="0" applyFont="1" applyBorder="1" applyAlignment="1">
      <alignment horizontal="center" vertical="center"/>
    </xf>
    <xf numFmtId="2" fontId="85" fillId="0" borderId="51" xfId="0" applyNumberFormat="1" applyFont="1" applyBorder="1" applyAlignment="1">
      <alignment horizontal="right" vertical="center"/>
    </xf>
    <xf numFmtId="0" fontId="85" fillId="0" borderId="47" xfId="0" applyFont="1" applyBorder="1" applyAlignment="1">
      <alignment horizontal="left" vertical="center"/>
    </xf>
    <xf numFmtId="0" fontId="85" fillId="0" borderId="47" xfId="0" applyFont="1" applyBorder="1" applyAlignment="1">
      <alignment horizontal="center" vertical="center"/>
    </xf>
    <xf numFmtId="2" fontId="85" fillId="0" borderId="47" xfId="0" applyNumberFormat="1" applyFont="1" applyBorder="1" applyAlignment="1">
      <alignment horizontal="right" vertical="center"/>
    </xf>
    <xf numFmtId="0" fontId="90" fillId="9" borderId="1" xfId="0" applyFont="1" applyFill="1" applyBorder="1" applyAlignment="1">
      <alignment horizontal="left" vertical="center"/>
    </xf>
    <xf numFmtId="0" fontId="85" fillId="0" borderId="1" xfId="0" applyFont="1" applyBorder="1" applyAlignment="1">
      <alignment horizontal="center" vertical="center"/>
    </xf>
    <xf numFmtId="2" fontId="85" fillId="0" borderId="1" xfId="0" applyNumberFormat="1" applyFont="1" applyBorder="1" applyAlignment="1">
      <alignment horizontal="right" vertical="center"/>
    </xf>
    <xf numFmtId="2" fontId="0" fillId="0" borderId="0" xfId="0" applyNumberFormat="1"/>
    <xf numFmtId="2" fontId="0" fillId="0" borderId="43" xfId="0" applyNumberFormat="1" applyBorder="1"/>
    <xf numFmtId="2" fontId="0" fillId="0" borderId="44" xfId="0" applyNumberFormat="1" applyBorder="1"/>
    <xf numFmtId="2" fontId="85" fillId="0" borderId="44" xfId="0" applyNumberFormat="1" applyFont="1" applyBorder="1" applyAlignment="1">
      <alignment horizontal="center" vertical="center"/>
    </xf>
    <xf numFmtId="2" fontId="85" fillId="0" borderId="44" xfId="0" applyNumberFormat="1" applyFont="1" applyBorder="1" applyAlignment="1">
      <alignment horizontal="center" vertical="center" wrapText="1"/>
    </xf>
    <xf numFmtId="2" fontId="0" fillId="0" borderId="44" xfId="0" applyNumberFormat="1" applyBorder="1" applyAlignment="1">
      <alignment wrapText="1"/>
    </xf>
    <xf numFmtId="2" fontId="85" fillId="0" borderId="51" xfId="0" applyNumberFormat="1" applyFont="1" applyBorder="1" applyAlignment="1">
      <alignment horizontal="center" vertical="center"/>
    </xf>
    <xf numFmtId="2" fontId="0" fillId="0" borderId="51" xfId="0" applyNumberFormat="1" applyBorder="1"/>
    <xf numFmtId="2" fontId="85" fillId="0" borderId="1" xfId="0" applyNumberFormat="1" applyFont="1" applyBorder="1" applyAlignment="1">
      <alignment horizontal="center" vertical="center"/>
    </xf>
    <xf numFmtId="2" fontId="0" fillId="0" borderId="1" xfId="0" applyNumberFormat="1" applyBorder="1"/>
    <xf numFmtId="2" fontId="85" fillId="0" borderId="47" xfId="0" applyNumberFormat="1" applyFont="1" applyBorder="1" applyAlignment="1">
      <alignment horizontal="center" vertical="center"/>
    </xf>
    <xf numFmtId="2" fontId="0" fillId="0" borderId="47" xfId="0" applyNumberFormat="1" applyBorder="1"/>
    <xf numFmtId="1" fontId="0" fillId="0" borderId="0" xfId="0" applyNumberFormat="1"/>
    <xf numFmtId="1" fontId="85" fillId="0" borderId="43" xfId="0" applyNumberFormat="1" applyFont="1" applyBorder="1" applyAlignment="1">
      <alignment horizontal="center" vertical="center"/>
    </xf>
    <xf numFmtId="1" fontId="0" fillId="0" borderId="44" xfId="0" applyNumberFormat="1" applyBorder="1"/>
    <xf numFmtId="1" fontId="85" fillId="0" borderId="44" xfId="0" applyNumberFormat="1" applyFont="1" applyBorder="1" applyAlignment="1">
      <alignment horizontal="center" vertical="center"/>
    </xf>
    <xf numFmtId="1" fontId="85" fillId="0" borderId="44" xfId="0" applyNumberFormat="1" applyFont="1" applyBorder="1" applyAlignment="1">
      <alignment horizontal="center" vertical="center" wrapText="1"/>
    </xf>
    <xf numFmtId="1" fontId="85" fillId="0" borderId="51" xfId="0" applyNumberFormat="1" applyFont="1" applyBorder="1" applyAlignment="1">
      <alignment horizontal="center" vertical="center"/>
    </xf>
    <xf numFmtId="1" fontId="85" fillId="0" borderId="1" xfId="0" applyNumberFormat="1" applyFont="1" applyBorder="1" applyAlignment="1">
      <alignment horizontal="center" vertical="center"/>
    </xf>
    <xf numFmtId="1" fontId="85" fillId="0" borderId="47" xfId="0" applyNumberFormat="1" applyFont="1" applyBorder="1" applyAlignment="1">
      <alignment horizontal="center" vertical="center"/>
    </xf>
    <xf numFmtId="0" fontId="0" fillId="0" borderId="5" xfId="0" applyBorder="1"/>
    <xf numFmtId="49" fontId="66" fillId="0" borderId="1" xfId="0" applyNumberFormat="1" applyFont="1" applyBorder="1" applyAlignment="1">
      <alignment horizontal="center" vertical="center" wrapText="1"/>
    </xf>
    <xf numFmtId="165" fontId="0" fillId="0" borderId="0" xfId="0" applyNumberFormat="1" applyAlignment="1">
      <alignment horizontal="left" vertical="top"/>
    </xf>
    <xf numFmtId="2" fontId="0" fillId="0" borderId="0" xfId="0" applyNumberFormat="1" applyAlignment="1">
      <alignment horizontal="left" vertical="top"/>
    </xf>
    <xf numFmtId="166" fontId="85" fillId="0" borderId="43" xfId="0" applyNumberFormat="1" applyFont="1" applyBorder="1" applyAlignment="1">
      <alignment horizontal="right" vertical="center"/>
    </xf>
    <xf numFmtId="0" fontId="85" fillId="0" borderId="44" xfId="0" applyFont="1" applyBorder="1" applyAlignment="1">
      <alignment horizontal="left" vertical="top" wrapText="1"/>
    </xf>
    <xf numFmtId="0" fontId="0" fillId="0" borderId="48" xfId="0" applyBorder="1"/>
    <xf numFmtId="0" fontId="0" fillId="0" borderId="49" xfId="0" applyBorder="1"/>
    <xf numFmtId="0" fontId="0" fillId="0" borderId="44" xfId="0" applyBorder="1"/>
    <xf numFmtId="0" fontId="0" fillId="0" borderId="46" xfId="0" applyBorder="1"/>
    <xf numFmtId="0" fontId="0" fillId="0" borderId="47" xfId="0" applyBorder="1"/>
    <xf numFmtId="0" fontId="81" fillId="0" borderId="44" xfId="0" applyFont="1" applyBorder="1" applyAlignment="1">
      <alignment horizontal="right" vertical="center"/>
    </xf>
    <xf numFmtId="0" fontId="84" fillId="0" borderId="44" xfId="0" applyFont="1" applyBorder="1" applyAlignment="1">
      <alignment horizontal="center" vertical="center" wrapText="1"/>
    </xf>
    <xf numFmtId="0" fontId="82" fillId="0" borderId="0" xfId="0" applyFont="1" applyAlignment="1">
      <alignment horizontal="center" vertical="center"/>
    </xf>
    <xf numFmtId="0" fontId="0" fillId="0" borderId="0" xfId="0"/>
    <xf numFmtId="0" fontId="0" fillId="0" borderId="0" xfId="0" applyAlignment="1">
      <alignment wrapText="1"/>
    </xf>
    <xf numFmtId="1" fontId="0" fillId="0" borderId="0" xfId="0" applyNumberFormat="1"/>
    <xf numFmtId="2" fontId="0" fillId="0" borderId="0" xfId="0" applyNumberFormat="1"/>
    <xf numFmtId="0" fontId="84" fillId="0" borderId="44" xfId="0" applyFont="1" applyBorder="1" applyAlignment="1">
      <alignment horizontal="center" vertical="top" wrapText="1"/>
    </xf>
    <xf numFmtId="0" fontId="81" fillId="0" borderId="44" xfId="0" applyFont="1" applyBorder="1" applyAlignment="1">
      <alignment horizontal="center" vertical="top" wrapText="1"/>
    </xf>
    <xf numFmtId="0" fontId="81" fillId="0" borderId="44" xfId="0" applyFont="1" applyBorder="1" applyAlignment="1">
      <alignment horizontal="center" vertical="center" wrapText="1"/>
    </xf>
    <xf numFmtId="0" fontId="81" fillId="0" borderId="50" xfId="0" applyFont="1" applyBorder="1" applyAlignment="1">
      <alignment horizontal="center" vertical="center"/>
    </xf>
    <xf numFmtId="0" fontId="81" fillId="0" borderId="48" xfId="0" applyFont="1" applyBorder="1" applyAlignment="1">
      <alignment horizontal="center" vertical="center"/>
    </xf>
    <xf numFmtId="0" fontId="81" fillId="0" borderId="49" xfId="0" applyFont="1" applyBorder="1" applyAlignment="1">
      <alignment horizontal="center" vertical="center"/>
    </xf>
    <xf numFmtId="0" fontId="80" fillId="0" borderId="44" xfId="0" applyFont="1" applyBorder="1" applyAlignment="1">
      <alignment horizontal="left" vertical="center" wrapText="1"/>
    </xf>
    <xf numFmtId="0" fontId="87" fillId="0" borderId="44" xfId="0" applyFont="1" applyBorder="1" applyAlignment="1">
      <alignment horizontal="right" vertical="center"/>
    </xf>
    <xf numFmtId="0" fontId="86" fillId="0" borderId="44" xfId="0" applyFont="1" applyBorder="1" applyAlignment="1">
      <alignment horizontal="right" vertical="center"/>
    </xf>
    <xf numFmtId="0" fontId="37" fillId="0" borderId="11" xfId="0" applyFont="1" applyBorder="1" applyAlignment="1">
      <alignment horizontal="center" wrapText="1"/>
    </xf>
    <xf numFmtId="0" fontId="3" fillId="0" borderId="0" xfId="0" applyFont="1"/>
    <xf numFmtId="0" fontId="0" fillId="0" borderId="11" xfId="0" applyBorder="1"/>
    <xf numFmtId="0" fontId="34" fillId="0" borderId="32" xfId="0" applyFont="1" applyBorder="1" applyAlignment="1">
      <alignment horizontal="center" vertical="center"/>
    </xf>
    <xf numFmtId="0" fontId="24" fillId="0" borderId="0" xfId="0" applyFont="1" applyAlignment="1">
      <alignment vertical="top" wrapText="1"/>
    </xf>
    <xf numFmtId="0" fontId="39" fillId="0" borderId="0" xfId="0" applyFont="1" applyAlignment="1">
      <alignment horizontal="left"/>
    </xf>
    <xf numFmtId="0" fontId="32" fillId="0" borderId="11" xfId="0" applyFont="1" applyBorder="1" applyAlignment="1">
      <alignment horizontal="justify" vertical="top" wrapText="1"/>
    </xf>
    <xf numFmtId="0" fontId="39" fillId="0" borderId="0" xfId="0" applyFont="1" applyAlignment="1">
      <alignment horizontal="left" vertical="center"/>
    </xf>
    <xf numFmtId="0" fontId="38" fillId="0" borderId="0" xfId="0" applyFont="1" applyAlignment="1">
      <alignment horizontal="left" vertical="top" wrapText="1"/>
    </xf>
    <xf numFmtId="0" fontId="26" fillId="0" borderId="11" xfId="0" applyFont="1" applyBorder="1" applyAlignment="1">
      <alignment horizontal="justify" vertical="top" wrapText="1"/>
    </xf>
    <xf numFmtId="0" fontId="24" fillId="0" borderId="11" xfId="0" applyFont="1" applyBorder="1" applyAlignment="1">
      <alignment vertical="top" wrapText="1"/>
    </xf>
    <xf numFmtId="164" fontId="25" fillId="0" borderId="0" xfId="0" applyNumberFormat="1" applyFont="1" applyAlignment="1">
      <alignment horizontal="left" vertical="center"/>
    </xf>
    <xf numFmtId="0" fontId="28" fillId="0" borderId="0" xfId="0" applyFont="1" applyAlignment="1">
      <alignment horizontal="center" vertical="top" wrapText="1"/>
    </xf>
    <xf numFmtId="0" fontId="27" fillId="0" borderId="0" xfId="0" applyFont="1"/>
    <xf numFmtId="0" fontId="23" fillId="0" borderId="0" xfId="0" applyFont="1" applyAlignment="1">
      <alignment horizontal="left" vertical="top" wrapText="1"/>
    </xf>
    <xf numFmtId="0" fontId="27" fillId="0" borderId="0" xfId="0" applyFont="1" applyAlignment="1">
      <alignment horizontal="left" vertical="center" wrapText="1"/>
    </xf>
    <xf numFmtId="0" fontId="23" fillId="0" borderId="0" xfId="0" applyFont="1" applyAlignment="1">
      <alignment horizontal="justify" wrapText="1"/>
    </xf>
    <xf numFmtId="0" fontId="29" fillId="0" borderId="0" xfId="0" applyFont="1" applyAlignment="1">
      <alignment horizontal="center"/>
    </xf>
    <xf numFmtId="0" fontId="24" fillId="0" borderId="0" xfId="0" applyFont="1" applyAlignment="1">
      <alignment horizontal="left" vertical="top" wrapText="1"/>
    </xf>
    <xf numFmtId="0" fontId="31" fillId="0" borderId="0" xfId="0" applyFont="1" applyAlignment="1">
      <alignment horizontal="left" vertical="center"/>
    </xf>
    <xf numFmtId="0" fontId="23" fillId="0" borderId="0" xfId="0" applyFont="1" applyAlignment="1">
      <alignment horizontal="justify" vertical="top" wrapText="1"/>
    </xf>
    <xf numFmtId="0" fontId="27" fillId="0" borderId="0" xfId="0" applyFont="1" applyAlignment="1">
      <alignment wrapText="1"/>
    </xf>
    <xf numFmtId="0" fontId="30" fillId="0" borderId="0" xfId="0" applyFont="1" applyAlignment="1">
      <alignment horizontal="left"/>
    </xf>
    <xf numFmtId="0" fontId="24" fillId="0" borderId="0" xfId="0" applyFont="1" applyAlignment="1">
      <alignment horizontal="left" vertical="top"/>
    </xf>
    <xf numFmtId="0" fontId="27" fillId="0" borderId="0" xfId="0" applyFont="1" applyAlignment="1">
      <alignment horizontal="center" vertical="center"/>
    </xf>
    <xf numFmtId="0" fontId="27" fillId="0" borderId="0" xfId="0" applyFont="1" applyAlignment="1">
      <alignment horizontal="left" vertical="center"/>
    </xf>
    <xf numFmtId="164" fontId="24" fillId="0" borderId="0" xfId="0" applyNumberFormat="1" applyFont="1" applyAlignment="1">
      <alignment horizontal="left" vertical="top"/>
    </xf>
    <xf numFmtId="0" fontId="33" fillId="0" borderId="0" xfId="0" applyFont="1" applyAlignment="1">
      <alignment horizontal="left" vertical="top" wrapText="1"/>
    </xf>
    <xf numFmtId="0" fontId="30" fillId="0" borderId="0" xfId="0" applyFont="1" applyAlignment="1">
      <alignment horizontal="justify"/>
    </xf>
    <xf numFmtId="0" fontId="42" fillId="0" borderId="0" xfId="0" applyFont="1" applyAlignment="1">
      <alignment horizontal="left" vertical="top" wrapText="1"/>
    </xf>
    <xf numFmtId="0" fontId="50" fillId="0" borderId="0" xfId="0" applyFont="1"/>
    <xf numFmtId="0" fontId="50" fillId="0" borderId="0" xfId="0" applyFont="1" applyAlignment="1">
      <alignment horizontal="right"/>
    </xf>
    <xf numFmtId="0" fontId="50" fillId="0" borderId="1" xfId="0" applyFont="1" applyBorder="1" applyAlignment="1">
      <alignment horizontal="left"/>
    </xf>
    <xf numFmtId="0" fontId="0" fillId="0" borderId="5" xfId="0" applyBorder="1"/>
    <xf numFmtId="0" fontId="0" fillId="0" borderId="4" xfId="0" applyBorder="1"/>
    <xf numFmtId="0" fontId="53" fillId="0" borderId="1" xfId="0" applyFont="1" applyBorder="1" applyAlignment="1">
      <alignment horizontal="left" vertical="center" wrapText="1"/>
    </xf>
    <xf numFmtId="0" fontId="56" fillId="0" borderId="0" xfId="0" applyFont="1" applyAlignment="1">
      <alignment horizontal="center" vertical="center" wrapText="1"/>
    </xf>
    <xf numFmtId="0" fontId="50" fillId="0" borderId="1" xfId="0" applyFont="1" applyBorder="1" applyAlignment="1">
      <alignment horizontal="right"/>
    </xf>
    <xf numFmtId="0" fontId="52" fillId="0" borderId="0" xfId="0" applyFont="1" applyAlignment="1">
      <alignment horizontal="center" vertical="center"/>
    </xf>
    <xf numFmtId="0" fontId="50" fillId="0" borderId="0" xfId="0" applyFont="1" applyAlignment="1">
      <alignment vertical="center"/>
    </xf>
    <xf numFmtId="0" fontId="42" fillId="0" borderId="1" xfId="0" applyFont="1" applyBorder="1" applyAlignment="1">
      <alignment horizontal="right" vertical="center" wrapText="1"/>
    </xf>
    <xf numFmtId="0" fontId="51" fillId="0" borderId="0" xfId="0" applyFont="1" applyAlignment="1">
      <alignment horizontal="center" vertical="center"/>
    </xf>
    <xf numFmtId="0" fontId="54" fillId="0" borderId="1" xfId="0" applyFont="1" applyBorder="1" applyAlignment="1">
      <alignment horizontal="right"/>
    </xf>
    <xf numFmtId="0" fontId="42" fillId="0" borderId="1" xfId="0" applyFont="1" applyBorder="1" applyAlignment="1">
      <alignment horizontal="center" vertical="center"/>
    </xf>
    <xf numFmtId="0" fontId="55" fillId="0" borderId="0" xfId="0" applyFont="1" applyAlignment="1">
      <alignment horizontal="center"/>
    </xf>
    <xf numFmtId="0" fontId="11" fillId="0" borderId="1" xfId="0" applyFont="1" applyBorder="1" applyAlignment="1">
      <alignment horizontal="center" vertical="center" wrapText="1"/>
    </xf>
    <xf numFmtId="0" fontId="9" fillId="0" borderId="1" xfId="0" applyFont="1" applyBorder="1" applyAlignment="1">
      <alignment horizontal="justify" vertical="top" wrapText="1"/>
    </xf>
    <xf numFmtId="0" fontId="8" fillId="0" borderId="1" xfId="0" applyFont="1" applyBorder="1" applyAlignment="1">
      <alignment horizontal="left" vertical="center" wrapText="1"/>
    </xf>
    <xf numFmtId="0" fontId="59" fillId="0" borderId="0" xfId="0" applyFont="1" applyAlignment="1">
      <alignment horizontal="center"/>
    </xf>
    <xf numFmtId="2" fontId="59" fillId="0" borderId="0" xfId="0" applyNumberFormat="1" applyFont="1" applyAlignment="1">
      <alignment horizontal="right"/>
    </xf>
    <xf numFmtId="0" fontId="59" fillId="0" borderId="0" xfId="0" applyFont="1"/>
    <xf numFmtId="0" fontId="9" fillId="0" borderId="1" xfId="0" applyFont="1" applyBorder="1" applyAlignment="1">
      <alignment horizontal="left" vertical="top" wrapText="1"/>
    </xf>
    <xf numFmtId="0" fontId="4" fillId="0" borderId="1" xfId="0" applyFont="1" applyBorder="1" applyAlignment="1">
      <alignment horizontal="left" vertical="center" wrapText="1"/>
    </xf>
    <xf numFmtId="0" fontId="59" fillId="0" borderId="1" xfId="0" applyFont="1" applyBorder="1" applyAlignment="1">
      <alignment horizontal="justify" vertical="top" wrapText="1"/>
    </xf>
    <xf numFmtId="169" fontId="48" fillId="0" borderId="3" xfId="0" applyNumberFormat="1" applyFont="1" applyBorder="1" applyAlignment="1">
      <alignment horizontal="right" vertical="center"/>
    </xf>
    <xf numFmtId="0" fontId="49" fillId="0" borderId="0" xfId="0" applyFont="1" applyAlignment="1">
      <alignment horizontal="center" vertical="center"/>
    </xf>
    <xf numFmtId="0" fontId="44" fillId="0" borderId="0" xfId="0" applyFont="1" applyAlignment="1">
      <alignment vertical="center"/>
    </xf>
    <xf numFmtId="0" fontId="9" fillId="0" borderId="1" xfId="0" applyFont="1" applyBorder="1" applyAlignment="1">
      <alignment horizontal="left" vertical="center" wrapText="1"/>
    </xf>
    <xf numFmtId="169" fontId="48" fillId="0" borderId="1" xfId="0" applyNumberFormat="1" applyFont="1" applyBorder="1" applyAlignment="1">
      <alignment horizontal="right" vertical="center"/>
    </xf>
    <xf numFmtId="0" fontId="59" fillId="0" borderId="1" xfId="0" applyFont="1" applyBorder="1" applyAlignment="1">
      <alignment horizontal="center"/>
    </xf>
    <xf numFmtId="0" fontId="0" fillId="0" borderId="17" xfId="0" applyBorder="1"/>
    <xf numFmtId="0" fontId="0" fillId="0" borderId="18" xfId="0" applyBorder="1"/>
    <xf numFmtId="0" fontId="16" fillId="0" borderId="1" xfId="0" applyFont="1" applyBorder="1" applyAlignment="1">
      <alignment horizontal="center" vertical="center" wrapText="1"/>
    </xf>
    <xf numFmtId="2" fontId="44" fillId="0" borderId="0" xfId="0" applyNumberFormat="1" applyFont="1" applyAlignment="1">
      <alignment horizontal="center" vertical="center"/>
    </xf>
    <xf numFmtId="0" fontId="44" fillId="0" borderId="0" xfId="0" applyFont="1" applyAlignment="1">
      <alignment horizontal="center" vertical="center"/>
    </xf>
    <xf numFmtId="164" fontId="44" fillId="0" borderId="0" xfId="0" applyNumberFormat="1" applyFont="1" applyAlignment="1">
      <alignment horizontal="center" vertical="center"/>
    </xf>
    <xf numFmtId="0" fontId="8" fillId="0" borderId="1" xfId="0" applyFont="1" applyBorder="1" applyAlignment="1">
      <alignment horizontal="justify" vertical="center" wrapText="1"/>
    </xf>
    <xf numFmtId="49" fontId="66" fillId="0" borderId="1" xfId="0" applyNumberFormat="1" applyFont="1" applyBorder="1" applyAlignment="1">
      <alignment horizontal="center" vertical="center" wrapText="1"/>
    </xf>
    <xf numFmtId="0" fontId="40" fillId="0" borderId="1" xfId="0" applyFont="1" applyBorder="1" applyAlignment="1">
      <alignment horizontal="right"/>
    </xf>
    <xf numFmtId="164" fontId="8" fillId="0" borderId="1" xfId="0" applyNumberFormat="1" applyFont="1" applyBorder="1" applyAlignment="1">
      <alignment horizontal="center" vertical="center"/>
    </xf>
    <xf numFmtId="0" fontId="16" fillId="0" borderId="1" xfId="0" applyFont="1" applyBorder="1" applyAlignment="1">
      <alignment horizontal="center" vertical="top" wrapText="1"/>
    </xf>
    <xf numFmtId="164" fontId="8" fillId="0" borderId="16" xfId="0" applyNumberFormat="1" applyFont="1" applyBorder="1" applyAlignment="1">
      <alignment horizontal="center" vertical="center"/>
    </xf>
    <xf numFmtId="0" fontId="7" fillId="0" borderId="1" xfId="0" applyFont="1" applyBorder="1" applyAlignment="1">
      <alignment horizontal="right"/>
    </xf>
    <xf numFmtId="0" fontId="7" fillId="0" borderId="34" xfId="0" applyFont="1" applyBorder="1" applyAlignment="1">
      <alignment horizontal="right"/>
    </xf>
    <xf numFmtId="0" fontId="0" fillId="0" borderId="20" xfId="0" applyBorder="1"/>
    <xf numFmtId="0" fontId="0" fillId="0" borderId="21" xfId="0" applyBorder="1"/>
    <xf numFmtId="0" fontId="8" fillId="0" borderId="16" xfId="0" applyFont="1" applyBorder="1" applyAlignment="1">
      <alignment horizontal="right"/>
    </xf>
    <xf numFmtId="0" fontId="8" fillId="0" borderId="1" xfId="0" applyFont="1" applyBorder="1" applyAlignment="1">
      <alignment horizontal="left" vertical="top" wrapText="1"/>
    </xf>
    <xf numFmtId="0" fontId="16" fillId="0" borderId="1" xfId="0" applyFont="1" applyBorder="1" applyAlignment="1">
      <alignment horizontal="center" vertical="center" textRotation="90" wrapText="1"/>
    </xf>
    <xf numFmtId="0" fontId="8" fillId="0" borderId="1" xfId="0" applyFont="1" applyBorder="1" applyAlignment="1">
      <alignment horizontal="center"/>
    </xf>
    <xf numFmtId="165" fontId="8" fillId="0" borderId="1" xfId="0" applyNumberFormat="1" applyFont="1" applyBorder="1" applyAlignment="1">
      <alignment horizontal="center"/>
    </xf>
    <xf numFmtId="0" fontId="11" fillId="0" borderId="1" xfId="0" applyFont="1" applyBorder="1" applyAlignment="1">
      <alignment horizontal="justify" vertical="center" wrapText="1"/>
    </xf>
    <xf numFmtId="0" fontId="9" fillId="0" borderId="1" xfId="0" applyFont="1" applyBorder="1" applyAlignment="1">
      <alignment horizontal="center" vertical="top" wrapText="1"/>
    </xf>
    <xf numFmtId="0" fontId="17" fillId="0" borderId="1" xfId="0" applyFont="1" applyBorder="1" applyAlignment="1">
      <alignment horizontal="center" vertical="top" wrapText="1"/>
    </xf>
    <xf numFmtId="0" fontId="8" fillId="0" borderId="1" xfId="0" applyFont="1" applyBorder="1" applyAlignment="1">
      <alignment horizontal="right"/>
    </xf>
    <xf numFmtId="0" fontId="17" fillId="0" borderId="1" xfId="0" applyFont="1" applyBorder="1" applyAlignment="1">
      <alignment horizontal="center" vertical="center" wrapText="1"/>
    </xf>
    <xf numFmtId="0" fontId="8" fillId="0" borderId="16" xfId="0" applyFont="1" applyBorder="1" applyAlignment="1">
      <alignment horizontal="center"/>
    </xf>
    <xf numFmtId="0" fontId="75" fillId="0" borderId="1" xfId="74" applyFont="1" applyBorder="1" applyAlignment="1">
      <alignment horizontal="center" vertical="center"/>
    </xf>
    <xf numFmtId="0" fontId="0" fillId="0" borderId="0" xfId="0" applyAlignment="1">
      <alignment horizontal="center" vertical="top"/>
    </xf>
    <xf numFmtId="0" fontId="0" fillId="0" borderId="0" xfId="0" applyAlignment="1">
      <alignment horizontal="left" vertical="top"/>
    </xf>
    <xf numFmtId="0" fontId="26" fillId="0" borderId="1" xfId="0" applyFont="1" applyBorder="1" applyAlignment="1">
      <alignment horizontal="right" vertical="top"/>
    </xf>
    <xf numFmtId="0" fontId="17" fillId="0" borderId="0" xfId="74" applyFont="1" applyAlignment="1">
      <alignment horizontal="center" vertical="top" wrapText="1"/>
    </xf>
    <xf numFmtId="0" fontId="73" fillId="0" borderId="0" xfId="74" applyAlignment="1">
      <alignment horizontal="left" vertical="top"/>
    </xf>
    <xf numFmtId="0" fontId="49" fillId="0" borderId="29" xfId="0" applyFont="1" applyBorder="1" applyAlignment="1">
      <alignment horizontal="center" vertical="center"/>
    </xf>
    <xf numFmtId="0" fontId="0" fillId="0" borderId="29" xfId="0" applyBorder="1"/>
    <xf numFmtId="0" fontId="77" fillId="0" borderId="0" xfId="0" applyFont="1" applyAlignment="1">
      <alignment horizontal="left" vertical="top"/>
    </xf>
    <xf numFmtId="0" fontId="0" fillId="0" borderId="0" xfId="0" applyAlignment="1">
      <alignment horizontal="right" vertical="top"/>
    </xf>
    <xf numFmtId="0" fontId="7" fillId="0" borderId="0" xfId="65" applyFont="1" applyAlignment="1">
      <alignment horizontal="center" wrapText="1"/>
    </xf>
    <xf numFmtId="0" fontId="74" fillId="0" borderId="0" xfId="65" applyFont="1"/>
    <xf numFmtId="0" fontId="63" fillId="0" borderId="0" xfId="0" applyFont="1" applyAlignment="1">
      <alignment horizontal="center"/>
    </xf>
    <xf numFmtId="164" fontId="23" fillId="0" borderId="1" xfId="0" applyNumberFormat="1" applyFont="1" applyBorder="1" applyAlignment="1">
      <alignment horizontal="center" vertical="center" wrapText="1"/>
    </xf>
    <xf numFmtId="0" fontId="0" fillId="0" borderId="33" xfId="0" applyBorder="1"/>
    <xf numFmtId="0" fontId="0" fillId="0" borderId="2" xfId="0" applyBorder="1"/>
    <xf numFmtId="0" fontId="0" fillId="0" borderId="35" xfId="0" applyBorder="1"/>
    <xf numFmtId="0" fontId="0" fillId="0" borderId="36" xfId="0" applyBorder="1"/>
    <xf numFmtId="0" fontId="0" fillId="0" borderId="38" xfId="0" applyBorder="1"/>
    <xf numFmtId="0" fontId="0" fillId="0" borderId="37" xfId="0" applyBorder="1"/>
    <xf numFmtId="0" fontId="13" fillId="0" borderId="1" xfId="0" applyFont="1" applyBorder="1" applyAlignment="1">
      <alignment horizontal="center" vertical="center" wrapText="1"/>
    </xf>
    <xf numFmtId="0" fontId="13" fillId="0" borderId="0" xfId="0" applyFont="1" applyAlignment="1">
      <alignment horizontal="left" wrapText="1"/>
    </xf>
    <xf numFmtId="0" fontId="22" fillId="0" borderId="1" xfId="0" applyFont="1" applyBorder="1" applyAlignment="1">
      <alignment horizontal="center" vertical="center" wrapText="1"/>
    </xf>
    <xf numFmtId="0" fontId="23" fillId="0" borderId="1" xfId="0" applyFont="1" applyBorder="1" applyAlignment="1">
      <alignment horizontal="center" vertical="center"/>
    </xf>
    <xf numFmtId="0" fontId="69" fillId="0" borderId="1" xfId="0" applyFont="1" applyBorder="1" applyAlignment="1">
      <alignment horizontal="center" vertical="center" wrapText="1"/>
    </xf>
    <xf numFmtId="0" fontId="69" fillId="0" borderId="1" xfId="0" applyFont="1" applyBorder="1" applyAlignment="1">
      <alignment horizontal="left" vertical="center" wrapText="1"/>
    </xf>
    <xf numFmtId="0" fontId="23" fillId="0" borderId="1" xfId="0" applyFont="1" applyBorder="1" applyAlignment="1">
      <alignment horizontal="center"/>
    </xf>
    <xf numFmtId="0" fontId="70" fillId="0" borderId="30" xfId="0" applyFont="1" applyBorder="1" applyAlignment="1">
      <alignment horizontal="center" vertical="center" wrapText="1"/>
    </xf>
    <xf numFmtId="49" fontId="69" fillId="0" borderId="1" xfId="0" applyNumberFormat="1" applyFont="1" applyBorder="1" applyAlignment="1">
      <alignment horizontal="center"/>
    </xf>
    <xf numFmtId="0" fontId="23" fillId="0" borderId="0" xfId="0" applyFont="1" applyAlignment="1">
      <alignment horizontal="center"/>
    </xf>
    <xf numFmtId="0" fontId="23" fillId="0" borderId="0" xfId="0" applyFont="1"/>
    <xf numFmtId="0" fontId="68" fillId="0" borderId="20" xfId="0" applyFont="1" applyBorder="1" applyAlignment="1">
      <alignment horizontal="center" vertical="top" wrapText="1"/>
    </xf>
    <xf numFmtId="0" fontId="69" fillId="0" borderId="3" xfId="0" applyFont="1" applyBorder="1" applyAlignment="1">
      <alignment horizontal="center"/>
    </xf>
    <xf numFmtId="0" fontId="64" fillId="0" borderId="0" xfId="0" applyFont="1" applyAlignment="1">
      <alignment horizontal="justify" vertical="center" wrapText="1"/>
    </xf>
    <xf numFmtId="0" fontId="27" fillId="0" borderId="0" xfId="0" applyFont="1" applyAlignment="1">
      <alignment horizontal="justify" vertical="center" wrapText="1"/>
    </xf>
    <xf numFmtId="0" fontId="27" fillId="0" borderId="0" xfId="0" applyFont="1" applyAlignment="1">
      <alignment horizontal="left" vertical="top" wrapText="1"/>
    </xf>
    <xf numFmtId="0" fontId="20" fillId="0" borderId="44" xfId="0" applyFont="1" applyBorder="1" applyAlignment="1">
      <alignment horizontal="center" vertical="center" wrapText="1"/>
    </xf>
    <xf numFmtId="0" fontId="78" fillId="0" borderId="44" xfId="0" applyFont="1" applyBorder="1" applyAlignment="1">
      <alignment horizontal="center" vertical="center" wrapText="1"/>
    </xf>
    <xf numFmtId="0" fontId="20" fillId="0" borderId="44" xfId="0" applyFont="1" applyBorder="1" applyAlignment="1">
      <alignment horizontal="left" vertical="center" wrapText="1"/>
    </xf>
    <xf numFmtId="0" fontId="79" fillId="0" borderId="44" xfId="0" applyFont="1" applyBorder="1" applyAlignment="1">
      <alignment horizontal="left" vertical="center" wrapText="1"/>
    </xf>
    <xf numFmtId="0" fontId="43" fillId="0" borderId="1" xfId="0" applyFont="1" applyBorder="1" applyAlignment="1">
      <alignment horizontal="right" vertical="center"/>
    </xf>
    <xf numFmtId="0" fontId="6" fillId="0" borderId="1" xfId="0" applyFont="1" applyBorder="1" applyAlignment="1">
      <alignment horizontal="left" vertical="center" wrapText="1"/>
    </xf>
    <xf numFmtId="0" fontId="43" fillId="0" borderId="1" xfId="0" applyFont="1" applyBorder="1" applyAlignment="1">
      <alignment horizontal="center" vertical="center" wrapText="1"/>
    </xf>
    <xf numFmtId="0" fontId="43" fillId="0" borderId="1" xfId="5" applyFont="1" applyBorder="1" applyAlignment="1">
      <alignment horizontal="center" vertical="center" wrapText="1"/>
    </xf>
    <xf numFmtId="0" fontId="43" fillId="0" borderId="20" xfId="0" applyFont="1" applyBorder="1" applyAlignment="1">
      <alignment horizontal="left" vertical="center" wrapText="1"/>
    </xf>
    <xf numFmtId="0" fontId="59" fillId="0" borderId="0" xfId="0" applyFont="1" applyAlignment="1">
      <alignment horizontal="center" vertical="top" wrapText="1" shrinkToFit="1"/>
    </xf>
    <xf numFmtId="0" fontId="22" fillId="0" borderId="0" xfId="0" applyFont="1"/>
    <xf numFmtId="0" fontId="57" fillId="0" borderId="20" xfId="0" applyFont="1" applyBorder="1" applyAlignment="1">
      <alignment horizontal="left" vertical="top" wrapText="1"/>
    </xf>
    <xf numFmtId="0" fontId="3" fillId="0" borderId="0" xfId="0" applyFont="1" applyAlignment="1">
      <alignment horizontal="left" vertical="top" wrapText="1"/>
    </xf>
    <xf numFmtId="0" fontId="32" fillId="0" borderId="0" xfId="0" applyFont="1" applyAlignment="1">
      <alignment horizontal="center" vertical="center"/>
    </xf>
    <xf numFmtId="0" fontId="40" fillId="0" borderId="0" xfId="0" applyFont="1" applyAlignment="1">
      <alignment horizontal="center" vertical="center"/>
    </xf>
    <xf numFmtId="0" fontId="12" fillId="0" borderId="0" xfId="0" applyFont="1" applyAlignment="1">
      <alignment horizontal="center" vertical="center"/>
    </xf>
    <xf numFmtId="0" fontId="12" fillId="0" borderId="0" xfId="0" applyFont="1" applyAlignment="1">
      <alignment vertical="center"/>
    </xf>
    <xf numFmtId="0" fontId="17" fillId="0" borderId="0" xfId="0" applyFont="1" applyAlignment="1">
      <alignment vertical="center"/>
    </xf>
    <xf numFmtId="0" fontId="7" fillId="0" borderId="1" xfId="1" applyFont="1" applyBorder="1" applyAlignment="1">
      <alignment horizontal="left" vertical="top"/>
    </xf>
    <xf numFmtId="0" fontId="10" fillId="0" borderId="0" xfId="1" applyFont="1" applyAlignment="1">
      <alignment horizontal="center" vertical="center" wrapText="1"/>
    </xf>
    <xf numFmtId="0" fontId="8" fillId="0" borderId="1" xfId="1" applyFont="1" applyBorder="1" applyAlignment="1">
      <alignment horizontal="justify" vertical="top"/>
    </xf>
    <xf numFmtId="0" fontId="4" fillId="0" borderId="0" xfId="0" applyFont="1" applyAlignment="1">
      <alignment horizontal="center" vertical="center" wrapText="1"/>
    </xf>
    <xf numFmtId="0" fontId="8" fillId="0" borderId="1" xfId="1" applyFont="1" applyBorder="1" applyAlignment="1">
      <alignment horizontal="justify" vertical="center"/>
    </xf>
    <xf numFmtId="0" fontId="8" fillId="0" borderId="1" xfId="1" applyFont="1" applyBorder="1" applyAlignment="1">
      <alignment horizontal="justify" vertical="distributed" wrapText="1"/>
    </xf>
    <xf numFmtId="0" fontId="17" fillId="0" borderId="1" xfId="0" applyFont="1" applyBorder="1" applyAlignment="1">
      <alignment horizontal="right" vertical="center"/>
    </xf>
    <xf numFmtId="0" fontId="8" fillId="0" borderId="1" xfId="1" applyFont="1" applyBorder="1" applyAlignment="1">
      <alignment horizontal="justify" vertical="top" wrapText="1"/>
    </xf>
    <xf numFmtId="0" fontId="4" fillId="0" borderId="0" xfId="0" applyFont="1" applyAlignment="1">
      <alignment horizontal="left" vertical="center" wrapText="1"/>
    </xf>
    <xf numFmtId="0" fontId="7" fillId="0" borderId="1" xfId="1" applyFont="1" applyBorder="1" applyAlignment="1">
      <alignment horizontal="right" vertical="center" wrapText="1"/>
    </xf>
    <xf numFmtId="0" fontId="7" fillId="0" borderId="1" xfId="1" applyFont="1" applyBorder="1" applyAlignment="1">
      <alignment horizontal="justify" vertical="top"/>
    </xf>
    <xf numFmtId="0" fontId="7" fillId="0" borderId="34" xfId="1" applyFont="1" applyBorder="1" applyAlignment="1">
      <alignment horizontal="center" vertical="top"/>
    </xf>
    <xf numFmtId="0" fontId="7" fillId="0" borderId="40" xfId="1" applyFont="1" applyBorder="1" applyAlignment="1">
      <alignment horizontal="center" vertical="center" wrapText="1"/>
    </xf>
    <xf numFmtId="0" fontId="0" fillId="0" borderId="23" xfId="0" applyBorder="1"/>
    <xf numFmtId="0" fontId="0" fillId="0" borderId="25" xfId="0" applyBorder="1"/>
    <xf numFmtId="0" fontId="8" fillId="0" borderId="1" xfId="1" applyFont="1" applyBorder="1" applyAlignment="1">
      <alignment horizontal="left" vertical="top" wrapText="1"/>
    </xf>
    <xf numFmtId="167" fontId="7" fillId="0" borderId="39" xfId="1" applyNumberFormat="1" applyFont="1" applyBorder="1" applyAlignment="1">
      <alignment horizontal="right" vertical="center" wrapText="1"/>
    </xf>
    <xf numFmtId="0" fontId="0" fillId="0" borderId="24" xfId="0" applyBorder="1"/>
    <xf numFmtId="0" fontId="0" fillId="0" borderId="28" xfId="0" applyBorder="1"/>
    <xf numFmtId="0" fontId="7" fillId="0" borderId="1" xfId="1" applyFont="1" applyBorder="1" applyAlignment="1">
      <alignment horizontal="left" vertical="top" wrapText="1"/>
    </xf>
    <xf numFmtId="0" fontId="8" fillId="0" borderId="1" xfId="1" applyFont="1" applyBorder="1" applyAlignment="1">
      <alignment horizontal="justify" vertical="top" wrapText="1" shrinkToFit="1"/>
    </xf>
    <xf numFmtId="0" fontId="7" fillId="0" borderId="34" xfId="1" applyFont="1" applyBorder="1" applyAlignment="1">
      <alignment horizontal="left" vertical="center" wrapText="1"/>
    </xf>
    <xf numFmtId="0" fontId="7" fillId="0" borderId="1" xfId="1" applyFont="1" applyBorder="1" applyAlignment="1">
      <alignment horizontal="center" vertical="center"/>
    </xf>
    <xf numFmtId="0" fontId="7" fillId="0" borderId="42" xfId="1" applyFont="1" applyBorder="1" applyAlignment="1">
      <alignment horizontal="center" vertical="center"/>
    </xf>
    <xf numFmtId="0" fontId="0" fillId="0" borderId="26" xfId="0" applyBorder="1"/>
    <xf numFmtId="167" fontId="7" fillId="0" borderId="42" xfId="1" applyNumberFormat="1" applyFont="1" applyBorder="1" applyAlignment="1">
      <alignment horizontal="center" vertical="center"/>
    </xf>
    <xf numFmtId="0" fontId="7" fillId="0" borderId="41" xfId="1" applyFont="1" applyBorder="1" applyAlignment="1">
      <alignment horizontal="center" vertical="center"/>
    </xf>
    <xf numFmtId="0" fontId="0" fillId="0" borderId="7" xfId="0" applyBorder="1"/>
    <xf numFmtId="0" fontId="0" fillId="0" borderId="27" xfId="0" applyBorder="1"/>
    <xf numFmtId="0" fontId="0" fillId="0" borderId="6" xfId="0" applyBorder="1"/>
    <xf numFmtId="0" fontId="7" fillId="0" borderId="1" xfId="1" applyFont="1" applyBorder="1" applyAlignment="1">
      <alignment horizontal="left" vertical="center" wrapText="1"/>
    </xf>
    <xf numFmtId="0" fontId="7" fillId="0" borderId="15" xfId="1" applyFont="1" applyBorder="1" applyAlignment="1">
      <alignment horizontal="center" vertical="center"/>
    </xf>
    <xf numFmtId="0" fontId="61" fillId="0" borderId="0" xfId="38" applyFont="1" applyAlignment="1">
      <alignment horizontal="left" wrapText="1"/>
    </xf>
    <xf numFmtId="0" fontId="7" fillId="0" borderId="0" xfId="38" applyFont="1"/>
    <xf numFmtId="0" fontId="8" fillId="0" borderId="1" xfId="38" applyFont="1" applyBorder="1" applyAlignment="1">
      <alignment horizontal="center" vertical="center" wrapText="1"/>
    </xf>
    <xf numFmtId="0" fontId="7" fillId="0" borderId="20" xfId="38" applyFont="1" applyBorder="1" applyAlignment="1">
      <alignment horizontal="left" wrapText="1"/>
    </xf>
    <xf numFmtId="0" fontId="16" fillId="0" borderId="1" xfId="1" applyFont="1" applyBorder="1" applyAlignment="1">
      <alignment horizontal="center" vertical="center" wrapText="1"/>
    </xf>
    <xf numFmtId="0" fontId="7" fillId="0" borderId="19" xfId="38" applyFont="1" applyBorder="1" applyAlignment="1">
      <alignment horizontal="left" wrapText="1"/>
    </xf>
    <xf numFmtId="0" fontId="7" fillId="0" borderId="1" xfId="38" applyFont="1" applyBorder="1" applyAlignment="1">
      <alignment horizontal="right" wrapText="1"/>
    </xf>
    <xf numFmtId="0" fontId="7" fillId="0" borderId="0" xfId="38" applyFont="1" applyAlignment="1">
      <alignment horizontal="left" wrapText="1"/>
    </xf>
    <xf numFmtId="0" fontId="8" fillId="0" borderId="0" xfId="38" applyFont="1" applyAlignment="1">
      <alignment horizontal="left" wrapText="1"/>
    </xf>
    <xf numFmtId="0" fontId="8" fillId="0" borderId="0" xfId="38" applyFont="1" applyAlignment="1">
      <alignment wrapText="1"/>
    </xf>
    <xf numFmtId="2" fontId="8" fillId="0" borderId="0" xfId="38" applyNumberFormat="1" applyFont="1" applyAlignment="1">
      <alignment wrapText="1"/>
    </xf>
    <xf numFmtId="0" fontId="8" fillId="0" borderId="20" xfId="38" applyFont="1" applyBorder="1" applyAlignment="1">
      <alignment horizontal="left" wrapText="1"/>
    </xf>
    <xf numFmtId="0" fontId="8" fillId="0" borderId="0" xfId="38" applyFont="1" applyAlignment="1">
      <alignment horizontal="right" wrapText="1"/>
    </xf>
    <xf numFmtId="2" fontId="8" fillId="0" borderId="0" xfId="38" applyNumberFormat="1" applyFont="1"/>
    <xf numFmtId="0" fontId="7" fillId="0" borderId="0" xfId="38" applyFont="1" applyAlignment="1">
      <alignment horizontal="right" wrapText="1"/>
    </xf>
    <xf numFmtId="0" fontId="7" fillId="0" borderId="1" xfId="38" applyFont="1" applyBorder="1" applyAlignment="1">
      <alignment horizontal="right" vertical="center" wrapText="1"/>
    </xf>
    <xf numFmtId="0" fontId="6" fillId="0" borderId="0" xfId="5" applyFont="1" applyAlignment="1">
      <alignment horizontal="left" wrapText="1"/>
    </xf>
    <xf numFmtId="0" fontId="8" fillId="0" borderId="1" xfId="38" applyFont="1" applyBorder="1" applyAlignment="1">
      <alignment horizontal="right" wrapText="1"/>
    </xf>
    <xf numFmtId="0" fontId="91" fillId="12" borderId="45" xfId="0" applyFont="1" applyFill="1" applyBorder="1" applyAlignment="1">
      <alignment horizontal="right" vertical="center"/>
    </xf>
    <xf numFmtId="0" fontId="0" fillId="0" borderId="52" xfId="0" applyBorder="1"/>
    <xf numFmtId="0" fontId="0" fillId="0" borderId="53" xfId="0" applyBorder="1"/>
    <xf numFmtId="0" fontId="81" fillId="10" borderId="45" xfId="0" applyFont="1" applyFill="1" applyBorder="1" applyAlignment="1">
      <alignment horizontal="right" vertical="center"/>
    </xf>
    <xf numFmtId="0" fontId="81" fillId="0" borderId="44" xfId="0" applyFont="1" applyBorder="1" applyAlignment="1">
      <alignment horizontal="center" vertical="top"/>
    </xf>
    <xf numFmtId="0" fontId="89" fillId="0" borderId="0" xfId="0" applyFont="1" applyAlignment="1">
      <alignment horizontal="center" vertical="center"/>
    </xf>
    <xf numFmtId="0" fontId="90" fillId="11" borderId="45" xfId="0" applyFont="1" applyFill="1" applyBorder="1" applyAlignment="1">
      <alignment horizontal="right" vertical="center"/>
    </xf>
    <xf numFmtId="0" fontId="80" fillId="8" borderId="44" xfId="0" applyFont="1" applyFill="1" applyBorder="1" applyAlignment="1">
      <alignment horizontal="left" vertical="center"/>
    </xf>
    <xf numFmtId="0" fontId="88" fillId="0" borderId="0" xfId="0" applyFont="1" applyAlignment="1">
      <alignment horizontal="center" vertical="center"/>
    </xf>
    <xf numFmtId="0" fontId="80" fillId="0" borderId="0" xfId="0" applyFont="1" applyAlignment="1">
      <alignment horizontal="center" vertical="center"/>
    </xf>
    <xf numFmtId="2" fontId="75" fillId="0" borderId="1" xfId="69" applyNumberFormat="1" applyFont="1" applyBorder="1" applyAlignment="1">
      <alignment horizontal="center" vertical="center" wrapText="1"/>
    </xf>
    <xf numFmtId="2" fontId="76" fillId="0" borderId="1" xfId="69" applyNumberFormat="1" applyFont="1" applyBorder="1" applyAlignment="1">
      <alignment horizontal="center"/>
    </xf>
    <xf numFmtId="2" fontId="44" fillId="0" borderId="0" xfId="0" applyNumberFormat="1" applyFont="1" applyAlignment="1">
      <alignment vertical="center"/>
    </xf>
    <xf numFmtId="2" fontId="9" fillId="4" borderId="15" xfId="0" applyNumberFormat="1" applyFont="1" applyFill="1" applyBorder="1" applyAlignment="1" applyProtection="1">
      <alignment horizontal="center"/>
      <protection hidden="1"/>
    </xf>
    <xf numFmtId="0" fontId="6" fillId="0" borderId="5" xfId="0" applyFont="1" applyBorder="1" applyAlignment="1">
      <alignment horizontal="center" vertical="center"/>
    </xf>
    <xf numFmtId="0" fontId="6" fillId="0" borderId="5" xfId="0" applyFont="1" applyBorder="1" applyAlignment="1">
      <alignment horizontal="left" vertical="center" wrapText="1"/>
    </xf>
    <xf numFmtId="2" fontId="6" fillId="0" borderId="5" xfId="0" applyNumberFormat="1" applyFont="1" applyBorder="1" applyAlignment="1">
      <alignment horizontal="center" vertical="center"/>
    </xf>
    <xf numFmtId="0" fontId="6" fillId="0" borderId="5" xfId="5" applyFont="1" applyBorder="1" applyAlignment="1">
      <alignment vertical="center"/>
    </xf>
    <xf numFmtId="164" fontId="44" fillId="0" borderId="4" xfId="0" applyNumberFormat="1" applyFont="1" applyBorder="1" applyAlignment="1">
      <alignment horizontal="right" vertical="center"/>
    </xf>
    <xf numFmtId="2" fontId="59" fillId="0" borderId="5" xfId="0" applyNumberFormat="1" applyFont="1" applyBorder="1" applyAlignment="1">
      <alignment horizontal="center" wrapText="1"/>
    </xf>
    <xf numFmtId="0" fontId="0" fillId="0" borderId="1" xfId="0" applyBorder="1"/>
    <xf numFmtId="2" fontId="9" fillId="0" borderId="16" xfId="0" applyNumberFormat="1" applyFont="1" applyBorder="1" applyAlignment="1">
      <alignment horizontal="center" vertical="center" wrapText="1"/>
    </xf>
    <xf numFmtId="0" fontId="9" fillId="0" borderId="16" xfId="0" applyFont="1" applyBorder="1" applyAlignment="1">
      <alignment horizontal="center" vertical="center" wrapText="1"/>
    </xf>
    <xf numFmtId="0" fontId="9" fillId="0" borderId="3" xfId="0" applyFont="1" applyBorder="1" applyAlignment="1">
      <alignment vertical="center" wrapText="1"/>
    </xf>
    <xf numFmtId="0" fontId="9" fillId="0" borderId="17" xfId="0" applyFont="1" applyBorder="1" applyAlignment="1">
      <alignment horizontal="center" vertical="center" wrapText="1"/>
    </xf>
    <xf numFmtId="0" fontId="11" fillId="0" borderId="3" xfId="0" applyFont="1" applyBorder="1" applyAlignment="1">
      <alignment horizontal="right" vertical="center" wrapText="1"/>
    </xf>
    <xf numFmtId="0" fontId="11" fillId="0" borderId="5" xfId="0" applyFont="1" applyBorder="1" applyAlignment="1">
      <alignment horizontal="right" vertical="center" wrapText="1"/>
    </xf>
    <xf numFmtId="0" fontId="11" fillId="0" borderId="4" xfId="0" applyFont="1" applyBorder="1" applyAlignment="1">
      <alignment horizontal="right" vertical="center" wrapText="1"/>
    </xf>
    <xf numFmtId="0" fontId="0" fillId="0" borderId="46" xfId="0" applyBorder="1" applyAlignment="1"/>
    <xf numFmtId="0" fontId="0" fillId="0" borderId="47" xfId="0" applyBorder="1" applyAlignment="1"/>
    <xf numFmtId="0" fontId="84" fillId="0" borderId="51" xfId="0" applyFont="1" applyBorder="1" applyAlignment="1">
      <alignment horizontal="center" vertical="top" wrapText="1"/>
    </xf>
    <xf numFmtId="0" fontId="84" fillId="0" borderId="46" xfId="0" applyFont="1" applyBorder="1" applyAlignment="1">
      <alignment horizontal="center" vertical="top" wrapText="1"/>
    </xf>
    <xf numFmtId="0" fontId="84" fillId="0" borderId="51" xfId="0" applyFont="1" applyBorder="1" applyAlignment="1">
      <alignment horizontal="center" vertical="center" wrapText="1"/>
    </xf>
    <xf numFmtId="0" fontId="84" fillId="0" borderId="46" xfId="0" applyFont="1" applyBorder="1" applyAlignment="1">
      <alignment horizontal="center" vertical="center" wrapText="1"/>
    </xf>
    <xf numFmtId="0" fontId="6" fillId="0" borderId="16" xfId="0" applyFont="1" applyBorder="1" applyAlignment="1">
      <alignment horizontal="center" vertical="center"/>
    </xf>
    <xf numFmtId="49" fontId="47" fillId="0" borderId="16" xfId="0" applyNumberFormat="1" applyFont="1" applyBorder="1" applyAlignment="1">
      <alignment horizontal="center" vertical="center" wrapText="1"/>
    </xf>
    <xf numFmtId="0" fontId="12" fillId="0" borderId="3"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4" xfId="0" applyFont="1" applyBorder="1" applyAlignment="1">
      <alignment horizontal="center" vertical="center" wrapText="1"/>
    </xf>
    <xf numFmtId="164" fontId="12" fillId="0" borderId="16" xfId="0" applyNumberFormat="1" applyFont="1" applyBorder="1" applyAlignment="1">
      <alignment horizontal="center" vertical="center"/>
    </xf>
    <xf numFmtId="164" fontId="12" fillId="0" borderId="16" xfId="0" applyNumberFormat="1" applyFont="1" applyBorder="1" applyAlignment="1">
      <alignment horizontal="right" vertical="center"/>
    </xf>
    <xf numFmtId="0" fontId="6" fillId="0" borderId="17" xfId="0" applyFont="1" applyBorder="1" applyAlignment="1">
      <alignment horizontal="center" vertical="center"/>
    </xf>
    <xf numFmtId="49" fontId="47" fillId="0" borderId="17" xfId="0" applyNumberFormat="1" applyFont="1" applyBorder="1" applyAlignment="1">
      <alignment horizontal="center" vertical="center" wrapText="1"/>
    </xf>
    <xf numFmtId="0" fontId="9" fillId="0" borderId="1" xfId="0" applyFont="1" applyBorder="1" applyAlignment="1">
      <alignment vertical="center" wrapText="1"/>
    </xf>
    <xf numFmtId="164" fontId="12" fillId="0" borderId="34" xfId="0" applyNumberFormat="1" applyFont="1" applyBorder="1" applyAlignment="1">
      <alignment horizontal="center" vertical="center"/>
    </xf>
    <xf numFmtId="164" fontId="12" fillId="0" borderId="34" xfId="0" applyNumberFormat="1" applyFont="1" applyBorder="1" applyAlignment="1">
      <alignment horizontal="right" vertical="center"/>
    </xf>
    <xf numFmtId="0" fontId="6" fillId="0" borderId="34" xfId="0" applyFont="1" applyBorder="1" applyAlignment="1">
      <alignment horizontal="center" vertical="center"/>
    </xf>
    <xf numFmtId="49" fontId="47" fillId="0" borderId="34" xfId="0" applyNumberFormat="1" applyFont="1" applyBorder="1" applyAlignment="1">
      <alignment horizontal="center" vertical="center" wrapText="1"/>
    </xf>
    <xf numFmtId="2" fontId="9" fillId="0" borderId="1" xfId="0" applyNumberFormat="1" applyFont="1" applyBorder="1" applyAlignment="1">
      <alignment horizontal="center" vertical="center" wrapText="1"/>
    </xf>
    <xf numFmtId="164" fontId="12" fillId="0" borderId="1" xfId="0" applyNumberFormat="1" applyFont="1" applyBorder="1" applyAlignment="1">
      <alignment horizontal="center" vertical="center"/>
    </xf>
    <xf numFmtId="0" fontId="6" fillId="0" borderId="16" xfId="0" applyFont="1" applyBorder="1" applyAlignment="1">
      <alignment horizontal="center" vertical="center" wrapText="1"/>
    </xf>
    <xf numFmtId="49" fontId="47" fillId="0" borderId="1" xfId="0" applyNumberFormat="1" applyFont="1" applyBorder="1" applyAlignment="1">
      <alignment horizontal="center" vertical="center" wrapText="1"/>
    </xf>
    <xf numFmtId="0" fontId="12" fillId="0" borderId="3" xfId="0" applyFont="1" applyBorder="1" applyAlignment="1">
      <alignment horizontal="left" vertical="top" wrapText="1"/>
    </xf>
    <xf numFmtId="0" fontId="12" fillId="0" borderId="5" xfId="0" applyFont="1" applyBorder="1" applyAlignment="1">
      <alignment horizontal="left" vertical="top" wrapText="1"/>
    </xf>
    <xf numFmtId="0" fontId="12" fillId="0" borderId="4" xfId="0" applyFont="1" applyBorder="1" applyAlignment="1">
      <alignment horizontal="left" vertical="top" wrapText="1"/>
    </xf>
    <xf numFmtId="0" fontId="6" fillId="0" borderId="17" xfId="0" applyFont="1" applyBorder="1" applyAlignment="1">
      <alignment horizontal="center" vertical="center" wrapText="1"/>
    </xf>
    <xf numFmtId="0" fontId="12" fillId="0" borderId="3" xfId="0" applyFont="1" applyBorder="1" applyAlignment="1">
      <alignment horizontal="left" vertical="center" wrapText="1"/>
    </xf>
    <xf numFmtId="0" fontId="12" fillId="0" borderId="5" xfId="0" applyFont="1" applyBorder="1" applyAlignment="1">
      <alignment horizontal="left" vertical="center" wrapText="1"/>
    </xf>
    <xf numFmtId="0" fontId="12" fillId="0" borderId="4" xfId="0" applyFont="1" applyBorder="1" applyAlignment="1">
      <alignment horizontal="left" vertical="center" wrapText="1"/>
    </xf>
    <xf numFmtId="164" fontId="12" fillId="0" borderId="17" xfId="0" applyNumberFormat="1" applyFont="1" applyBorder="1" applyAlignment="1">
      <alignment horizontal="center" vertical="center"/>
    </xf>
    <xf numFmtId="164" fontId="12" fillId="0" borderId="17" xfId="0" applyNumberFormat="1" applyFont="1" applyBorder="1" applyAlignment="1">
      <alignment horizontal="right" vertical="center"/>
    </xf>
    <xf numFmtId="1" fontId="12" fillId="0" borderId="1" xfId="0" applyNumberFormat="1" applyFont="1" applyBorder="1" applyAlignment="1">
      <alignment horizontal="center" vertical="top"/>
    </xf>
    <xf numFmtId="0" fontId="6" fillId="0" borderId="34" xfId="0" applyFont="1" applyBorder="1" applyAlignment="1">
      <alignment horizontal="center" vertical="center" wrapText="1"/>
    </xf>
    <xf numFmtId="2" fontId="20" fillId="0" borderId="5" xfId="0" applyNumberFormat="1" applyFont="1" applyBorder="1" applyAlignment="1">
      <alignment horizontal="center" wrapText="1"/>
    </xf>
    <xf numFmtId="0" fontId="11" fillId="0" borderId="1" xfId="0" applyFont="1" applyBorder="1" applyAlignment="1">
      <alignment horizontal="right" vertical="top"/>
    </xf>
    <xf numFmtId="0" fontId="26" fillId="0" borderId="5" xfId="0" applyFont="1" applyBorder="1"/>
    <xf numFmtId="0" fontId="26" fillId="0" borderId="4" xfId="0" applyFont="1" applyBorder="1"/>
    <xf numFmtId="0" fontId="44" fillId="0" borderId="16" xfId="0" applyFont="1" applyBorder="1" applyAlignment="1">
      <alignment horizontal="center" vertical="center"/>
    </xf>
    <xf numFmtId="0" fontId="12" fillId="0" borderId="1" xfId="0" applyFont="1" applyBorder="1" applyAlignment="1">
      <alignment horizontal="center" vertical="center"/>
    </xf>
    <xf numFmtId="164" fontId="12" fillId="0" borderId="16" xfId="0" applyNumberFormat="1" applyFont="1" applyBorder="1" applyAlignment="1">
      <alignment horizontal="center" vertical="center"/>
    </xf>
    <xf numFmtId="164" fontId="12" fillId="0" borderId="16" xfId="0" applyNumberFormat="1" applyFont="1" applyBorder="1" applyAlignment="1">
      <alignment horizontal="right" vertical="center"/>
    </xf>
    <xf numFmtId="0" fontId="44" fillId="0" borderId="17" xfId="0" applyFont="1" applyBorder="1" applyAlignment="1">
      <alignment horizontal="center" vertical="center"/>
    </xf>
    <xf numFmtId="2" fontId="12" fillId="0" borderId="1" xfId="0" applyNumberFormat="1" applyFont="1" applyBorder="1" applyAlignment="1">
      <alignment horizontal="center" vertical="top"/>
    </xf>
    <xf numFmtId="49" fontId="47" fillId="0" borderId="34" xfId="0" applyNumberFormat="1" applyFont="1" applyBorder="1" applyAlignment="1">
      <alignment horizontal="center" vertical="center" wrapText="1"/>
    </xf>
    <xf numFmtId="0" fontId="44" fillId="0" borderId="34" xfId="0" applyFont="1" applyBorder="1" applyAlignment="1">
      <alignment horizontal="center" vertical="center"/>
    </xf>
    <xf numFmtId="0" fontId="16" fillId="0" borderId="16" xfId="0" applyFont="1" applyBorder="1" applyAlignment="1">
      <alignment horizontal="center" vertical="center" wrapText="1"/>
    </xf>
    <xf numFmtId="0" fontId="8" fillId="0" borderId="3" xfId="0" applyFont="1" applyBorder="1" applyAlignment="1">
      <alignment horizontal="left" vertical="center" wrapText="1"/>
    </xf>
    <xf numFmtId="0" fontId="8" fillId="0" borderId="5" xfId="0" applyFont="1" applyBorder="1" applyAlignment="1">
      <alignment horizontal="left" vertical="center" wrapText="1"/>
    </xf>
    <xf numFmtId="0" fontId="8" fillId="0" borderId="4" xfId="0" applyFont="1" applyBorder="1" applyAlignment="1">
      <alignment horizontal="left" vertical="center" wrapText="1"/>
    </xf>
    <xf numFmtId="164" fontId="8" fillId="0" borderId="16" xfId="0" applyNumberFormat="1" applyFont="1" applyBorder="1" applyAlignment="1">
      <alignment horizontal="right" vertical="center"/>
    </xf>
    <xf numFmtId="0" fontId="16" fillId="0" borderId="17" xfId="0" applyFont="1" applyBorder="1" applyAlignment="1">
      <alignment horizontal="center" vertical="center" wrapText="1"/>
    </xf>
    <xf numFmtId="49" fontId="9" fillId="0" borderId="1" xfId="0" applyNumberFormat="1" applyFont="1" applyBorder="1"/>
    <xf numFmtId="0" fontId="9" fillId="0" borderId="1" xfId="0" applyFont="1" applyBorder="1"/>
    <xf numFmtId="0" fontId="44" fillId="0" borderId="1" xfId="0" applyFont="1" applyBorder="1" applyAlignment="1">
      <alignment vertical="center"/>
    </xf>
    <xf numFmtId="2" fontId="9" fillId="0" borderId="1" xfId="0" applyNumberFormat="1" applyFont="1" applyBorder="1" applyAlignment="1">
      <alignment vertical="center"/>
    </xf>
    <xf numFmtId="0" fontId="44" fillId="0" borderId="1" xfId="0" applyFont="1" applyBorder="1" applyAlignment="1">
      <alignment horizontal="center" vertical="center"/>
    </xf>
    <xf numFmtId="164" fontId="8" fillId="0" borderId="34" xfId="0" applyNumberFormat="1" applyFont="1" applyBorder="1" applyAlignment="1">
      <alignment horizontal="center" vertical="center"/>
    </xf>
    <xf numFmtId="164" fontId="8" fillId="0" borderId="34" xfId="0" applyNumberFormat="1" applyFont="1" applyBorder="1" applyAlignment="1">
      <alignment horizontal="right" vertical="center"/>
    </xf>
    <xf numFmtId="0" fontId="16" fillId="0" borderId="34" xfId="0" applyFont="1" applyBorder="1" applyAlignment="1">
      <alignment horizontal="center" vertical="center" wrapText="1"/>
    </xf>
    <xf numFmtId="0" fontId="9" fillId="0" borderId="1" xfId="0" applyFont="1" applyBorder="1" applyAlignment="1">
      <alignment horizontal="center" vertical="center" wrapText="1"/>
    </xf>
    <xf numFmtId="164" fontId="9" fillId="0" borderId="1" xfId="0" applyNumberFormat="1" applyFont="1" applyBorder="1" applyAlignment="1">
      <alignment horizontal="center" vertical="center" wrapText="1"/>
    </xf>
    <xf numFmtId="165" fontId="9" fillId="0" borderId="1" xfId="0" applyNumberFormat="1" applyFont="1" applyBorder="1" applyAlignment="1">
      <alignment horizontal="right" vertical="center" wrapText="1"/>
    </xf>
    <xf numFmtId="0" fontId="6" fillId="0" borderId="3" xfId="5" applyFont="1" applyBorder="1" applyAlignment="1">
      <alignment horizontal="right" vertical="center"/>
    </xf>
    <xf numFmtId="0" fontId="6" fillId="0" borderId="5" xfId="5" applyFont="1" applyBorder="1" applyAlignment="1">
      <alignment horizontal="right" vertical="center"/>
    </xf>
    <xf numFmtId="0" fontId="6" fillId="0" borderId="4" xfId="5" applyFont="1" applyBorder="1" applyAlignment="1">
      <alignment horizontal="right" vertical="center"/>
    </xf>
    <xf numFmtId="0" fontId="9" fillId="0" borderId="44" xfId="0" applyFont="1" applyBorder="1" applyAlignment="1">
      <alignment horizontal="left" vertical="top" wrapText="1"/>
    </xf>
    <xf numFmtId="0" fontId="11" fillId="0" borderId="44" xfId="0" applyFont="1" applyBorder="1" applyAlignment="1">
      <alignment horizontal="right" vertical="center"/>
    </xf>
  </cellXfs>
  <cellStyles count="75">
    <cellStyle name="Comma 2" xfId="14" xr:uid="{00000000-0005-0000-0000-00000E000000}"/>
    <cellStyle name="Comma 2 2" xfId="18" xr:uid="{00000000-0005-0000-0000-000012000000}"/>
    <cellStyle name="Comma 2 2 2" xfId="25" xr:uid="{00000000-0005-0000-0000-000019000000}"/>
    <cellStyle name="Comma 2 3" xfId="21" xr:uid="{00000000-0005-0000-0000-000015000000}"/>
    <cellStyle name="Comma 2 3 2" xfId="9" xr:uid="{00000000-0005-0000-0000-000009000000}"/>
    <cellStyle name="Comma 2 3 2 2" xfId="13" xr:uid="{00000000-0005-0000-0000-00000D000000}"/>
    <cellStyle name="Comma 2 3 2 2 2" xfId="26" xr:uid="{00000000-0005-0000-0000-00001A000000}"/>
    <cellStyle name="Comma 2 3 2 3" xfId="27" xr:uid="{00000000-0005-0000-0000-00001B000000}"/>
    <cellStyle name="Comma 2 4" xfId="28" xr:uid="{00000000-0005-0000-0000-00001C000000}"/>
    <cellStyle name="Comma 2 4 2" xfId="29" xr:uid="{00000000-0005-0000-0000-00001D000000}"/>
    <cellStyle name="Comma 2 5" xfId="30" xr:uid="{00000000-0005-0000-0000-00001E000000}"/>
    <cellStyle name="Comma 3" xfId="31" xr:uid="{00000000-0005-0000-0000-00001F000000}"/>
    <cellStyle name="Comma 3 2" xfId="2" xr:uid="{00000000-0005-0000-0000-000002000000}"/>
    <cellStyle name="Comma 4" xfId="73" xr:uid="{00000000-0005-0000-0000-000049000000}"/>
    <cellStyle name="Comma 4 2" xfId="10" xr:uid="{00000000-0005-0000-0000-00000A000000}"/>
    <cellStyle name="Comma 4 2 2" xfId="15" xr:uid="{00000000-0005-0000-0000-00000F000000}"/>
    <cellStyle name="Comma 4 2 2 2" xfId="32" xr:uid="{00000000-0005-0000-0000-000020000000}"/>
    <cellStyle name="Comma 4 2 3" xfId="33" xr:uid="{00000000-0005-0000-0000-000021000000}"/>
    <cellStyle name="Neutral 2" xfId="72" xr:uid="{00000000-0005-0000-0000-000048000000}"/>
    <cellStyle name="Normal" xfId="0" builtinId="0"/>
    <cellStyle name="Normal 10" xfId="1" xr:uid="{00000000-0005-0000-0000-000001000000}"/>
    <cellStyle name="Normal 120" xfId="4" xr:uid="{00000000-0005-0000-0000-000004000000}"/>
    <cellStyle name="Normal 120 2" xfId="16" xr:uid="{00000000-0005-0000-0000-000010000000}"/>
    <cellStyle name="Normal 120 2 2" xfId="34" xr:uid="{00000000-0005-0000-0000-000022000000}"/>
    <cellStyle name="Normal 120 3" xfId="35" xr:uid="{00000000-0005-0000-0000-000023000000}"/>
    <cellStyle name="Normal 120 4" xfId="68" xr:uid="{00000000-0005-0000-0000-000044000000}"/>
    <cellStyle name="Normal 18" xfId="3" xr:uid="{00000000-0005-0000-0000-000003000000}"/>
    <cellStyle name="Normal 2" xfId="17" xr:uid="{00000000-0005-0000-0000-000011000000}"/>
    <cellStyle name="Normal 2 1" xfId="5" xr:uid="{00000000-0005-0000-0000-000005000000}"/>
    <cellStyle name="Normal 2 2" xfId="8" xr:uid="{00000000-0005-0000-0000-000008000000}"/>
    <cellStyle name="Normal 2 2 2" xfId="19" xr:uid="{00000000-0005-0000-0000-000013000000}"/>
    <cellStyle name="Normal 2 3" xfId="20" xr:uid="{00000000-0005-0000-0000-000014000000}"/>
    <cellStyle name="Normal 2 4" xfId="24" xr:uid="{00000000-0005-0000-0000-000018000000}"/>
    <cellStyle name="Normal 2 4 2" xfId="36" xr:uid="{00000000-0005-0000-0000-000024000000}"/>
    <cellStyle name="Normal 2 5" xfId="37" xr:uid="{00000000-0005-0000-0000-000025000000}"/>
    <cellStyle name="Normal 20 2" xfId="38" xr:uid="{00000000-0005-0000-0000-000026000000}"/>
    <cellStyle name="Normal 20 2 2" xfId="39" xr:uid="{00000000-0005-0000-0000-000027000000}"/>
    <cellStyle name="Normal 24" xfId="40" xr:uid="{00000000-0005-0000-0000-000028000000}"/>
    <cellStyle name="Normal 24 2" xfId="41" xr:uid="{00000000-0005-0000-0000-000029000000}"/>
    <cellStyle name="Normal 3" xfId="11" xr:uid="{00000000-0005-0000-0000-00000B000000}"/>
    <cellStyle name="Normal 3 2" xfId="7" xr:uid="{00000000-0005-0000-0000-000007000000}"/>
    <cellStyle name="Normal 4" xfId="23" xr:uid="{00000000-0005-0000-0000-000017000000}"/>
    <cellStyle name="Normal 4 2" xfId="42" xr:uid="{00000000-0005-0000-0000-00002A000000}"/>
    <cellStyle name="Normal 4 2 2" xfId="43" xr:uid="{00000000-0005-0000-0000-00002B000000}"/>
    <cellStyle name="Normal 4 2 2 2" xfId="71" xr:uid="{00000000-0005-0000-0000-000047000000}"/>
    <cellStyle name="Normal 4 2 3" xfId="61" xr:uid="{00000000-0005-0000-0000-00003D000000}"/>
    <cellStyle name="Normal 4 2 4" xfId="69" xr:uid="{00000000-0005-0000-0000-000045000000}"/>
    <cellStyle name="Normal 4 3" xfId="44" xr:uid="{00000000-0005-0000-0000-00002C000000}"/>
    <cellStyle name="Normal 4 3 2" xfId="70" xr:uid="{00000000-0005-0000-0000-000046000000}"/>
    <cellStyle name="Normal 5" xfId="45" xr:uid="{00000000-0005-0000-0000-00002D000000}"/>
    <cellStyle name="Normal 5 2" xfId="6" xr:uid="{00000000-0005-0000-0000-000006000000}"/>
    <cellStyle name="Normal 5 2 2" xfId="12" xr:uid="{00000000-0005-0000-0000-00000C000000}"/>
    <cellStyle name="Normal 5 2 2 2" xfId="46" xr:uid="{00000000-0005-0000-0000-00002E000000}"/>
    <cellStyle name="Normal 5 2 2 2 2" xfId="47" xr:uid="{00000000-0005-0000-0000-00002F000000}"/>
    <cellStyle name="Normal 5 2 2 2 3" xfId="67" xr:uid="{00000000-0005-0000-0000-000043000000}"/>
    <cellStyle name="Normal 5 2 2 3" xfId="48" xr:uid="{00000000-0005-0000-0000-000030000000}"/>
    <cellStyle name="Normal 5 2 2 4" xfId="65" xr:uid="{00000000-0005-0000-0000-000041000000}"/>
    <cellStyle name="Normal 5 2 3" xfId="49" xr:uid="{00000000-0005-0000-0000-000031000000}"/>
    <cellStyle name="Normal 5 3" xfId="50" xr:uid="{00000000-0005-0000-0000-000032000000}"/>
    <cellStyle name="Normal 6" xfId="51" xr:uid="{00000000-0005-0000-0000-000033000000}"/>
    <cellStyle name="Normal 6 2" xfId="52" xr:uid="{00000000-0005-0000-0000-000034000000}"/>
    <cellStyle name="Normal 6 3" xfId="62" xr:uid="{00000000-0005-0000-0000-00003E000000}"/>
    <cellStyle name="Normal 7" xfId="53" xr:uid="{00000000-0005-0000-0000-000035000000}"/>
    <cellStyle name="Normal 7 2" xfId="54" xr:uid="{00000000-0005-0000-0000-000036000000}"/>
    <cellStyle name="Normal 8" xfId="55" xr:uid="{00000000-0005-0000-0000-000037000000}"/>
    <cellStyle name="Normal 8 2" xfId="22" xr:uid="{00000000-0005-0000-0000-000016000000}"/>
    <cellStyle name="Normal 8 3" xfId="56" xr:uid="{00000000-0005-0000-0000-000038000000}"/>
    <cellStyle name="Normal 8 3 2" xfId="57" xr:uid="{00000000-0005-0000-0000-000039000000}"/>
    <cellStyle name="Normal 8 3 2 2" xfId="64" xr:uid="{00000000-0005-0000-0000-000040000000}"/>
    <cellStyle name="Normal 8 4" xfId="58" xr:uid="{00000000-0005-0000-0000-00003A000000}"/>
    <cellStyle name="Normal 8 4 2" xfId="59" xr:uid="{00000000-0005-0000-0000-00003B000000}"/>
    <cellStyle name="Normal 8 4 3" xfId="66" xr:uid="{00000000-0005-0000-0000-000042000000}"/>
    <cellStyle name="Normal 8 5" xfId="60" xr:uid="{00000000-0005-0000-0000-00003C000000}"/>
    <cellStyle name="Normal 8 6" xfId="63" xr:uid="{00000000-0005-0000-0000-00003F000000}"/>
    <cellStyle name="Normal 9" xfId="74" xr:uid="{00000000-0005-0000-0000-00004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42" Type="http://schemas.openxmlformats.org/officeDocument/2006/relationships/externalLink" Target="externalLinks/externalLink23.xml"/><Relationship Id="rId47" Type="http://schemas.openxmlformats.org/officeDocument/2006/relationships/externalLink" Target="externalLinks/externalLink28.xml"/><Relationship Id="rId63" Type="http://schemas.openxmlformats.org/officeDocument/2006/relationships/externalLink" Target="externalLinks/externalLink44.xml"/><Relationship Id="rId68" Type="http://schemas.openxmlformats.org/officeDocument/2006/relationships/externalLink" Target="externalLinks/externalLink49.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0.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externalLink" Target="externalLinks/externalLink18.xml"/><Relationship Id="rId40" Type="http://schemas.openxmlformats.org/officeDocument/2006/relationships/externalLink" Target="externalLinks/externalLink21.xml"/><Relationship Id="rId45" Type="http://schemas.openxmlformats.org/officeDocument/2006/relationships/externalLink" Target="externalLinks/externalLink26.xml"/><Relationship Id="rId53" Type="http://schemas.openxmlformats.org/officeDocument/2006/relationships/externalLink" Target="externalLinks/externalLink34.xml"/><Relationship Id="rId58" Type="http://schemas.openxmlformats.org/officeDocument/2006/relationships/externalLink" Target="externalLinks/externalLink39.xml"/><Relationship Id="rId66" Type="http://schemas.openxmlformats.org/officeDocument/2006/relationships/externalLink" Target="externalLinks/externalLink47.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4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 Id="rId43" Type="http://schemas.openxmlformats.org/officeDocument/2006/relationships/externalLink" Target="externalLinks/externalLink24.xml"/><Relationship Id="rId48" Type="http://schemas.openxmlformats.org/officeDocument/2006/relationships/externalLink" Target="externalLinks/externalLink29.xml"/><Relationship Id="rId56" Type="http://schemas.openxmlformats.org/officeDocument/2006/relationships/externalLink" Target="externalLinks/externalLink37.xml"/><Relationship Id="rId64" Type="http://schemas.openxmlformats.org/officeDocument/2006/relationships/externalLink" Target="externalLinks/externalLink45.xml"/><Relationship Id="rId69" Type="http://schemas.openxmlformats.org/officeDocument/2006/relationships/externalLink" Target="externalLinks/externalLink50.xml"/><Relationship Id="rId8" Type="http://schemas.openxmlformats.org/officeDocument/2006/relationships/worksheet" Target="worksheets/sheet8.xml"/><Relationship Id="rId51" Type="http://schemas.openxmlformats.org/officeDocument/2006/relationships/externalLink" Target="externalLinks/externalLink32.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externalLink" Target="externalLinks/externalLink19.xml"/><Relationship Id="rId46" Type="http://schemas.openxmlformats.org/officeDocument/2006/relationships/externalLink" Target="externalLinks/externalLink27.xml"/><Relationship Id="rId59" Type="http://schemas.openxmlformats.org/officeDocument/2006/relationships/externalLink" Target="externalLinks/externalLink40.xml"/><Relationship Id="rId67" Type="http://schemas.openxmlformats.org/officeDocument/2006/relationships/externalLink" Target="externalLinks/externalLink48.xml"/><Relationship Id="rId20" Type="http://schemas.openxmlformats.org/officeDocument/2006/relationships/externalLink" Target="externalLinks/externalLink1.xml"/><Relationship Id="rId41" Type="http://schemas.openxmlformats.org/officeDocument/2006/relationships/externalLink" Target="externalLinks/externalLink22.xml"/><Relationship Id="rId54" Type="http://schemas.openxmlformats.org/officeDocument/2006/relationships/externalLink" Target="externalLinks/externalLink35.xml"/><Relationship Id="rId62" Type="http://schemas.openxmlformats.org/officeDocument/2006/relationships/externalLink" Target="externalLinks/externalLink43.xml"/><Relationship Id="rId70" Type="http://schemas.openxmlformats.org/officeDocument/2006/relationships/externalLink" Target="externalLinks/externalLink51.xml"/><Relationship Id="rId75"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externalLink" Target="externalLinks/externalLink17.xml"/><Relationship Id="rId49" Type="http://schemas.openxmlformats.org/officeDocument/2006/relationships/externalLink" Target="externalLinks/externalLink30.xml"/><Relationship Id="rId57" Type="http://schemas.openxmlformats.org/officeDocument/2006/relationships/externalLink" Target="externalLinks/externalLink38.xml"/><Relationship Id="rId10" Type="http://schemas.openxmlformats.org/officeDocument/2006/relationships/worksheet" Target="worksheets/sheet10.xml"/><Relationship Id="rId31" Type="http://schemas.openxmlformats.org/officeDocument/2006/relationships/externalLink" Target="externalLinks/externalLink12.xml"/><Relationship Id="rId44" Type="http://schemas.openxmlformats.org/officeDocument/2006/relationships/externalLink" Target="externalLinks/externalLink25.xml"/><Relationship Id="rId52" Type="http://schemas.openxmlformats.org/officeDocument/2006/relationships/externalLink" Target="externalLinks/externalLink33.xml"/><Relationship Id="rId60" Type="http://schemas.openxmlformats.org/officeDocument/2006/relationships/externalLink" Target="externalLinks/externalLink41.xml"/><Relationship Id="rId65" Type="http://schemas.openxmlformats.org/officeDocument/2006/relationships/externalLink" Target="externalLinks/externalLink46.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0.xml"/><Relationship Id="rId34" Type="http://schemas.openxmlformats.org/officeDocument/2006/relationships/externalLink" Target="externalLinks/externalLink15.xml"/><Relationship Id="rId50" Type="http://schemas.openxmlformats.org/officeDocument/2006/relationships/externalLink" Target="externalLinks/externalLink31.xml"/><Relationship Id="rId55" Type="http://schemas.openxmlformats.org/officeDocument/2006/relationships/externalLink" Target="externalLinks/externalLink36.xml"/><Relationship Id="rId7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5</xdr:col>
      <xdr:colOff>220825</xdr:colOff>
      <xdr:row>5</xdr:row>
      <xdr:rowOff>162153</xdr:rowOff>
    </xdr:from>
    <xdr:to>
      <xdr:col>6</xdr:col>
      <xdr:colOff>388465</xdr:colOff>
      <xdr:row>9</xdr:row>
      <xdr:rowOff>295949</xdr:rowOff>
    </xdr:to>
    <xdr:pic>
      <xdr:nvPicPr>
        <xdr:cNvPr id="2" name="Picture 0" descr="download.jpg">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261128" y="1447547"/>
          <a:ext cx="775701" cy="1396099"/>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1546860</xdr:colOff>
      <xdr:row>7</xdr:row>
      <xdr:rowOff>0</xdr:rowOff>
    </xdr:from>
    <xdr:to>
      <xdr:col>9</xdr:col>
      <xdr:colOff>203917</xdr:colOff>
      <xdr:row>7</xdr:row>
      <xdr:rowOff>0</xdr:rowOff>
    </xdr:to>
    <xdr:pic>
      <xdr:nvPicPr>
        <xdr:cNvPr id="2" name="Picture 2">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rcRect/>
        <a:stretch>
          <a:fillRect/>
        </a:stretch>
      </xdr:blipFill>
      <xdr:spPr bwMode="auto">
        <a:xfrm>
          <a:off x="2019300" y="2156460"/>
          <a:ext cx="2935687" cy="0"/>
        </a:xfrm>
        <a:prstGeom prst="rect">
          <a:avLst/>
        </a:prstGeom>
        <a:noFill/>
        <a:ln>
          <a:noFill/>
          <a:prstDash val="solid"/>
        </a:ln>
      </xdr:spPr>
    </xdr:pic>
    <xdr:clientData/>
  </xdr:twoCellAnchor>
  <xdr:twoCellAnchor editAs="oneCell">
    <xdr:from>
      <xdr:col>2</xdr:col>
      <xdr:colOff>1546860</xdr:colOff>
      <xdr:row>7</xdr:row>
      <xdr:rowOff>0</xdr:rowOff>
    </xdr:from>
    <xdr:to>
      <xdr:col>9</xdr:col>
      <xdr:colOff>203917</xdr:colOff>
      <xdr:row>7</xdr:row>
      <xdr:rowOff>0</xdr:rowOff>
    </xdr:to>
    <xdr:pic>
      <xdr:nvPicPr>
        <xdr:cNvPr id="3" name="Picture 3">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rcRect/>
        <a:stretch>
          <a:fillRect/>
        </a:stretch>
      </xdr:blipFill>
      <xdr:spPr bwMode="auto">
        <a:xfrm>
          <a:off x="2019300" y="2156460"/>
          <a:ext cx="2935687" cy="0"/>
        </a:xfrm>
        <a:prstGeom prst="rect">
          <a:avLst/>
        </a:prstGeom>
        <a:noFill/>
        <a:ln>
          <a:noFill/>
          <a:prstDash val="solid"/>
        </a:ln>
      </xdr:spPr>
    </xdr:pic>
    <xdr:clientData/>
  </xdr:twoCellAnchor>
  <xdr:twoCellAnchor editAs="oneCell">
    <xdr:from>
      <xdr:col>2</xdr:col>
      <xdr:colOff>1546860</xdr:colOff>
      <xdr:row>7</xdr:row>
      <xdr:rowOff>0</xdr:rowOff>
    </xdr:from>
    <xdr:to>
      <xdr:col>9</xdr:col>
      <xdr:colOff>203917</xdr:colOff>
      <xdr:row>7</xdr:row>
      <xdr:rowOff>0</xdr:rowOff>
    </xdr:to>
    <xdr:pic>
      <xdr:nvPicPr>
        <xdr:cNvPr id="4" name="Picture 2">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rcRect/>
        <a:stretch>
          <a:fillRect/>
        </a:stretch>
      </xdr:blipFill>
      <xdr:spPr bwMode="auto">
        <a:xfrm>
          <a:off x="2019300" y="2156460"/>
          <a:ext cx="2935687" cy="0"/>
        </a:xfrm>
        <a:prstGeom prst="rect">
          <a:avLst/>
        </a:prstGeom>
        <a:noFill/>
        <a:ln>
          <a:noFill/>
          <a:prstDash val="solid"/>
        </a:ln>
      </xdr:spPr>
    </xdr:pic>
    <xdr:clientData/>
  </xdr:twoCellAnchor>
  <xdr:twoCellAnchor editAs="oneCell">
    <xdr:from>
      <xdr:col>2</xdr:col>
      <xdr:colOff>1546860</xdr:colOff>
      <xdr:row>7</xdr:row>
      <xdr:rowOff>0</xdr:rowOff>
    </xdr:from>
    <xdr:to>
      <xdr:col>9</xdr:col>
      <xdr:colOff>203917</xdr:colOff>
      <xdr:row>7</xdr:row>
      <xdr:rowOff>0</xdr:rowOff>
    </xdr:to>
    <xdr:pic>
      <xdr:nvPicPr>
        <xdr:cNvPr id="5" name="Picture 3">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rcRect/>
        <a:stretch>
          <a:fillRect/>
        </a:stretch>
      </xdr:blipFill>
      <xdr:spPr bwMode="auto">
        <a:xfrm>
          <a:off x="2019300" y="2156460"/>
          <a:ext cx="2935687" cy="0"/>
        </a:xfrm>
        <a:prstGeom prst="rect">
          <a:avLst/>
        </a:prstGeom>
        <a:noFill/>
        <a:ln>
          <a:noFill/>
          <a:prstDash val="solid"/>
        </a:ln>
      </xdr:spPr>
    </xdr:pic>
    <xdr:clientData/>
  </xdr:twoCellAnchor>
  <xdr:twoCellAnchor editAs="oneCell">
    <xdr:from>
      <xdr:col>2</xdr:col>
      <xdr:colOff>1546860</xdr:colOff>
      <xdr:row>7</xdr:row>
      <xdr:rowOff>0</xdr:rowOff>
    </xdr:from>
    <xdr:to>
      <xdr:col>8</xdr:col>
      <xdr:colOff>34467</xdr:colOff>
      <xdr:row>7</xdr:row>
      <xdr:rowOff>0</xdr:rowOff>
    </xdr:to>
    <xdr:pic>
      <xdr:nvPicPr>
        <xdr:cNvPr id="6" name="Picture 2">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rcRect/>
        <a:stretch>
          <a:fillRect/>
        </a:stretch>
      </xdr:blipFill>
      <xdr:spPr bwMode="auto">
        <a:xfrm>
          <a:off x="2019300" y="2156460"/>
          <a:ext cx="2114727" cy="0"/>
        </a:xfrm>
        <a:prstGeom prst="rect">
          <a:avLst/>
        </a:prstGeom>
        <a:noFill/>
        <a:ln>
          <a:noFill/>
          <a:prstDash val="solid"/>
        </a:ln>
      </xdr:spPr>
    </xdr:pic>
    <xdr:clientData/>
  </xdr:twoCellAnchor>
  <xdr:twoCellAnchor editAs="oneCell">
    <xdr:from>
      <xdr:col>2</xdr:col>
      <xdr:colOff>1546860</xdr:colOff>
      <xdr:row>7</xdr:row>
      <xdr:rowOff>0</xdr:rowOff>
    </xdr:from>
    <xdr:to>
      <xdr:col>8</xdr:col>
      <xdr:colOff>34467</xdr:colOff>
      <xdr:row>7</xdr:row>
      <xdr:rowOff>0</xdr:rowOff>
    </xdr:to>
    <xdr:pic>
      <xdr:nvPicPr>
        <xdr:cNvPr id="7" name="Picture 3">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rcRect/>
        <a:stretch>
          <a:fillRect/>
        </a:stretch>
      </xdr:blipFill>
      <xdr:spPr bwMode="auto">
        <a:xfrm>
          <a:off x="2019300" y="2156460"/>
          <a:ext cx="2114727" cy="0"/>
        </a:xfrm>
        <a:prstGeom prst="rect">
          <a:avLst/>
        </a:prstGeom>
        <a:noFill/>
        <a:ln>
          <a:noFill/>
          <a:prstDash val="solid"/>
        </a:ln>
      </xdr:spPr>
    </xdr:pic>
    <xdr:clientData/>
  </xdr:twoCellAnchor>
  <xdr:twoCellAnchor editAs="oneCell">
    <xdr:from>
      <xdr:col>2</xdr:col>
      <xdr:colOff>1546860</xdr:colOff>
      <xdr:row>7</xdr:row>
      <xdr:rowOff>0</xdr:rowOff>
    </xdr:from>
    <xdr:to>
      <xdr:col>8</xdr:col>
      <xdr:colOff>34467</xdr:colOff>
      <xdr:row>7</xdr:row>
      <xdr:rowOff>0</xdr:rowOff>
    </xdr:to>
    <xdr:pic>
      <xdr:nvPicPr>
        <xdr:cNvPr id="8" name="Picture 2">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
        <a:srcRect/>
        <a:stretch>
          <a:fillRect/>
        </a:stretch>
      </xdr:blipFill>
      <xdr:spPr bwMode="auto">
        <a:xfrm>
          <a:off x="2019300" y="2156460"/>
          <a:ext cx="2114727" cy="0"/>
        </a:xfrm>
        <a:prstGeom prst="rect">
          <a:avLst/>
        </a:prstGeom>
        <a:noFill/>
        <a:ln>
          <a:noFill/>
          <a:prstDash val="solid"/>
        </a:ln>
      </xdr:spPr>
    </xdr:pic>
    <xdr:clientData/>
  </xdr:twoCellAnchor>
  <xdr:twoCellAnchor editAs="oneCell">
    <xdr:from>
      <xdr:col>2</xdr:col>
      <xdr:colOff>1546860</xdr:colOff>
      <xdr:row>7</xdr:row>
      <xdr:rowOff>0</xdr:rowOff>
    </xdr:from>
    <xdr:to>
      <xdr:col>8</xdr:col>
      <xdr:colOff>34467</xdr:colOff>
      <xdr:row>7</xdr:row>
      <xdr:rowOff>0</xdr:rowOff>
    </xdr:to>
    <xdr:pic>
      <xdr:nvPicPr>
        <xdr:cNvPr id="9" name="Picture 3">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a:srcRect/>
        <a:stretch>
          <a:fillRect/>
        </a:stretch>
      </xdr:blipFill>
      <xdr:spPr bwMode="auto">
        <a:xfrm>
          <a:off x="2019300" y="2156460"/>
          <a:ext cx="2114727" cy="0"/>
        </a:xfrm>
        <a:prstGeom prst="rect">
          <a:avLst/>
        </a:prstGeom>
        <a:noFill/>
        <a:ln>
          <a:noFill/>
          <a:prstDash val="solid"/>
        </a:ln>
      </xdr:spPr>
    </xdr:pic>
    <xdr:clientData/>
  </xdr:twoCellAnchor>
  <xdr:twoCellAnchor editAs="oneCell">
    <xdr:from>
      <xdr:col>2</xdr:col>
      <xdr:colOff>1546860</xdr:colOff>
      <xdr:row>7</xdr:row>
      <xdr:rowOff>0</xdr:rowOff>
    </xdr:from>
    <xdr:to>
      <xdr:col>8</xdr:col>
      <xdr:colOff>34467</xdr:colOff>
      <xdr:row>7</xdr:row>
      <xdr:rowOff>0</xdr:rowOff>
    </xdr:to>
    <xdr:pic>
      <xdr:nvPicPr>
        <xdr:cNvPr id="10" name="Picture 2">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1"/>
        <a:srcRect/>
        <a:stretch>
          <a:fillRect/>
        </a:stretch>
      </xdr:blipFill>
      <xdr:spPr bwMode="auto">
        <a:xfrm>
          <a:off x="2019300" y="2156460"/>
          <a:ext cx="2114727" cy="0"/>
        </a:xfrm>
        <a:prstGeom prst="rect">
          <a:avLst/>
        </a:prstGeom>
        <a:noFill/>
        <a:ln>
          <a:noFill/>
          <a:prstDash val="solid"/>
        </a:ln>
      </xdr:spPr>
    </xdr:pic>
    <xdr:clientData/>
  </xdr:twoCellAnchor>
  <xdr:twoCellAnchor editAs="oneCell">
    <xdr:from>
      <xdr:col>2</xdr:col>
      <xdr:colOff>1546860</xdr:colOff>
      <xdr:row>7</xdr:row>
      <xdr:rowOff>0</xdr:rowOff>
    </xdr:from>
    <xdr:to>
      <xdr:col>8</xdr:col>
      <xdr:colOff>34467</xdr:colOff>
      <xdr:row>7</xdr:row>
      <xdr:rowOff>0</xdr:rowOff>
    </xdr:to>
    <xdr:pic>
      <xdr:nvPicPr>
        <xdr:cNvPr id="11" name="Picture 3">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1"/>
        <a:srcRect/>
        <a:stretch>
          <a:fillRect/>
        </a:stretch>
      </xdr:blipFill>
      <xdr:spPr bwMode="auto">
        <a:xfrm>
          <a:off x="2019300" y="2156460"/>
          <a:ext cx="2114727" cy="0"/>
        </a:xfrm>
        <a:prstGeom prst="rect">
          <a:avLst/>
        </a:prstGeom>
        <a:noFill/>
        <a:ln>
          <a:noFill/>
          <a:prstDash val="solid"/>
        </a:ln>
      </xdr:spPr>
    </xdr:pic>
    <xdr:clientData/>
  </xdr:twoCellAnchor>
  <xdr:twoCellAnchor editAs="oneCell">
    <xdr:from>
      <xdr:col>2</xdr:col>
      <xdr:colOff>1546860</xdr:colOff>
      <xdr:row>7</xdr:row>
      <xdr:rowOff>0</xdr:rowOff>
    </xdr:from>
    <xdr:to>
      <xdr:col>8</xdr:col>
      <xdr:colOff>34467</xdr:colOff>
      <xdr:row>7</xdr:row>
      <xdr:rowOff>0</xdr:rowOff>
    </xdr:to>
    <xdr:pic>
      <xdr:nvPicPr>
        <xdr:cNvPr id="12" name="Picture 2">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1"/>
        <a:srcRect/>
        <a:stretch>
          <a:fillRect/>
        </a:stretch>
      </xdr:blipFill>
      <xdr:spPr bwMode="auto">
        <a:xfrm>
          <a:off x="2019300" y="2156460"/>
          <a:ext cx="2114727" cy="0"/>
        </a:xfrm>
        <a:prstGeom prst="rect">
          <a:avLst/>
        </a:prstGeom>
        <a:noFill/>
        <a:ln>
          <a:noFill/>
          <a:prstDash val="solid"/>
        </a:ln>
      </xdr:spPr>
    </xdr:pic>
    <xdr:clientData/>
  </xdr:twoCellAnchor>
  <xdr:twoCellAnchor editAs="oneCell">
    <xdr:from>
      <xdr:col>2</xdr:col>
      <xdr:colOff>1546860</xdr:colOff>
      <xdr:row>7</xdr:row>
      <xdr:rowOff>0</xdr:rowOff>
    </xdr:from>
    <xdr:to>
      <xdr:col>8</xdr:col>
      <xdr:colOff>34467</xdr:colOff>
      <xdr:row>7</xdr:row>
      <xdr:rowOff>0</xdr:rowOff>
    </xdr:to>
    <xdr:pic>
      <xdr:nvPicPr>
        <xdr:cNvPr id="13" name="Picture 3">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1"/>
        <a:srcRect/>
        <a:stretch>
          <a:fillRect/>
        </a:stretch>
      </xdr:blipFill>
      <xdr:spPr bwMode="auto">
        <a:xfrm>
          <a:off x="2019300" y="2156460"/>
          <a:ext cx="2114727" cy="0"/>
        </a:xfrm>
        <a:prstGeom prst="rect">
          <a:avLst/>
        </a:prstGeom>
        <a:noFill/>
        <a:ln>
          <a:noFill/>
          <a:prstDash val="solid"/>
        </a:ln>
      </xdr:spPr>
    </xdr:pic>
    <xdr:clientData/>
  </xdr:twoCellAnchor>
  <xdr:twoCellAnchor editAs="oneCell">
    <xdr:from>
      <xdr:col>2</xdr:col>
      <xdr:colOff>1546860</xdr:colOff>
      <xdr:row>7</xdr:row>
      <xdr:rowOff>0</xdr:rowOff>
    </xdr:from>
    <xdr:to>
      <xdr:col>5</xdr:col>
      <xdr:colOff>201194</xdr:colOff>
      <xdr:row>7</xdr:row>
      <xdr:rowOff>0</xdr:rowOff>
    </xdr:to>
    <xdr:pic>
      <xdr:nvPicPr>
        <xdr:cNvPr id="14" name="Picture 2">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
        <a:srcRect/>
        <a:stretch>
          <a:fillRect/>
        </a:stretch>
      </xdr:blipFill>
      <xdr:spPr bwMode="auto">
        <a:xfrm>
          <a:off x="2019300" y="2156460"/>
          <a:ext cx="1035584" cy="0"/>
        </a:xfrm>
        <a:prstGeom prst="rect">
          <a:avLst/>
        </a:prstGeom>
        <a:noFill/>
        <a:ln>
          <a:noFill/>
          <a:prstDash val="solid"/>
        </a:ln>
      </xdr:spPr>
    </xdr:pic>
    <xdr:clientData/>
  </xdr:twoCellAnchor>
  <xdr:twoCellAnchor editAs="oneCell">
    <xdr:from>
      <xdr:col>2</xdr:col>
      <xdr:colOff>1546860</xdr:colOff>
      <xdr:row>7</xdr:row>
      <xdr:rowOff>0</xdr:rowOff>
    </xdr:from>
    <xdr:to>
      <xdr:col>5</xdr:col>
      <xdr:colOff>201194</xdr:colOff>
      <xdr:row>7</xdr:row>
      <xdr:rowOff>0</xdr:rowOff>
    </xdr:to>
    <xdr:pic>
      <xdr:nvPicPr>
        <xdr:cNvPr id="15" name="Picture 3">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
        <a:srcRect/>
        <a:stretch>
          <a:fillRect/>
        </a:stretch>
      </xdr:blipFill>
      <xdr:spPr bwMode="auto">
        <a:xfrm>
          <a:off x="2019300" y="2156460"/>
          <a:ext cx="1035584" cy="0"/>
        </a:xfrm>
        <a:prstGeom prst="rect">
          <a:avLst/>
        </a:prstGeom>
        <a:noFill/>
        <a:ln>
          <a:noFill/>
          <a:prstDash val="solid"/>
        </a:ln>
      </xdr:spPr>
    </xdr:pic>
    <xdr:clientData/>
  </xdr:twoCellAnchor>
  <xdr:twoCellAnchor editAs="oneCell">
    <xdr:from>
      <xdr:col>2</xdr:col>
      <xdr:colOff>1546860</xdr:colOff>
      <xdr:row>7</xdr:row>
      <xdr:rowOff>0</xdr:rowOff>
    </xdr:from>
    <xdr:to>
      <xdr:col>5</xdr:col>
      <xdr:colOff>201194</xdr:colOff>
      <xdr:row>7</xdr:row>
      <xdr:rowOff>0</xdr:rowOff>
    </xdr:to>
    <xdr:pic>
      <xdr:nvPicPr>
        <xdr:cNvPr id="16" name="Picture 2">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1"/>
        <a:srcRect/>
        <a:stretch>
          <a:fillRect/>
        </a:stretch>
      </xdr:blipFill>
      <xdr:spPr bwMode="auto">
        <a:xfrm>
          <a:off x="2019300" y="2156460"/>
          <a:ext cx="1035584" cy="0"/>
        </a:xfrm>
        <a:prstGeom prst="rect">
          <a:avLst/>
        </a:prstGeom>
        <a:noFill/>
        <a:ln>
          <a:noFill/>
          <a:prstDash val="solid"/>
        </a:ln>
      </xdr:spPr>
    </xdr:pic>
    <xdr:clientData/>
  </xdr:twoCellAnchor>
  <xdr:twoCellAnchor editAs="oneCell">
    <xdr:from>
      <xdr:col>2</xdr:col>
      <xdr:colOff>1546860</xdr:colOff>
      <xdr:row>7</xdr:row>
      <xdr:rowOff>0</xdr:rowOff>
    </xdr:from>
    <xdr:to>
      <xdr:col>5</xdr:col>
      <xdr:colOff>201194</xdr:colOff>
      <xdr:row>7</xdr:row>
      <xdr:rowOff>0</xdr:rowOff>
    </xdr:to>
    <xdr:pic>
      <xdr:nvPicPr>
        <xdr:cNvPr id="17" name="Picture 3">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1"/>
        <a:srcRect/>
        <a:stretch>
          <a:fillRect/>
        </a:stretch>
      </xdr:blipFill>
      <xdr:spPr bwMode="auto">
        <a:xfrm>
          <a:off x="2019300" y="2156460"/>
          <a:ext cx="1035584" cy="0"/>
        </a:xfrm>
        <a:prstGeom prst="rect">
          <a:avLst/>
        </a:prstGeom>
        <a:noFill/>
        <a:ln>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1546860</xdr:colOff>
      <xdr:row>35</xdr:row>
      <xdr:rowOff>0</xdr:rowOff>
    </xdr:from>
    <xdr:to>
      <xdr:col>11</xdr:col>
      <xdr:colOff>306787</xdr:colOff>
      <xdr:row>35</xdr:row>
      <xdr:rowOff>0</xdr:rowOff>
    </xdr:to>
    <xdr:pic>
      <xdr:nvPicPr>
        <xdr:cNvPr id="2" name="Picture 2">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rcRect/>
        <a:stretch>
          <a:fillRect/>
        </a:stretch>
      </xdr:blipFill>
      <xdr:spPr bwMode="auto">
        <a:xfrm>
          <a:off x="2019300" y="11170920"/>
          <a:ext cx="2935687" cy="0"/>
        </a:xfrm>
        <a:prstGeom prst="rect">
          <a:avLst/>
        </a:prstGeom>
        <a:noFill/>
        <a:ln>
          <a:noFill/>
          <a:prstDash val="solid"/>
        </a:ln>
      </xdr:spPr>
    </xdr:pic>
    <xdr:clientData/>
  </xdr:twoCellAnchor>
  <xdr:twoCellAnchor editAs="oneCell">
    <xdr:from>
      <xdr:col>2</xdr:col>
      <xdr:colOff>1546860</xdr:colOff>
      <xdr:row>35</xdr:row>
      <xdr:rowOff>0</xdr:rowOff>
    </xdr:from>
    <xdr:to>
      <xdr:col>11</xdr:col>
      <xdr:colOff>306787</xdr:colOff>
      <xdr:row>35</xdr:row>
      <xdr:rowOff>0</xdr:rowOff>
    </xdr:to>
    <xdr:pic>
      <xdr:nvPicPr>
        <xdr:cNvPr id="3" name="Picture 3">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rcRect/>
        <a:stretch>
          <a:fillRect/>
        </a:stretch>
      </xdr:blipFill>
      <xdr:spPr bwMode="auto">
        <a:xfrm>
          <a:off x="2019300" y="11170920"/>
          <a:ext cx="2935687" cy="0"/>
        </a:xfrm>
        <a:prstGeom prst="rect">
          <a:avLst/>
        </a:prstGeom>
        <a:noFill/>
        <a:ln>
          <a:noFill/>
          <a:prstDash val="solid"/>
        </a:ln>
      </xdr:spPr>
    </xdr:pic>
    <xdr:clientData/>
  </xdr:twoCellAnchor>
  <xdr:twoCellAnchor editAs="oneCell">
    <xdr:from>
      <xdr:col>2</xdr:col>
      <xdr:colOff>1546860</xdr:colOff>
      <xdr:row>35</xdr:row>
      <xdr:rowOff>0</xdr:rowOff>
    </xdr:from>
    <xdr:to>
      <xdr:col>10</xdr:col>
      <xdr:colOff>80187</xdr:colOff>
      <xdr:row>35</xdr:row>
      <xdr:rowOff>0</xdr:rowOff>
    </xdr:to>
    <xdr:pic>
      <xdr:nvPicPr>
        <xdr:cNvPr id="6" name="Picture 2">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1"/>
        <a:srcRect/>
        <a:stretch>
          <a:fillRect/>
        </a:stretch>
      </xdr:blipFill>
      <xdr:spPr bwMode="auto">
        <a:xfrm>
          <a:off x="2019300" y="11170920"/>
          <a:ext cx="2114727" cy="0"/>
        </a:xfrm>
        <a:prstGeom prst="rect">
          <a:avLst/>
        </a:prstGeom>
        <a:noFill/>
        <a:ln>
          <a:noFill/>
          <a:prstDash val="solid"/>
        </a:ln>
      </xdr:spPr>
    </xdr:pic>
    <xdr:clientData/>
  </xdr:twoCellAnchor>
  <xdr:twoCellAnchor editAs="oneCell">
    <xdr:from>
      <xdr:col>2</xdr:col>
      <xdr:colOff>1546860</xdr:colOff>
      <xdr:row>35</xdr:row>
      <xdr:rowOff>0</xdr:rowOff>
    </xdr:from>
    <xdr:to>
      <xdr:col>10</xdr:col>
      <xdr:colOff>80187</xdr:colOff>
      <xdr:row>35</xdr:row>
      <xdr:rowOff>0</xdr:rowOff>
    </xdr:to>
    <xdr:pic>
      <xdr:nvPicPr>
        <xdr:cNvPr id="7" name="Picture 3">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1"/>
        <a:srcRect/>
        <a:stretch>
          <a:fillRect/>
        </a:stretch>
      </xdr:blipFill>
      <xdr:spPr bwMode="auto">
        <a:xfrm>
          <a:off x="2019300" y="11170920"/>
          <a:ext cx="2114727" cy="0"/>
        </a:xfrm>
        <a:prstGeom prst="rect">
          <a:avLst/>
        </a:prstGeom>
        <a:noFill/>
        <a:ln>
          <a:noFill/>
          <a:prstDash val="solid"/>
        </a:ln>
      </xdr:spPr>
    </xdr:pic>
    <xdr:clientData/>
  </xdr:twoCellAnchor>
  <xdr:twoCellAnchor editAs="oneCell">
    <xdr:from>
      <xdr:col>2</xdr:col>
      <xdr:colOff>1546860</xdr:colOff>
      <xdr:row>35</xdr:row>
      <xdr:rowOff>0</xdr:rowOff>
    </xdr:from>
    <xdr:to>
      <xdr:col>10</xdr:col>
      <xdr:colOff>80187</xdr:colOff>
      <xdr:row>35</xdr:row>
      <xdr:rowOff>0</xdr:rowOff>
    </xdr:to>
    <xdr:pic>
      <xdr:nvPicPr>
        <xdr:cNvPr id="8" name="Picture 2">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1"/>
        <a:srcRect/>
        <a:stretch>
          <a:fillRect/>
        </a:stretch>
      </xdr:blipFill>
      <xdr:spPr bwMode="auto">
        <a:xfrm>
          <a:off x="2019300" y="11170920"/>
          <a:ext cx="2114727" cy="0"/>
        </a:xfrm>
        <a:prstGeom prst="rect">
          <a:avLst/>
        </a:prstGeom>
        <a:noFill/>
        <a:ln>
          <a:noFill/>
          <a:prstDash val="solid"/>
        </a:ln>
      </xdr:spPr>
    </xdr:pic>
    <xdr:clientData/>
  </xdr:twoCellAnchor>
  <xdr:twoCellAnchor editAs="oneCell">
    <xdr:from>
      <xdr:col>2</xdr:col>
      <xdr:colOff>1546860</xdr:colOff>
      <xdr:row>35</xdr:row>
      <xdr:rowOff>0</xdr:rowOff>
    </xdr:from>
    <xdr:to>
      <xdr:col>10</xdr:col>
      <xdr:colOff>80187</xdr:colOff>
      <xdr:row>35</xdr:row>
      <xdr:rowOff>0</xdr:rowOff>
    </xdr:to>
    <xdr:pic>
      <xdr:nvPicPr>
        <xdr:cNvPr id="9" name="Picture 3">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1"/>
        <a:srcRect/>
        <a:stretch>
          <a:fillRect/>
        </a:stretch>
      </xdr:blipFill>
      <xdr:spPr bwMode="auto">
        <a:xfrm>
          <a:off x="2019300" y="11170920"/>
          <a:ext cx="2114727" cy="0"/>
        </a:xfrm>
        <a:prstGeom prst="rect">
          <a:avLst/>
        </a:prstGeom>
        <a:noFill/>
        <a:ln>
          <a:noFill/>
          <a:prstDash val="solid"/>
        </a:ln>
      </xdr:spPr>
    </xdr:pic>
    <xdr:clientData/>
  </xdr:twoCellAnchor>
  <xdr:twoCellAnchor editAs="oneCell">
    <xdr:from>
      <xdr:col>2</xdr:col>
      <xdr:colOff>1546860</xdr:colOff>
      <xdr:row>35</xdr:row>
      <xdr:rowOff>0</xdr:rowOff>
    </xdr:from>
    <xdr:to>
      <xdr:col>10</xdr:col>
      <xdr:colOff>80187</xdr:colOff>
      <xdr:row>35</xdr:row>
      <xdr:rowOff>0</xdr:rowOff>
    </xdr:to>
    <xdr:pic>
      <xdr:nvPicPr>
        <xdr:cNvPr id="10" name="Picture 2">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1"/>
        <a:srcRect/>
        <a:stretch>
          <a:fillRect/>
        </a:stretch>
      </xdr:blipFill>
      <xdr:spPr bwMode="auto">
        <a:xfrm>
          <a:off x="2019300" y="11170920"/>
          <a:ext cx="2114727" cy="0"/>
        </a:xfrm>
        <a:prstGeom prst="rect">
          <a:avLst/>
        </a:prstGeom>
        <a:noFill/>
        <a:ln>
          <a:noFill/>
          <a:prstDash val="solid"/>
        </a:ln>
      </xdr:spPr>
    </xdr:pic>
    <xdr:clientData/>
  </xdr:twoCellAnchor>
  <xdr:twoCellAnchor editAs="oneCell">
    <xdr:from>
      <xdr:col>2</xdr:col>
      <xdr:colOff>1546860</xdr:colOff>
      <xdr:row>35</xdr:row>
      <xdr:rowOff>0</xdr:rowOff>
    </xdr:from>
    <xdr:to>
      <xdr:col>10</xdr:col>
      <xdr:colOff>80187</xdr:colOff>
      <xdr:row>35</xdr:row>
      <xdr:rowOff>0</xdr:rowOff>
    </xdr:to>
    <xdr:pic>
      <xdr:nvPicPr>
        <xdr:cNvPr id="11" name="Picture 3">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1"/>
        <a:srcRect/>
        <a:stretch>
          <a:fillRect/>
        </a:stretch>
      </xdr:blipFill>
      <xdr:spPr bwMode="auto">
        <a:xfrm>
          <a:off x="2019300" y="11170920"/>
          <a:ext cx="2114727" cy="0"/>
        </a:xfrm>
        <a:prstGeom prst="rect">
          <a:avLst/>
        </a:prstGeom>
        <a:noFill/>
        <a:ln>
          <a:noFill/>
          <a:prstDash val="solid"/>
        </a:ln>
      </xdr:spPr>
    </xdr:pic>
    <xdr:clientData/>
  </xdr:twoCellAnchor>
  <xdr:twoCellAnchor editAs="oneCell">
    <xdr:from>
      <xdr:col>7</xdr:col>
      <xdr:colOff>40005</xdr:colOff>
      <xdr:row>17</xdr:row>
      <xdr:rowOff>1257300</xdr:rowOff>
    </xdr:from>
    <xdr:to>
      <xdr:col>12</xdr:col>
      <xdr:colOff>80187</xdr:colOff>
      <xdr:row>17</xdr:row>
      <xdr:rowOff>1257300</xdr:rowOff>
    </xdr:to>
    <xdr:pic>
      <xdr:nvPicPr>
        <xdr:cNvPr id="13" name="Picture 3">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1"/>
        <a:srcRect/>
        <a:stretch>
          <a:fillRect/>
        </a:stretch>
      </xdr:blipFill>
      <xdr:spPr bwMode="auto">
        <a:xfrm>
          <a:off x="2973705" y="15621000"/>
          <a:ext cx="2097582" cy="0"/>
        </a:xfrm>
        <a:prstGeom prst="rect">
          <a:avLst/>
        </a:prstGeom>
        <a:noFill/>
        <a:ln>
          <a:noFill/>
          <a:prstDash val="solid"/>
        </a:ln>
      </xdr:spPr>
    </xdr:pic>
    <xdr:clientData/>
  </xdr:twoCellAnchor>
  <xdr:twoCellAnchor editAs="oneCell">
    <xdr:from>
      <xdr:col>2</xdr:col>
      <xdr:colOff>1546860</xdr:colOff>
      <xdr:row>35</xdr:row>
      <xdr:rowOff>0</xdr:rowOff>
    </xdr:from>
    <xdr:to>
      <xdr:col>7</xdr:col>
      <xdr:colOff>113564</xdr:colOff>
      <xdr:row>35</xdr:row>
      <xdr:rowOff>0</xdr:rowOff>
    </xdr:to>
    <xdr:pic>
      <xdr:nvPicPr>
        <xdr:cNvPr id="14" name="Picture 2">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1"/>
        <a:srcRect/>
        <a:stretch>
          <a:fillRect/>
        </a:stretch>
      </xdr:blipFill>
      <xdr:spPr bwMode="auto">
        <a:xfrm>
          <a:off x="2019300" y="11170920"/>
          <a:ext cx="1035584" cy="0"/>
        </a:xfrm>
        <a:prstGeom prst="rect">
          <a:avLst/>
        </a:prstGeom>
        <a:noFill/>
        <a:ln>
          <a:noFill/>
          <a:prstDash val="solid"/>
        </a:ln>
      </xdr:spPr>
    </xdr:pic>
    <xdr:clientData/>
  </xdr:twoCellAnchor>
  <xdr:twoCellAnchor editAs="oneCell">
    <xdr:from>
      <xdr:col>2</xdr:col>
      <xdr:colOff>1546860</xdr:colOff>
      <xdr:row>35</xdr:row>
      <xdr:rowOff>0</xdr:rowOff>
    </xdr:from>
    <xdr:to>
      <xdr:col>7</xdr:col>
      <xdr:colOff>113564</xdr:colOff>
      <xdr:row>35</xdr:row>
      <xdr:rowOff>0</xdr:rowOff>
    </xdr:to>
    <xdr:pic>
      <xdr:nvPicPr>
        <xdr:cNvPr id="15" name="Picture 3">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1"/>
        <a:srcRect/>
        <a:stretch>
          <a:fillRect/>
        </a:stretch>
      </xdr:blipFill>
      <xdr:spPr bwMode="auto">
        <a:xfrm>
          <a:off x="2019300" y="11170920"/>
          <a:ext cx="1035584" cy="0"/>
        </a:xfrm>
        <a:prstGeom prst="rect">
          <a:avLst/>
        </a:prstGeom>
        <a:noFill/>
        <a:ln>
          <a:noFill/>
          <a:prstDash val="solid"/>
        </a:ln>
      </xdr:spPr>
    </xdr:pic>
    <xdr:clientData/>
  </xdr:twoCellAnchor>
  <xdr:twoCellAnchor editAs="oneCell">
    <xdr:from>
      <xdr:col>2</xdr:col>
      <xdr:colOff>1546860</xdr:colOff>
      <xdr:row>35</xdr:row>
      <xdr:rowOff>0</xdr:rowOff>
    </xdr:from>
    <xdr:to>
      <xdr:col>7</xdr:col>
      <xdr:colOff>113564</xdr:colOff>
      <xdr:row>35</xdr:row>
      <xdr:rowOff>0</xdr:rowOff>
    </xdr:to>
    <xdr:pic>
      <xdr:nvPicPr>
        <xdr:cNvPr id="16" name="Picture 2">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1"/>
        <a:srcRect/>
        <a:stretch>
          <a:fillRect/>
        </a:stretch>
      </xdr:blipFill>
      <xdr:spPr bwMode="auto">
        <a:xfrm>
          <a:off x="2019300" y="11170920"/>
          <a:ext cx="1035584" cy="0"/>
        </a:xfrm>
        <a:prstGeom prst="rect">
          <a:avLst/>
        </a:prstGeom>
        <a:noFill/>
        <a:ln>
          <a:noFill/>
          <a:prstDash val="solid"/>
        </a:ln>
      </xdr:spPr>
    </xdr:pic>
    <xdr:clientData/>
  </xdr:twoCellAnchor>
  <xdr:twoCellAnchor editAs="oneCell">
    <xdr:from>
      <xdr:col>2</xdr:col>
      <xdr:colOff>1546860</xdr:colOff>
      <xdr:row>35</xdr:row>
      <xdr:rowOff>0</xdr:rowOff>
    </xdr:from>
    <xdr:to>
      <xdr:col>7</xdr:col>
      <xdr:colOff>113564</xdr:colOff>
      <xdr:row>35</xdr:row>
      <xdr:rowOff>0</xdr:rowOff>
    </xdr:to>
    <xdr:pic>
      <xdr:nvPicPr>
        <xdr:cNvPr id="17" name="Picture 3">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1"/>
        <a:srcRect/>
        <a:stretch>
          <a:fillRect/>
        </a:stretch>
      </xdr:blipFill>
      <xdr:spPr bwMode="auto">
        <a:xfrm>
          <a:off x="2019300" y="11170920"/>
          <a:ext cx="1035584" cy="0"/>
        </a:xfrm>
        <a:prstGeom prst="rect">
          <a:avLst/>
        </a:prstGeom>
        <a:noFill/>
        <a:ln>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505125</xdr:colOff>
      <xdr:row>10</xdr:row>
      <xdr:rowOff>96045</xdr:rowOff>
    </xdr:from>
    <xdr:to>
      <xdr:col>11</xdr:col>
      <xdr:colOff>444635</xdr:colOff>
      <xdr:row>42</xdr:row>
      <xdr:rowOff>18277</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1727674" y="1770770"/>
          <a:ext cx="5440983" cy="5281353"/>
        </a:xfrm>
        <a:prstGeom prst="rect">
          <a:avLst/>
        </a:prstGeom>
        <a:ln>
          <a:prstDash val="solid"/>
        </a:ln>
      </xdr:spPr>
    </xdr:pic>
    <xdr:clientData/>
  </xdr:twoCellAnchor>
  <xdr:twoCellAnchor editAs="oneCell">
    <xdr:from>
      <xdr:col>11</xdr:col>
      <xdr:colOff>525780</xdr:colOff>
      <xdr:row>3</xdr:row>
      <xdr:rowOff>15240</xdr:rowOff>
    </xdr:from>
    <xdr:to>
      <xdr:col>17</xdr:col>
      <xdr:colOff>40445</xdr:colOff>
      <xdr:row>12</xdr:row>
      <xdr:rowOff>38100</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rotWithShape="1">
        <a:blip xmlns:r="http://schemas.openxmlformats.org/officeDocument/2006/relationships" r:embed="rId2"/>
        <a:srcRect b="52414"/>
        <a:stretch>
          <a:fillRect/>
        </a:stretch>
      </xdr:blipFill>
      <xdr:spPr>
        <a:xfrm>
          <a:off x="7231380" y="533400"/>
          <a:ext cx="3172265" cy="1577340"/>
        </a:xfrm>
        <a:prstGeom prst="rect">
          <a:avLst/>
        </a:prstGeom>
        <a:ln>
          <a:prstDash val="solid"/>
        </a:ln>
      </xdr:spPr>
    </xdr:pic>
    <xdr:clientData/>
  </xdr:twoCellAnchor>
  <xdr:twoCellAnchor editAs="oneCell">
    <xdr:from>
      <xdr:col>2</xdr:col>
      <xdr:colOff>325120</xdr:colOff>
      <xdr:row>2</xdr:row>
      <xdr:rowOff>81280</xdr:rowOff>
    </xdr:from>
    <xdr:to>
      <xdr:col>7</xdr:col>
      <xdr:colOff>60960</xdr:colOff>
      <xdr:row>10</xdr:row>
      <xdr:rowOff>142240</xdr:rowOff>
    </xdr:to>
    <xdr:pic>
      <xdr:nvPicPr>
        <xdr:cNvPr id="4" name="Picture 3">
          <a:extLst>
            <a:ext uri="{FF2B5EF4-FFF2-40B4-BE49-F238E27FC236}">
              <a16:creationId xmlns:a16="http://schemas.microsoft.com/office/drawing/2014/main" id="{00000000-0008-0000-0F00-000004000000}"/>
            </a:ext>
          </a:extLst>
        </xdr:cNvPr>
        <xdr:cNvPicPr>
          <a:picLocks noChangeAspect="1"/>
        </xdr:cNvPicPr>
      </xdr:nvPicPr>
      <xdr:blipFill rotWithShape="1">
        <a:blip xmlns:r="http://schemas.openxmlformats.org/officeDocument/2006/relationships" r:embed="rId3"/>
        <a:srcRect r="10017" b="13833"/>
        <a:stretch>
          <a:fillRect/>
        </a:stretch>
      </xdr:blipFill>
      <xdr:spPr>
        <a:xfrm>
          <a:off x="1544320" y="426720"/>
          <a:ext cx="2783840" cy="144272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1546860</xdr:colOff>
      <xdr:row>21</xdr:row>
      <xdr:rowOff>0</xdr:rowOff>
    </xdr:from>
    <xdr:to>
      <xdr:col>11</xdr:col>
      <xdr:colOff>262319</xdr:colOff>
      <xdr:row>21</xdr:row>
      <xdr:rowOff>0</xdr:rowOff>
    </xdr:to>
    <xdr:pic>
      <xdr:nvPicPr>
        <xdr:cNvPr id="2" name="Picture 2">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rcRect/>
        <a:stretch>
          <a:fillRect/>
        </a:stretch>
      </xdr:blipFill>
      <xdr:spPr bwMode="auto">
        <a:xfrm>
          <a:off x="1965960" y="7543800"/>
          <a:ext cx="2990279" cy="0"/>
        </a:xfrm>
        <a:prstGeom prst="rect">
          <a:avLst/>
        </a:prstGeom>
        <a:noFill/>
        <a:ln>
          <a:noFill/>
          <a:prstDash val="solid"/>
        </a:ln>
      </xdr:spPr>
    </xdr:pic>
    <xdr:clientData/>
  </xdr:twoCellAnchor>
  <xdr:twoCellAnchor editAs="oneCell">
    <xdr:from>
      <xdr:col>2</xdr:col>
      <xdr:colOff>1546860</xdr:colOff>
      <xdr:row>21</xdr:row>
      <xdr:rowOff>0</xdr:rowOff>
    </xdr:from>
    <xdr:to>
      <xdr:col>11</xdr:col>
      <xdr:colOff>262319</xdr:colOff>
      <xdr:row>21</xdr:row>
      <xdr:rowOff>0</xdr:rowOff>
    </xdr:to>
    <xdr:pic>
      <xdr:nvPicPr>
        <xdr:cNvPr id="3" name="Picture 3">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srcRect/>
        <a:stretch>
          <a:fillRect/>
        </a:stretch>
      </xdr:blipFill>
      <xdr:spPr bwMode="auto">
        <a:xfrm>
          <a:off x="1965960" y="7543800"/>
          <a:ext cx="2990279" cy="0"/>
        </a:xfrm>
        <a:prstGeom prst="rect">
          <a:avLst/>
        </a:prstGeom>
        <a:noFill/>
        <a:ln>
          <a:noFill/>
          <a:prstDash val="solid"/>
        </a:ln>
      </xdr:spPr>
    </xdr:pic>
    <xdr:clientData/>
  </xdr:twoCellAnchor>
  <xdr:twoCellAnchor editAs="oneCell">
    <xdr:from>
      <xdr:col>2</xdr:col>
      <xdr:colOff>1546860</xdr:colOff>
      <xdr:row>21</xdr:row>
      <xdr:rowOff>0</xdr:rowOff>
    </xdr:from>
    <xdr:to>
      <xdr:col>11</xdr:col>
      <xdr:colOff>262319</xdr:colOff>
      <xdr:row>21</xdr:row>
      <xdr:rowOff>0</xdr:rowOff>
    </xdr:to>
    <xdr:pic>
      <xdr:nvPicPr>
        <xdr:cNvPr id="4" name="Picture 2">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1"/>
        <a:srcRect/>
        <a:stretch>
          <a:fillRect/>
        </a:stretch>
      </xdr:blipFill>
      <xdr:spPr bwMode="auto">
        <a:xfrm>
          <a:off x="1965960" y="7543800"/>
          <a:ext cx="2990279" cy="0"/>
        </a:xfrm>
        <a:prstGeom prst="rect">
          <a:avLst/>
        </a:prstGeom>
        <a:noFill/>
        <a:ln>
          <a:noFill/>
          <a:prstDash val="solid"/>
        </a:ln>
      </xdr:spPr>
    </xdr:pic>
    <xdr:clientData/>
  </xdr:twoCellAnchor>
  <xdr:twoCellAnchor editAs="oneCell">
    <xdr:from>
      <xdr:col>2</xdr:col>
      <xdr:colOff>1546860</xdr:colOff>
      <xdr:row>21</xdr:row>
      <xdr:rowOff>0</xdr:rowOff>
    </xdr:from>
    <xdr:to>
      <xdr:col>11</xdr:col>
      <xdr:colOff>262319</xdr:colOff>
      <xdr:row>21</xdr:row>
      <xdr:rowOff>0</xdr:rowOff>
    </xdr:to>
    <xdr:pic>
      <xdr:nvPicPr>
        <xdr:cNvPr id="5" name="Picture 3">
          <a:extLst>
            <a:ext uri="{FF2B5EF4-FFF2-40B4-BE49-F238E27FC236}">
              <a16:creationId xmlns:a16="http://schemas.microsoft.com/office/drawing/2014/main" id="{00000000-0008-0000-1000-000005000000}"/>
            </a:ext>
          </a:extLst>
        </xdr:cNvPr>
        <xdr:cNvPicPr>
          <a:picLocks noChangeAspect="1"/>
        </xdr:cNvPicPr>
      </xdr:nvPicPr>
      <xdr:blipFill>
        <a:blip xmlns:r="http://schemas.openxmlformats.org/officeDocument/2006/relationships" r:embed="rId1"/>
        <a:srcRect/>
        <a:stretch>
          <a:fillRect/>
        </a:stretch>
      </xdr:blipFill>
      <xdr:spPr bwMode="auto">
        <a:xfrm>
          <a:off x="1965960" y="7543800"/>
          <a:ext cx="2990279" cy="0"/>
        </a:xfrm>
        <a:prstGeom prst="rect">
          <a:avLst/>
        </a:prstGeom>
        <a:noFill/>
        <a:ln>
          <a:noFill/>
          <a:prstDash val="solid"/>
        </a:ln>
      </xdr:spPr>
    </xdr:pic>
    <xdr:clientData/>
  </xdr:twoCellAnchor>
  <xdr:twoCellAnchor editAs="oneCell">
    <xdr:from>
      <xdr:col>2</xdr:col>
      <xdr:colOff>1546860</xdr:colOff>
      <xdr:row>21</xdr:row>
      <xdr:rowOff>0</xdr:rowOff>
    </xdr:from>
    <xdr:to>
      <xdr:col>10</xdr:col>
      <xdr:colOff>94678</xdr:colOff>
      <xdr:row>21</xdr:row>
      <xdr:rowOff>0</xdr:rowOff>
    </xdr:to>
    <xdr:pic>
      <xdr:nvPicPr>
        <xdr:cNvPr id="6" name="Picture 2">
          <a:extLst>
            <a:ext uri="{FF2B5EF4-FFF2-40B4-BE49-F238E27FC236}">
              <a16:creationId xmlns:a16="http://schemas.microsoft.com/office/drawing/2014/main" id="{00000000-0008-0000-1000-000006000000}"/>
            </a:ext>
          </a:extLst>
        </xdr:cNvPr>
        <xdr:cNvPicPr>
          <a:picLocks noChangeAspect="1"/>
        </xdr:cNvPicPr>
      </xdr:nvPicPr>
      <xdr:blipFill>
        <a:blip xmlns:r="http://schemas.openxmlformats.org/officeDocument/2006/relationships" r:embed="rId1"/>
        <a:srcRect/>
        <a:stretch>
          <a:fillRect/>
        </a:stretch>
      </xdr:blipFill>
      <xdr:spPr bwMode="auto">
        <a:xfrm>
          <a:off x="1965960" y="7543800"/>
          <a:ext cx="2152078" cy="0"/>
        </a:xfrm>
        <a:prstGeom prst="rect">
          <a:avLst/>
        </a:prstGeom>
        <a:noFill/>
        <a:ln>
          <a:noFill/>
          <a:prstDash val="solid"/>
        </a:ln>
      </xdr:spPr>
    </xdr:pic>
    <xdr:clientData/>
  </xdr:twoCellAnchor>
  <xdr:twoCellAnchor editAs="oneCell">
    <xdr:from>
      <xdr:col>2</xdr:col>
      <xdr:colOff>1546860</xdr:colOff>
      <xdr:row>21</xdr:row>
      <xdr:rowOff>0</xdr:rowOff>
    </xdr:from>
    <xdr:to>
      <xdr:col>10</xdr:col>
      <xdr:colOff>94678</xdr:colOff>
      <xdr:row>21</xdr:row>
      <xdr:rowOff>0</xdr:rowOff>
    </xdr:to>
    <xdr:pic>
      <xdr:nvPicPr>
        <xdr:cNvPr id="7" name="Picture 3">
          <a:extLst>
            <a:ext uri="{FF2B5EF4-FFF2-40B4-BE49-F238E27FC236}">
              <a16:creationId xmlns:a16="http://schemas.microsoft.com/office/drawing/2014/main" id="{00000000-0008-0000-1000-000007000000}"/>
            </a:ext>
          </a:extLst>
        </xdr:cNvPr>
        <xdr:cNvPicPr>
          <a:picLocks noChangeAspect="1"/>
        </xdr:cNvPicPr>
      </xdr:nvPicPr>
      <xdr:blipFill>
        <a:blip xmlns:r="http://schemas.openxmlformats.org/officeDocument/2006/relationships" r:embed="rId1"/>
        <a:srcRect/>
        <a:stretch>
          <a:fillRect/>
        </a:stretch>
      </xdr:blipFill>
      <xdr:spPr bwMode="auto">
        <a:xfrm>
          <a:off x="1965960" y="7543800"/>
          <a:ext cx="2152078" cy="0"/>
        </a:xfrm>
        <a:prstGeom prst="rect">
          <a:avLst/>
        </a:prstGeom>
        <a:noFill/>
        <a:ln>
          <a:noFill/>
          <a:prstDash val="solid"/>
        </a:ln>
      </xdr:spPr>
    </xdr:pic>
    <xdr:clientData/>
  </xdr:twoCellAnchor>
  <xdr:twoCellAnchor editAs="oneCell">
    <xdr:from>
      <xdr:col>2</xdr:col>
      <xdr:colOff>1546860</xdr:colOff>
      <xdr:row>21</xdr:row>
      <xdr:rowOff>0</xdr:rowOff>
    </xdr:from>
    <xdr:to>
      <xdr:col>10</xdr:col>
      <xdr:colOff>94678</xdr:colOff>
      <xdr:row>21</xdr:row>
      <xdr:rowOff>0</xdr:rowOff>
    </xdr:to>
    <xdr:pic>
      <xdr:nvPicPr>
        <xdr:cNvPr id="8" name="Picture 2">
          <a:extLst>
            <a:ext uri="{FF2B5EF4-FFF2-40B4-BE49-F238E27FC236}">
              <a16:creationId xmlns:a16="http://schemas.microsoft.com/office/drawing/2014/main" id="{00000000-0008-0000-1000-000008000000}"/>
            </a:ext>
          </a:extLst>
        </xdr:cNvPr>
        <xdr:cNvPicPr>
          <a:picLocks noChangeAspect="1"/>
        </xdr:cNvPicPr>
      </xdr:nvPicPr>
      <xdr:blipFill>
        <a:blip xmlns:r="http://schemas.openxmlformats.org/officeDocument/2006/relationships" r:embed="rId1"/>
        <a:srcRect/>
        <a:stretch>
          <a:fillRect/>
        </a:stretch>
      </xdr:blipFill>
      <xdr:spPr bwMode="auto">
        <a:xfrm>
          <a:off x="1965960" y="7543800"/>
          <a:ext cx="2152078" cy="0"/>
        </a:xfrm>
        <a:prstGeom prst="rect">
          <a:avLst/>
        </a:prstGeom>
        <a:noFill/>
        <a:ln>
          <a:noFill/>
          <a:prstDash val="solid"/>
        </a:ln>
      </xdr:spPr>
    </xdr:pic>
    <xdr:clientData/>
  </xdr:twoCellAnchor>
  <xdr:twoCellAnchor editAs="oneCell">
    <xdr:from>
      <xdr:col>2</xdr:col>
      <xdr:colOff>1546860</xdr:colOff>
      <xdr:row>21</xdr:row>
      <xdr:rowOff>0</xdr:rowOff>
    </xdr:from>
    <xdr:to>
      <xdr:col>10</xdr:col>
      <xdr:colOff>94678</xdr:colOff>
      <xdr:row>21</xdr:row>
      <xdr:rowOff>0</xdr:rowOff>
    </xdr:to>
    <xdr:pic>
      <xdr:nvPicPr>
        <xdr:cNvPr id="9" name="Picture 3">
          <a:extLst>
            <a:ext uri="{FF2B5EF4-FFF2-40B4-BE49-F238E27FC236}">
              <a16:creationId xmlns:a16="http://schemas.microsoft.com/office/drawing/2014/main" id="{00000000-0008-0000-1000-000009000000}"/>
            </a:ext>
          </a:extLst>
        </xdr:cNvPr>
        <xdr:cNvPicPr>
          <a:picLocks noChangeAspect="1"/>
        </xdr:cNvPicPr>
      </xdr:nvPicPr>
      <xdr:blipFill>
        <a:blip xmlns:r="http://schemas.openxmlformats.org/officeDocument/2006/relationships" r:embed="rId1"/>
        <a:srcRect/>
        <a:stretch>
          <a:fillRect/>
        </a:stretch>
      </xdr:blipFill>
      <xdr:spPr bwMode="auto">
        <a:xfrm>
          <a:off x="1965960" y="7543800"/>
          <a:ext cx="2152078" cy="0"/>
        </a:xfrm>
        <a:prstGeom prst="rect">
          <a:avLst/>
        </a:prstGeom>
        <a:noFill/>
        <a:ln>
          <a:noFill/>
          <a:prstDash val="solid"/>
        </a:ln>
      </xdr:spPr>
    </xdr:pic>
    <xdr:clientData/>
  </xdr:twoCellAnchor>
  <xdr:twoCellAnchor editAs="oneCell">
    <xdr:from>
      <xdr:col>2</xdr:col>
      <xdr:colOff>1546860</xdr:colOff>
      <xdr:row>21</xdr:row>
      <xdr:rowOff>0</xdr:rowOff>
    </xdr:from>
    <xdr:to>
      <xdr:col>10</xdr:col>
      <xdr:colOff>94678</xdr:colOff>
      <xdr:row>21</xdr:row>
      <xdr:rowOff>0</xdr:rowOff>
    </xdr:to>
    <xdr:pic>
      <xdr:nvPicPr>
        <xdr:cNvPr id="10" name="Picture 2">
          <a:extLst>
            <a:ext uri="{FF2B5EF4-FFF2-40B4-BE49-F238E27FC236}">
              <a16:creationId xmlns:a16="http://schemas.microsoft.com/office/drawing/2014/main" id="{00000000-0008-0000-1000-00000A000000}"/>
            </a:ext>
          </a:extLst>
        </xdr:cNvPr>
        <xdr:cNvPicPr>
          <a:picLocks noChangeAspect="1"/>
        </xdr:cNvPicPr>
      </xdr:nvPicPr>
      <xdr:blipFill>
        <a:blip xmlns:r="http://schemas.openxmlformats.org/officeDocument/2006/relationships" r:embed="rId1"/>
        <a:srcRect/>
        <a:stretch>
          <a:fillRect/>
        </a:stretch>
      </xdr:blipFill>
      <xdr:spPr bwMode="auto">
        <a:xfrm>
          <a:off x="1965960" y="7543800"/>
          <a:ext cx="2152078" cy="0"/>
        </a:xfrm>
        <a:prstGeom prst="rect">
          <a:avLst/>
        </a:prstGeom>
        <a:noFill/>
        <a:ln>
          <a:noFill/>
          <a:prstDash val="solid"/>
        </a:ln>
      </xdr:spPr>
    </xdr:pic>
    <xdr:clientData/>
  </xdr:twoCellAnchor>
  <xdr:twoCellAnchor editAs="oneCell">
    <xdr:from>
      <xdr:col>2</xdr:col>
      <xdr:colOff>1546860</xdr:colOff>
      <xdr:row>21</xdr:row>
      <xdr:rowOff>0</xdr:rowOff>
    </xdr:from>
    <xdr:to>
      <xdr:col>10</xdr:col>
      <xdr:colOff>94678</xdr:colOff>
      <xdr:row>21</xdr:row>
      <xdr:rowOff>0</xdr:rowOff>
    </xdr:to>
    <xdr:pic>
      <xdr:nvPicPr>
        <xdr:cNvPr id="11" name="Picture 3">
          <a:extLst>
            <a:ext uri="{FF2B5EF4-FFF2-40B4-BE49-F238E27FC236}">
              <a16:creationId xmlns:a16="http://schemas.microsoft.com/office/drawing/2014/main" id="{00000000-0008-0000-1000-00000B000000}"/>
            </a:ext>
          </a:extLst>
        </xdr:cNvPr>
        <xdr:cNvPicPr>
          <a:picLocks noChangeAspect="1"/>
        </xdr:cNvPicPr>
      </xdr:nvPicPr>
      <xdr:blipFill>
        <a:blip xmlns:r="http://schemas.openxmlformats.org/officeDocument/2006/relationships" r:embed="rId1"/>
        <a:srcRect/>
        <a:stretch>
          <a:fillRect/>
        </a:stretch>
      </xdr:blipFill>
      <xdr:spPr bwMode="auto">
        <a:xfrm>
          <a:off x="1965960" y="7543800"/>
          <a:ext cx="2152078" cy="0"/>
        </a:xfrm>
        <a:prstGeom prst="rect">
          <a:avLst/>
        </a:prstGeom>
        <a:noFill/>
        <a:ln>
          <a:noFill/>
          <a:prstDash val="solid"/>
        </a:ln>
      </xdr:spPr>
    </xdr:pic>
    <xdr:clientData/>
  </xdr:twoCellAnchor>
  <xdr:twoCellAnchor editAs="oneCell">
    <xdr:from>
      <xdr:col>2</xdr:col>
      <xdr:colOff>1546860</xdr:colOff>
      <xdr:row>21</xdr:row>
      <xdr:rowOff>0</xdr:rowOff>
    </xdr:from>
    <xdr:to>
      <xdr:col>10</xdr:col>
      <xdr:colOff>94678</xdr:colOff>
      <xdr:row>21</xdr:row>
      <xdr:rowOff>0</xdr:rowOff>
    </xdr:to>
    <xdr:pic>
      <xdr:nvPicPr>
        <xdr:cNvPr id="12" name="Picture 2">
          <a:extLst>
            <a:ext uri="{FF2B5EF4-FFF2-40B4-BE49-F238E27FC236}">
              <a16:creationId xmlns:a16="http://schemas.microsoft.com/office/drawing/2014/main" id="{00000000-0008-0000-1000-00000C000000}"/>
            </a:ext>
          </a:extLst>
        </xdr:cNvPr>
        <xdr:cNvPicPr>
          <a:picLocks noChangeAspect="1"/>
        </xdr:cNvPicPr>
      </xdr:nvPicPr>
      <xdr:blipFill>
        <a:blip xmlns:r="http://schemas.openxmlformats.org/officeDocument/2006/relationships" r:embed="rId1"/>
        <a:srcRect/>
        <a:stretch>
          <a:fillRect/>
        </a:stretch>
      </xdr:blipFill>
      <xdr:spPr bwMode="auto">
        <a:xfrm>
          <a:off x="1965960" y="7543800"/>
          <a:ext cx="2152078" cy="0"/>
        </a:xfrm>
        <a:prstGeom prst="rect">
          <a:avLst/>
        </a:prstGeom>
        <a:noFill/>
        <a:ln>
          <a:noFill/>
          <a:prstDash val="solid"/>
        </a:ln>
      </xdr:spPr>
    </xdr:pic>
    <xdr:clientData/>
  </xdr:twoCellAnchor>
  <xdr:twoCellAnchor editAs="oneCell">
    <xdr:from>
      <xdr:col>2</xdr:col>
      <xdr:colOff>1546860</xdr:colOff>
      <xdr:row>21</xdr:row>
      <xdr:rowOff>0</xdr:rowOff>
    </xdr:from>
    <xdr:to>
      <xdr:col>10</xdr:col>
      <xdr:colOff>94678</xdr:colOff>
      <xdr:row>21</xdr:row>
      <xdr:rowOff>0</xdr:rowOff>
    </xdr:to>
    <xdr:pic>
      <xdr:nvPicPr>
        <xdr:cNvPr id="13" name="Picture 3">
          <a:extLst>
            <a:ext uri="{FF2B5EF4-FFF2-40B4-BE49-F238E27FC236}">
              <a16:creationId xmlns:a16="http://schemas.microsoft.com/office/drawing/2014/main" id="{00000000-0008-0000-1000-00000D000000}"/>
            </a:ext>
          </a:extLst>
        </xdr:cNvPr>
        <xdr:cNvPicPr>
          <a:picLocks noChangeAspect="1"/>
        </xdr:cNvPicPr>
      </xdr:nvPicPr>
      <xdr:blipFill>
        <a:blip xmlns:r="http://schemas.openxmlformats.org/officeDocument/2006/relationships" r:embed="rId1"/>
        <a:srcRect/>
        <a:stretch>
          <a:fillRect/>
        </a:stretch>
      </xdr:blipFill>
      <xdr:spPr bwMode="auto">
        <a:xfrm>
          <a:off x="1965960" y="7543800"/>
          <a:ext cx="2152078" cy="0"/>
        </a:xfrm>
        <a:prstGeom prst="rect">
          <a:avLst/>
        </a:prstGeom>
        <a:noFill/>
        <a:ln>
          <a:noFill/>
          <a:prstDash val="solid"/>
        </a:ln>
      </xdr:spPr>
    </xdr:pic>
    <xdr:clientData/>
  </xdr:twoCellAnchor>
  <xdr:twoCellAnchor editAs="oneCell">
    <xdr:from>
      <xdr:col>2</xdr:col>
      <xdr:colOff>1546860</xdr:colOff>
      <xdr:row>21</xdr:row>
      <xdr:rowOff>0</xdr:rowOff>
    </xdr:from>
    <xdr:to>
      <xdr:col>5</xdr:col>
      <xdr:colOff>167054</xdr:colOff>
      <xdr:row>21</xdr:row>
      <xdr:rowOff>0</xdr:rowOff>
    </xdr:to>
    <xdr:pic>
      <xdr:nvPicPr>
        <xdr:cNvPr id="14" name="Picture 2">
          <a:extLst>
            <a:ext uri="{FF2B5EF4-FFF2-40B4-BE49-F238E27FC236}">
              <a16:creationId xmlns:a16="http://schemas.microsoft.com/office/drawing/2014/main" id="{00000000-0008-0000-1000-00000E000000}"/>
            </a:ext>
          </a:extLst>
        </xdr:cNvPr>
        <xdr:cNvPicPr>
          <a:picLocks noChangeAspect="1"/>
        </xdr:cNvPicPr>
      </xdr:nvPicPr>
      <xdr:blipFill>
        <a:blip xmlns:r="http://schemas.openxmlformats.org/officeDocument/2006/relationships" r:embed="rId1"/>
        <a:srcRect/>
        <a:stretch>
          <a:fillRect/>
        </a:stretch>
      </xdr:blipFill>
      <xdr:spPr bwMode="auto">
        <a:xfrm>
          <a:off x="1965960" y="7543800"/>
          <a:ext cx="1050974" cy="0"/>
        </a:xfrm>
        <a:prstGeom prst="rect">
          <a:avLst/>
        </a:prstGeom>
        <a:noFill/>
        <a:ln>
          <a:noFill/>
          <a:prstDash val="solid"/>
        </a:ln>
      </xdr:spPr>
    </xdr:pic>
    <xdr:clientData/>
  </xdr:twoCellAnchor>
  <xdr:twoCellAnchor editAs="oneCell">
    <xdr:from>
      <xdr:col>2</xdr:col>
      <xdr:colOff>1546860</xdr:colOff>
      <xdr:row>21</xdr:row>
      <xdr:rowOff>0</xdr:rowOff>
    </xdr:from>
    <xdr:to>
      <xdr:col>5</xdr:col>
      <xdr:colOff>167054</xdr:colOff>
      <xdr:row>21</xdr:row>
      <xdr:rowOff>0</xdr:rowOff>
    </xdr:to>
    <xdr:pic>
      <xdr:nvPicPr>
        <xdr:cNvPr id="15" name="Picture 3">
          <a:extLst>
            <a:ext uri="{FF2B5EF4-FFF2-40B4-BE49-F238E27FC236}">
              <a16:creationId xmlns:a16="http://schemas.microsoft.com/office/drawing/2014/main" id="{00000000-0008-0000-1000-00000F000000}"/>
            </a:ext>
          </a:extLst>
        </xdr:cNvPr>
        <xdr:cNvPicPr>
          <a:picLocks noChangeAspect="1"/>
        </xdr:cNvPicPr>
      </xdr:nvPicPr>
      <xdr:blipFill>
        <a:blip xmlns:r="http://schemas.openxmlformats.org/officeDocument/2006/relationships" r:embed="rId1"/>
        <a:srcRect/>
        <a:stretch>
          <a:fillRect/>
        </a:stretch>
      </xdr:blipFill>
      <xdr:spPr bwMode="auto">
        <a:xfrm>
          <a:off x="1965960" y="7543800"/>
          <a:ext cx="1050974" cy="0"/>
        </a:xfrm>
        <a:prstGeom prst="rect">
          <a:avLst/>
        </a:prstGeom>
        <a:noFill/>
        <a:ln>
          <a:noFill/>
          <a:prstDash val="solid"/>
        </a:ln>
      </xdr:spPr>
    </xdr:pic>
    <xdr:clientData/>
  </xdr:twoCellAnchor>
  <xdr:twoCellAnchor editAs="oneCell">
    <xdr:from>
      <xdr:col>2</xdr:col>
      <xdr:colOff>1546860</xdr:colOff>
      <xdr:row>21</xdr:row>
      <xdr:rowOff>0</xdr:rowOff>
    </xdr:from>
    <xdr:to>
      <xdr:col>5</xdr:col>
      <xdr:colOff>167054</xdr:colOff>
      <xdr:row>21</xdr:row>
      <xdr:rowOff>0</xdr:rowOff>
    </xdr:to>
    <xdr:pic>
      <xdr:nvPicPr>
        <xdr:cNvPr id="16" name="Picture 2">
          <a:extLst>
            <a:ext uri="{FF2B5EF4-FFF2-40B4-BE49-F238E27FC236}">
              <a16:creationId xmlns:a16="http://schemas.microsoft.com/office/drawing/2014/main" id="{00000000-0008-0000-1000-000010000000}"/>
            </a:ext>
          </a:extLst>
        </xdr:cNvPr>
        <xdr:cNvPicPr>
          <a:picLocks noChangeAspect="1"/>
        </xdr:cNvPicPr>
      </xdr:nvPicPr>
      <xdr:blipFill>
        <a:blip xmlns:r="http://schemas.openxmlformats.org/officeDocument/2006/relationships" r:embed="rId1"/>
        <a:srcRect/>
        <a:stretch>
          <a:fillRect/>
        </a:stretch>
      </xdr:blipFill>
      <xdr:spPr bwMode="auto">
        <a:xfrm>
          <a:off x="1965960" y="7543800"/>
          <a:ext cx="1050974" cy="0"/>
        </a:xfrm>
        <a:prstGeom prst="rect">
          <a:avLst/>
        </a:prstGeom>
        <a:noFill/>
        <a:ln>
          <a:noFill/>
          <a:prstDash val="solid"/>
        </a:ln>
      </xdr:spPr>
    </xdr:pic>
    <xdr:clientData/>
  </xdr:twoCellAnchor>
  <xdr:twoCellAnchor editAs="oneCell">
    <xdr:from>
      <xdr:col>2</xdr:col>
      <xdr:colOff>1546860</xdr:colOff>
      <xdr:row>21</xdr:row>
      <xdr:rowOff>0</xdr:rowOff>
    </xdr:from>
    <xdr:to>
      <xdr:col>5</xdr:col>
      <xdr:colOff>167054</xdr:colOff>
      <xdr:row>21</xdr:row>
      <xdr:rowOff>0</xdr:rowOff>
    </xdr:to>
    <xdr:pic>
      <xdr:nvPicPr>
        <xdr:cNvPr id="17" name="Picture 3">
          <a:extLst>
            <a:ext uri="{FF2B5EF4-FFF2-40B4-BE49-F238E27FC236}">
              <a16:creationId xmlns:a16="http://schemas.microsoft.com/office/drawing/2014/main" id="{00000000-0008-0000-1000-000011000000}"/>
            </a:ext>
          </a:extLst>
        </xdr:cNvPr>
        <xdr:cNvPicPr>
          <a:picLocks noChangeAspect="1"/>
        </xdr:cNvPicPr>
      </xdr:nvPicPr>
      <xdr:blipFill>
        <a:blip xmlns:r="http://schemas.openxmlformats.org/officeDocument/2006/relationships" r:embed="rId1"/>
        <a:srcRect/>
        <a:stretch>
          <a:fillRect/>
        </a:stretch>
      </xdr:blipFill>
      <xdr:spPr bwMode="auto">
        <a:xfrm>
          <a:off x="1965960" y="7543800"/>
          <a:ext cx="1050974" cy="0"/>
        </a:xfrm>
        <a:prstGeom prst="rect">
          <a:avLst/>
        </a:prstGeom>
        <a:noFill/>
        <a:ln>
          <a:noFill/>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Ongoing%20Projects\DC%20India_Dehradun%20Airport\Output\Working\Shashwat\BOQ_Final\14-2-2018\ACE%20REV%2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ad-\mail%20recd\Interconnect%20(PCB)%20facility%20%20at%20Space%20park,%20ISITE%20Campus%20,%20Marathahalli\ISITE%20Campus%20,%20Marathahalli.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ccounts\D\project%20documents\DMRC%20IT%20Park\project%20documents\Kuwait%20Audit%20Bureau\Rate%20Analys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HUVAN\Data%20(E)\CHANDRASHILA-PLUMBING\D\Ashish%20Desktop\Cost_Estimate%20Sihora-Majhgawa-Silondi%20Road\AOC-%20Sihor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mp-7\c\PRD\Surve\Link%20desig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LENOVO\Downloads\LOCAL%20DISK-%20E\PROJECTS\HOSPITALS%20&amp;%20MEDICALS\NRHM\HOJAI%20SDCH\HOJAI%20SDCH\ECPL\MCH%20PROJECT\TINSUKIA\FINAL%20DEATAILED%20ESTIMATE%20TINSUKIA%2027-09-2013\CIVIL%20ESTIMATE\Doctrors%20Quat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DURPONG%20SE%20&amp;%20CE%20%20level\Documents%20and%20Settings\Ravindra.GANESH\My%20Documents\Flash%20backup%2014.9.05\Documents%20and%20Settings\All%20Users\Desktop\Downloads\RCC62%20Retaining%20Wal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Msplserver\msplindia\Documents%20and%20Settings\mspl50\Local%20Settings\Temporary%20Internet%20Files\Content.IE5\AXH2BULG\Barsched%208666.xlt"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Msplserver\msplindia\kk\Vijayawada\COSTING%20MODEL%20kk-Vijayawad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resh\c%20on%20suresh\WINDOWS\TEMP\cidcoanalysi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ca-server\toshiba_laptop\PCAI\Project\package%205\site%20development\Site%20development%20excluding%20ug%20parking%20underpass%20&amp;covered%20passage2009-11-0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HUVAN\Data%20(E)\CHANDRASHILA-PLUMBING\Users\anandhavelia\Downloads\Server\g\WINDOWS\Desktop\Complete%20Data%20for%20DPR\PRIORITY%20ROADS\BADAMALAHRA\Belda\Ghuwara-%20Indora%20Road%20to%20Bhelda%20Village_DPR_21-11-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3C12795E\RCC62%20Retaining%20Wal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F:\Users\LENOVO\Downloads\ECPL\MCH%20PROJECT\TINSUKIA\FINAL%20DEATAILED%20ESTIMATE%20TINSUKIA%2027-09-2013\CIVIL%20ESTIMATE\Doctrors%20Quater.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pk\iq-10%20(doosa\BD\2005-06\IQ\IQ-10%20(Doosan%20-%20Anpara%20C)\Offer\pulau%20final\WINDOWS\Desktop\New%20Folder\Qo-158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RADHA\RADHA\radha\mis9899\consoli\sept98.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Price%20Offer%20&amp;%2011Working%20Sheet.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HUVAN\Data%20(E)\CHANDRASHILA-PLUMBING\Users\anandhavelia\Downloads\meerut\6.1%20Abstract%20of%20Cost-Fina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Users\LENOVO\Downloads\ECPL\MCH%20PROJECT\TINSUKIA\FINAL%20DEATAILED%20ESTIMATE%20TINSUKIA%2027-09-2013\CIVIL%20ESTIMATE\AAMARJYOTI\std%20DPR(single%20lane%20bridge)MORTH-05-0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Z:\Lor's%20Work%20Data\CIM%20Projects\Malaysia%20-%20%20Penang\Construction%20PG12\PG12_est_P0_R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Z:\Documents%20and%20Settings\User\Local%20Settings\Temporary%20Internet%20Files\OLK1A\Tyco%20Estimates\QR1211\New%20Format.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imanshu\PARYAVARAN_BHAWAN\Mamta\NCPA\DG\GOA_ARPT_SUBSTNDG_EST_090609(fina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M100\e\IBP%20WEST%20RA-2004\FINAL%20SOR\RATE%20ANALYSIS\Gujarat\Gujara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mdccfs\d&amp;e\Users\Neeraj\AppData\Local\Microsoft\Windows\Temporary%20Internet%20Files\Content.Outlook\17D8B9V0\My%20Documents\Price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K:\Prasanna\MICO\MICO_0802200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My%20Projects\PINAKI\Diphu%20Hospital\DIPHU%20HOSPITAL%20BOQ%20ELECTRICAL%20L.T..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asant-main\PROJECTS\Projects%20H%20-%20M\JAYPEE%20Institute\Report\JP%20Water%20Supply%20Calculation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ccounts\d\SEBI\hvac\rev%20Package\Analysis%20and%20BOQ%20-%20HVA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ccounts\d\SEBI\HVAC\Analysis\Analysis%20and%20BOQ%20-%20HVAC.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ls_india\c\DLSI\CostplanInfo\Template-Design%20Devt%20Estimat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Vijay\d\Documents%20and%20Settings\Srinivasa%20Ramanujam\Local%20Settings\Temporary%20Internet%20Files\OLK38\Elnet-IBMS-IOlistBOQ-510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imanshu\PARYAVARAN_BHAWAN\Documents%20and%20Settings\mamta.SPECTRAL\Desktop\GOA_ARPT_ELECT_INTERNAL_ES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F:\Users\LENOVO\Downloads\ECPL\MCH%20PROJECT\TINSUKIA\FINAL%20DEATAILED%20ESTIMATE%20TINSUKIA%2027-09-2013\CIVIL%20ESTIMATE\Nurses%20Quarter.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Tenders3\d\Bihar%20Police%20Academy\BIHAR%20POLICE\GBU-Hema\GBU-Final%20BOQs\GBU-DSR-2007-Estimate-Civil-Foundation+Dynamic\GBU-04-03-2008-%20CD-Hostel-B-Housing-V&amp;VI\COMP"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enders3\d\Bihar%20Police%20Academy\BIHAR%20POLICE\Anupam\BIHAR%20POLICE%20CORRESPONDANCE\LATEST%20BIHAR%20POLICE%20CIVIL%20ESTIMATE\INDIVIDUAL%20SHEET%20BUILDING%20WISE%20SEPERATE%20SHEET\GBU-Hema\GBU-Final%20BOQs\GBU-DSR-2007-Est"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laxmi\Hema%20Data\GBU-Noida\GBU-Hema\GBU-Final%20BOQs\GBU-DSR-2007-Estimate-Civil-Foundation+Dynamic\COMPOSITE-ESTIMATEdec2003l.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Monica\test\My%20Documents\MOTOROLA.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G:\Users\ankan.gupta\AppData\Local\Microsoft\Windows\Temporary%20Internet%20Files\Content.Outlook\L3UH3SLX\Bid%20Template\BOQ%20T4B_Electrical%20-%20Unit%20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Documents%20and%20Settings\Administrator\My%20Documents\PriceCalc%20173.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Natraj\d\Mukesh\IBP\South\SOR-III\Price-Bid\Capex%20(TN).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My%20Projects\PINAKI\Diphu%20Hospital\DIPHU%20HOSPITAL%20BOQ%20ELECTRICAL%20L.T..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10.2.0.2\bdg\Documents%20and%20Settings\SP-1\Desktop\hll%20ahus.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LENOVO\Downloads\ECPL\CHC(NEW%20corrected)\BHAKTARDABA\MAIN%20BLDG\AAMARJYOTI\std%20DPR(single%20lane%20bridge)MORTH-05-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Imdccfs\d&amp;e\Documents%20and%20Settings\SP-1\Desktop\hll%20ahus.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Msplserver\msplindia\kk\client\Costing\PUBLIC%20HEALTH\PIPERTJ.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G:\Quote\Schneider%2024_Nov_07.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Monica\test\PRICE\SAMPLE.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onica\test\PRICE\HYATT.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Vsadm01\common\Documents%20and%20Settings\dbovee\Local%20Settings\Temporary%20Internet%20Files\OLK102\Quote%20Sheet%201.4%20+%20services%204.xls" TargetMode="External"/></Relationships>
</file>

<file path=xl/externalLinks/_rels/externalLink50.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51.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1.%20GOVT%20PROJECTS\PWD%20WORKS\65%20SCHOOL%20PHASE%20II\JOKAI%20HS%20SCHOOL\SEPTIC%20TAN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cevsSp"/>
      <sheetName val="Bid Items"/>
      <sheetName val="acevsSp (ABC)"/>
      <sheetName val="INFLUENCES ON GM"/>
      <sheetName val="Basic Rate"/>
      <sheetName val="Matl Cons"/>
      <sheetName val="Basic Cost"/>
      <sheetName val="SP"/>
      <sheetName val="RECON"/>
      <sheetName val="BOQ"/>
      <sheetName val="Matl. Req."/>
      <sheetName val="Working Sheet"/>
      <sheetName val="Form Work"/>
      <sheetName val="Deptitemc"/>
      <sheetName val="deptlc"/>
      <sheetName val="Dept break"/>
      <sheetName val="P&amp;M ITEMCOST"/>
      <sheetName val="PMbreak"/>
      <sheetName val="PMbreak%"/>
      <sheetName val="PMabs"/>
      <sheetName val="PMCOSTa"/>
      <sheetName val="PMCOSTb"/>
      <sheetName val="PMCOSTc"/>
      <sheetName val="PMCOSTd"/>
      <sheetName val="FUEL NORMS (RPLM)"/>
      <sheetName val="GEODESIC"/>
      <sheetName val="Abstract"/>
      <sheetName val="IDC.1010,1030,1100,1180"/>
      <sheetName val="IDC.1020"/>
      <sheetName val="IDC.1040 "/>
      <sheetName val="IDC.1200"/>
      <sheetName val="ROADS"/>
      <sheetName val="Clients Facilities"/>
      <sheetName val="Clts Fac Tender Vs Actuals"/>
      <sheetName val="NL-Field Lab Equipment SVD"/>
      <sheetName val="CF-Fur-Det"/>
      <sheetName val="Safety"/>
      <sheetName val="BG Det"/>
      <sheetName val="TAXES"/>
      <sheetName val="TAXES (2)"/>
    </sheetNames>
    <sheetDataSet>
      <sheetData sheetId="0"/>
      <sheetData sheetId="1"/>
      <sheetData sheetId="2"/>
      <sheetData sheetId="3">
        <row r="1">
          <cell r="A1" t="str">
            <v>ACCEPTED COST ESTIMATE - TCS TECHNOPARK AT SIRUSERI</v>
          </cell>
        </row>
      </sheetData>
      <sheetData sheetId="4"/>
      <sheetData sheetId="5"/>
      <sheetData sheetId="6"/>
      <sheetData sheetId="7">
        <row r="4">
          <cell r="B4" t="str">
            <v>DESCRIPTION</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Notes"/>
      <sheetName val="Sch.Main Bldg."/>
      <sheetName val="Sch.ACP   "/>
      <sheetName val="Sch.DG"/>
      <sheetName val="Sch.Chil"/>
      <sheetName val="Sch.Road"/>
      <sheetName val="IPH"/>
      <sheetName val="Ex water"/>
      <sheetName val="Ex Sewer"/>
      <sheetName val="Neutral"/>
      <sheetName val="FFS"/>
      <sheetName val="pumps"/>
      <sheetName val="Sheet4"/>
      <sheetName val="Tender Quote summary"/>
      <sheetName val="Basic Material"/>
      <sheetName val="MixDesign"/>
      <sheetName val="Analysis"/>
      <sheetName val="Analasis-2"/>
      <sheetName val="HR SHEET"/>
      <sheetName val="Sch_Main_Bldg_"/>
      <sheetName val="Sch_ACP___"/>
      <sheetName val="Sch_DG"/>
      <sheetName val="Sch_Chil"/>
      <sheetName val="Sch_Road"/>
      <sheetName val="Ex_water"/>
      <sheetName val="Ex_Sewer"/>
      <sheetName val="Tender_Quote_summary"/>
      <sheetName val="Basic_Material"/>
      <sheetName val="HR_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
      <sheetName val="Shuttering"/>
      <sheetName val="Misc. points"/>
      <sheetName val="qty abst"/>
      <sheetName val="Programe"/>
      <sheetName val="boq"/>
      <sheetName val="P&amp;M"/>
      <sheetName val="LABOUR"/>
      <sheetName val="histogram"/>
      <sheetName val="basic "/>
      <sheetName val="bua"/>
      <sheetName val="topsheet"/>
      <sheetName val="Rate Analysis"/>
      <sheetName val="Top Sheet"/>
      <sheetName val="Publicbuilding"/>
      <sheetName val="Iron Steel &amp; handrails"/>
      <sheetName val="ANALYSIS"/>
      <sheetName val="STRUC"/>
      <sheetName val="DOOR-WIND"/>
      <sheetName val="STEEL"/>
      <sheetName val="ROOFING"/>
      <sheetName val="FLOORING"/>
      <sheetName val="MR"/>
      <sheetName val="S1BOQ"/>
      <sheetName val="WPR-IV"/>
      <sheetName val="WAGES"/>
      <sheetName val="VENDOR CODE WO NO"/>
      <sheetName val="Master Item List"/>
      <sheetName val="Steel Summary"/>
      <sheetName val="Civil Boq"/>
      <sheetName val="1-BOQ_Civil"/>
      <sheetName val="Concrete"/>
      <sheetName val="Reinf"/>
      <sheetName val="Main Summary"/>
      <sheetName val="Summary (G.H.Bachlor C)"/>
      <sheetName val="General preliminaries"/>
      <sheetName val="VENDER DETAIL"/>
      <sheetName val="Misc__points"/>
      <sheetName val="qty_abst"/>
      <sheetName val="basic_"/>
      <sheetName val="Rate_Analysis"/>
      <sheetName val="Top_Sheet"/>
      <sheetName val="Misc__points2"/>
      <sheetName val="qty_abst2"/>
      <sheetName val="basic_2"/>
      <sheetName val="Rate_Analysis2"/>
      <sheetName val="Top_Sheet2"/>
      <sheetName val="Iron_Steel_&amp;_handrails2"/>
      <sheetName val="Iron_Steel_&amp;_handrails"/>
      <sheetName val="Misc__points1"/>
      <sheetName val="qty_abst1"/>
      <sheetName val="basic_1"/>
      <sheetName val="Rate_Analysis1"/>
      <sheetName val="Top_Sheet1"/>
      <sheetName val="Iron_Steel_&amp;_handrails1"/>
      <sheetName val="Work Done Bill (2)"/>
      <sheetName val="IS Summary"/>
      <sheetName val="BASIC"/>
      <sheetName val="Misc__points3"/>
      <sheetName val="Drain Work"/>
      <sheetName val="Non-BOQ summary"/>
      <sheetName val="Curing Bund for Sep'13"/>
      <sheetName val="GBW"/>
      <sheetName val="Basic Rate"/>
      <sheetName val="INFLUENCES ON GM"/>
      <sheetName val="acevsSp (ABC)"/>
      <sheetName val="Main_Summary"/>
      <sheetName val="Summary_(G_H_Bachlor_C)"/>
      <sheetName val="BOQ_(2)"/>
      <sheetName val="SPT_vs_PHI1"/>
      <sheetName val="Stress_Calculation"/>
      <sheetName val="CABLERET"/>
      <sheetName val="FINOLEX"/>
      <sheetName val="TBAL9697_-group_wise__sdpl"/>
      <sheetName val="PRECAST_lightconc-II2"/>
      <sheetName val="main"/>
      <sheetName val="switch"/>
      <sheetName val="Civil_Boq1"/>
      <sheetName val="Monthly Format.ATH (ro)revised"/>
      <sheetName val="ASCE"/>
      <sheetName val="DBCA"/>
      <sheetName val="BPL"/>
      <sheetName val="Legal Risk Analysis"/>
      <sheetName val="#REF"/>
      <sheetName val="CORRECTION"/>
      <sheetName val="major qty"/>
      <sheetName val="Major P&amp;M deployment"/>
      <sheetName val="p&amp;m L&amp;T Hire"/>
      <sheetName val="Site Dev BOQ"/>
      <sheetName val="Abs Sheet(Fuel oil area)JAN"/>
      <sheetName val="WDA_Sept'13"/>
      <sheetName val="BOQ_Direct_selling cost"/>
      <sheetName val="경비공통"/>
      <sheetName val="int hire"/>
      <sheetName val="Drop Down (Fixed)"/>
      <sheetName val="Master"/>
      <sheetName val="Drop Down"/>
      <sheetName val="Data"/>
      <sheetName val="Basis"/>
      <sheetName val="STAFFSCHED "/>
      <sheetName val="Assumptions"/>
      <sheetName val="girder"/>
      <sheetName val="sept-plan"/>
      <sheetName val="Ref_Lists_SER"/>
      <sheetName val="pol-60"/>
      <sheetName val="BLK2"/>
      <sheetName val="BLK3"/>
      <sheetName val="E &amp; R"/>
      <sheetName val="radar"/>
      <sheetName val="UG"/>
      <sheetName val="qty_abst3"/>
      <sheetName val="basic_3"/>
      <sheetName val="Rate_Analysis3"/>
      <sheetName val="Iron_Steel_&amp;_handrails3"/>
      <sheetName val="Top_Sheet3"/>
      <sheetName val="Main_Summary1"/>
      <sheetName val="Summary_(G_H_Bachlor_C)1"/>
      <sheetName val="Monthly_Format_ATH_(ro)revised"/>
      <sheetName val="General_preliminaries"/>
      <sheetName val="Civil_Boq"/>
      <sheetName val="VENDOR_CODE_WO_NO"/>
      <sheetName val="Master_Item_List"/>
      <sheetName val="Abs_Sheet(Fuel_oil_area)JAN"/>
      <sheetName val="Steel_Summary"/>
      <sheetName val="Site_Dev_BOQ"/>
      <sheetName val="IS_Summary"/>
      <sheetName val="VENDER_DETAIL"/>
      <sheetName val="Work_Done_Bill_(2)"/>
      <sheetName val="Basic_Rate"/>
      <sheetName val="INFLUENCES_ON_GM"/>
      <sheetName val="acevsSp_(ABC)"/>
      <sheetName val="ETC Panorama"/>
      <sheetName val="Data 1"/>
      <sheetName val="A6"/>
      <sheetName val="Ph 1 -ESM Pipe, Bitumen"/>
      <sheetName val="RA Format"/>
      <sheetName val="Measurement-ID works"/>
      <sheetName val="1"/>
      <sheetName val="Sheet2"/>
      <sheetName val="PointNo.5"/>
      <sheetName val="IO List"/>
      <sheetName val="MORGACTS"/>
      <sheetName val="Progress"/>
      <sheetName val="PRECAST lightconc-II"/>
      <sheetName val="Stress Calculation"/>
      <sheetName val="合成単価作成表-BLDG"/>
      <sheetName val="Sludge Cal"/>
      <sheetName val="Dropdown"/>
      <sheetName val="ISRO"/>
      <sheetName val="IIST (2)"/>
      <sheetName val="IRIS"/>
      <sheetName val="spre"/>
      <sheetName val="TMLB-II"/>
      <sheetName val="IIST (3)"/>
      <sheetName val="IRISMAY13"/>
      <sheetName val="TMLB II MAY13"/>
      <sheetName val="isro JUL13"/>
      <sheetName val="IRIS Jul13"/>
      <sheetName val="IRS 2 jul13"/>
      <sheetName val="isro aug13"/>
      <sheetName val="IRIS augg13"/>
      <sheetName val="SPRE WORKING"/>
      <sheetName val="IRS 2augg 13"/>
      <sheetName val="iist sept13"/>
      <sheetName val="IRIS SEPT13"/>
      <sheetName val="SPRE SEPT"/>
      <sheetName val="IRS2 SEPT 13"/>
      <sheetName val="iist OCT 13"/>
      <sheetName val="IRIS OCT13"/>
      <sheetName val="IRIS2 OCT13"/>
      <sheetName val="iist nov13"/>
      <sheetName val="iris nov13"/>
      <sheetName val="spre nov13"/>
      <sheetName val="isro dec13"/>
      <sheetName val="IRIS DEC13"/>
      <sheetName val="isro jan 14"/>
      <sheetName val="isro feb14"/>
      <sheetName val="IRIS FEB-14"/>
      <sheetName val="TMLB-II FEB-14"/>
      <sheetName val="Rehab podium footing"/>
      <sheetName val="dummy"/>
      <sheetName val="Unit Rate"/>
      <sheetName val="Rates"/>
      <sheetName val="Lead"/>
      <sheetName val="Input"/>
      <sheetName val="MLAP"/>
      <sheetName val="Staff Forecast spread"/>
      <sheetName val="Fill this out first..."/>
      <sheetName val="Misc__points4"/>
      <sheetName val="qty_abst4"/>
      <sheetName val="basic_4"/>
      <sheetName val="Rate_Analysis4"/>
      <sheetName val="Iron_Steel_&amp;_handrails4"/>
      <sheetName val="Top_Sheet4"/>
      <sheetName val="Monthly_Format_ATH_(ro)revised1"/>
      <sheetName val="Main_Summary2"/>
      <sheetName val="Summary_(G_H_Bachlor_C)2"/>
      <sheetName val="General_preliminaries1"/>
      <sheetName val="Abs_Sheet(Fuel_oil_area)JAN1"/>
      <sheetName val="Civil_Boq2"/>
      <sheetName val="VENDOR_CODE_WO_NO1"/>
      <sheetName val="Master_Item_List1"/>
      <sheetName val="VENDER_DETAIL1"/>
      <sheetName val="BOQ_Direct_selling_cost"/>
      <sheetName val="Site_Dev_BOQ1"/>
      <sheetName val="Drain_Work"/>
      <sheetName val="Non-BOQ_summary"/>
      <sheetName val="Curing_Bund_for_Sep'13"/>
      <sheetName val="IS_Summary1"/>
      <sheetName val="int_hire"/>
      <sheetName val="Steel_Summary1"/>
      <sheetName val="Basic_Rate1"/>
      <sheetName val="INFLUENCES_ON_GM1"/>
      <sheetName val="acevsSp_(ABC)1"/>
      <sheetName val="Work_Done_Bill_(2)1"/>
      <sheetName val="Drop_Down_(Fixed)"/>
      <sheetName val="Drop_Down"/>
      <sheetName val="STAFFSCHED_"/>
      <sheetName val="E_&amp;_R"/>
      <sheetName val="Legal_Risk_Analysis"/>
      <sheetName val="PointNo_5"/>
      <sheetName val="IIST_(2)"/>
      <sheetName val="IIST_(3)"/>
      <sheetName val="TMLB_II_MAY13"/>
      <sheetName val="isro_JUL13"/>
      <sheetName val="IRIS_Jul13"/>
      <sheetName val="IRS_2_jul13"/>
      <sheetName val="isro_aug13"/>
      <sheetName val="IRIS_augg13"/>
      <sheetName val="SPRE_WORKING"/>
      <sheetName val="IRS_2augg_13"/>
      <sheetName val="iist_sept13"/>
      <sheetName val="IRIS_SEPT13"/>
      <sheetName val="SPRE_SEPT"/>
      <sheetName val="IRS2_SEPT_13"/>
      <sheetName val="iist_OCT_13"/>
      <sheetName val="IRIS_OCT13"/>
      <sheetName val="IRIS2_OCT13"/>
      <sheetName val="iist_nov13"/>
      <sheetName val="iris_nov13"/>
      <sheetName val="spre_nov13"/>
      <sheetName val="isro_dec13"/>
      <sheetName val="IRIS_DEC13"/>
      <sheetName val="isro_jan_14"/>
      <sheetName val="isro_feb14"/>
      <sheetName val="IRIS_FEB-14"/>
      <sheetName val="TMLB-II_FEB-14"/>
      <sheetName val="Fill_this_out_first___"/>
      <sheetName val="Misc__points5"/>
      <sheetName val="qty_abst5"/>
      <sheetName val="basic_5"/>
      <sheetName val="Rate_Analysis5"/>
      <sheetName val="Iron_Steel_&amp;_handrails5"/>
      <sheetName val="Top_Sheet5"/>
      <sheetName val="Monthly_Format_ATH_(ro)revised2"/>
      <sheetName val="Main_Summary3"/>
      <sheetName val="Summary_(G_H_Bachlor_C)3"/>
      <sheetName val="General_preliminaries2"/>
      <sheetName val="Abs_Sheet(Fuel_oil_area)JAN2"/>
      <sheetName val="Civil_Boq3"/>
      <sheetName val="VENDOR_CODE_WO_NO2"/>
      <sheetName val="Master_Item_List2"/>
      <sheetName val="VENDER_DETAIL2"/>
      <sheetName val="BOQ_Direct_selling_cost1"/>
      <sheetName val="Site_Dev_BOQ2"/>
      <sheetName val="Drain_Work1"/>
      <sheetName val="Non-BOQ_summary1"/>
      <sheetName val="Curing_Bund_for_Sep'131"/>
      <sheetName val="IS_Summary2"/>
      <sheetName val="int_hire1"/>
      <sheetName val="Steel_Summary2"/>
      <sheetName val="Basic_Rate2"/>
      <sheetName val="INFLUENCES_ON_GM2"/>
      <sheetName val="acevsSp_(ABC)2"/>
      <sheetName val="Work_Done_Bill_(2)2"/>
      <sheetName val="Drop_Down_(Fixed)1"/>
      <sheetName val="Drop_Down1"/>
      <sheetName val="STAFFSCHED_1"/>
      <sheetName val="E_&amp;_R1"/>
      <sheetName val="Legal_Risk_Analysis1"/>
      <sheetName val="PointNo_51"/>
      <sheetName val="IIST_(2)1"/>
      <sheetName val="IIST_(3)1"/>
      <sheetName val="TMLB_II_MAY131"/>
      <sheetName val="isro_JUL131"/>
      <sheetName val="IRIS_Jul131"/>
      <sheetName val="IRS_2_jul131"/>
      <sheetName val="isro_aug131"/>
      <sheetName val="IRIS_augg131"/>
      <sheetName val="SPRE_WORKING1"/>
      <sheetName val="IRS_2augg_131"/>
      <sheetName val="iist_sept131"/>
      <sheetName val="IRIS_SEPT131"/>
      <sheetName val="SPRE_SEPT1"/>
      <sheetName val="IRS2_SEPT_131"/>
      <sheetName val="iist_OCT_131"/>
      <sheetName val="IRIS_OCT131"/>
      <sheetName val="IRIS2_OCT131"/>
      <sheetName val="iist_nov131"/>
      <sheetName val="iris_nov131"/>
      <sheetName val="spre_nov131"/>
      <sheetName val="isro_dec131"/>
      <sheetName val="IRIS_DEC131"/>
      <sheetName val="isro_jan_141"/>
      <sheetName val="isro_feb141"/>
      <sheetName val="IRIS_FEB-141"/>
      <sheetName val="TMLB-II_FEB-141"/>
      <sheetName val="Fill_this_out_first___1"/>
      <sheetName val="2gii"/>
      <sheetName val="Assumption Inputs"/>
      <sheetName val="Design"/>
      <sheetName val="P4-B"/>
      <sheetName val="d-safe DELUXE"/>
      <sheetName val="gen"/>
      <sheetName val="ABP inputs"/>
      <sheetName val="Synergy Sales Budget"/>
      <sheetName val="Main-Material"/>
      <sheetName val="Assumption_Inputs"/>
      <sheetName val="Code"/>
      <sheetName val="Sheet1"/>
      <sheetName val="Calc_ISC"/>
      <sheetName val="Assumption_Inputs1"/>
      <sheetName val="Stress_Calculation1"/>
      <sheetName val="STAFFSCHED_2"/>
      <sheetName val="Drain_Work2"/>
      <sheetName val="Non-BOQ_summary2"/>
      <sheetName val="Curing_Bund_for_Sep'132"/>
      <sheetName val="Assumption_Inputs2"/>
      <sheetName val="Stress_Calculation2"/>
      <sheetName val="Misc__points6"/>
      <sheetName val="qty_abst6"/>
      <sheetName val="basic_6"/>
      <sheetName val="Rate_Analysis6"/>
      <sheetName val="Top_Sheet6"/>
      <sheetName val="Iron_Steel_&amp;_handrails6"/>
      <sheetName val="STAFFSCHED_3"/>
      <sheetName val="IS_Summary3"/>
      <sheetName val="Work_Done_Bill_(2)3"/>
      <sheetName val="VENDOR_CODE_WO_NO3"/>
      <sheetName val="Master_Item_List3"/>
      <sheetName val="VENDER_DETAIL3"/>
      <sheetName val="General_preliminaries3"/>
      <sheetName val="Drain_Work3"/>
      <sheetName val="Non-BOQ_summary3"/>
      <sheetName val="Curing_Bund_for_Sep'133"/>
      <sheetName val="Site_Dev_BOQ3"/>
      <sheetName val="Assumption_Inputs3"/>
      <sheetName val="Stress_Calculation3"/>
      <sheetName val="omm-add"/>
      <sheetName val="Name Manager"/>
      <sheetName val="Input Rates"/>
      <sheetName val="Detailed Areas"/>
      <sheetName val="Breakdown"/>
      <sheetName val="Cover"/>
      <sheetName val="Total Amount"/>
      <sheetName val="Misc__points7"/>
      <sheetName val="qty_abst7"/>
      <sheetName val="basic_7"/>
      <sheetName val="Rate_Analysis7"/>
      <sheetName val="Top_Sheet7"/>
      <sheetName val="Iron_Steel_&amp;_handrails7"/>
      <sheetName val="STAFFSCHED_4"/>
      <sheetName val="IS_Summary4"/>
      <sheetName val="Civil_Boq4"/>
      <sheetName val="Work_Done_Bill_(2)4"/>
      <sheetName val="VENDOR_CODE_WO_NO4"/>
      <sheetName val="Master_Item_List4"/>
      <sheetName val="VENDER_DETAIL4"/>
      <sheetName val="Main_Summary4"/>
      <sheetName val="Summary_(G_H_Bachlor_C)4"/>
      <sheetName val="General_preliminaries4"/>
      <sheetName val="Drain_Work4"/>
      <sheetName val="Non-BOQ_summary4"/>
      <sheetName val="Curing_Bund_for_Sep'134"/>
      <sheetName val="Site_Dev_BOQ4"/>
      <sheetName val="Assumption_Inputs4"/>
      <sheetName val="Stress_Calculation4"/>
      <sheetName val="Ph_1_-ESM_Pipe,_Bitumen"/>
      <sheetName val="RA_Format"/>
      <sheetName val="Measurement-ID_works"/>
      <sheetName val="IO_List"/>
      <sheetName val="major_qty"/>
      <sheetName val="Major_P&amp;M_deployment"/>
      <sheetName val="p&amp;m_L&amp;T_Hire"/>
      <sheetName val="PRECAST_lightconc-II"/>
      <sheetName val="Unit_Rate"/>
      <sheetName val="d-safe_DELUXE"/>
      <sheetName val="ABP_inputs"/>
      <sheetName val="Synergy_Sales_Budget"/>
      <sheetName val="Misc__points8"/>
      <sheetName val="qty_abst8"/>
      <sheetName val="basic_8"/>
      <sheetName val="Rate_Analysis8"/>
      <sheetName val="Top_Sheet8"/>
      <sheetName val="Iron_Steel_&amp;_handrails8"/>
      <sheetName val="STAFFSCHED_5"/>
      <sheetName val="IS_Summary5"/>
      <sheetName val="Civil_Boq5"/>
      <sheetName val="Work_Done_Bill_(2)5"/>
      <sheetName val="VENDOR_CODE_WO_NO5"/>
      <sheetName val="Master_Item_List5"/>
      <sheetName val="VENDER_DETAIL5"/>
      <sheetName val="Main_Summary5"/>
      <sheetName val="Summary_(G_H_Bachlor_C)5"/>
      <sheetName val="General_preliminaries5"/>
      <sheetName val="Drain_Work5"/>
      <sheetName val="Non-BOQ_summary5"/>
      <sheetName val="Curing_Bund_for_Sep'135"/>
      <sheetName val="Site_Dev_BOQ5"/>
      <sheetName val="Assumption_Inputs5"/>
      <sheetName val="Stress_Calculation5"/>
      <sheetName val="Ph_1_-ESM_Pipe,_Bitumen1"/>
      <sheetName val="RA_Format1"/>
      <sheetName val="Measurement-ID_works1"/>
      <sheetName val="IO_List1"/>
      <sheetName val="major_qty1"/>
      <sheetName val="Major_P&amp;M_deployment1"/>
      <sheetName val="p&amp;m_L&amp;T_Hire1"/>
      <sheetName val="PRECAST_lightconc-II1"/>
      <sheetName val="Unit_Rate1"/>
      <sheetName val="d-safe_DELUXE1"/>
      <sheetName val="ABP_inputs1"/>
      <sheetName val="Synergy_Sales_Budget1"/>
      <sheetName val="Misc__points9"/>
      <sheetName val="qty_abst9"/>
      <sheetName val="basic_9"/>
      <sheetName val="Rate_Analysis9"/>
      <sheetName val="Top_Sheet9"/>
      <sheetName val="Iron_Steel_&amp;_handrails9"/>
      <sheetName val="STAFFSCHED_6"/>
      <sheetName val="IS_Summary6"/>
      <sheetName val="Civil_Boq6"/>
      <sheetName val="Work_Done_Bill_(2)6"/>
      <sheetName val="VENDOR_CODE_WO_NO6"/>
      <sheetName val="Master_Item_List6"/>
      <sheetName val="VENDER_DETAIL6"/>
      <sheetName val="Main_Summary6"/>
      <sheetName val="Summary_(G_H_Bachlor_C)6"/>
      <sheetName val="General_preliminaries6"/>
      <sheetName val="Drain_Work6"/>
      <sheetName val="Non-BOQ_summary6"/>
      <sheetName val="Curing_Bund_for_Sep'136"/>
      <sheetName val="Site_Dev_BOQ6"/>
      <sheetName val="Assumption_Inputs6"/>
      <sheetName val="Stress_Calculation6"/>
      <sheetName val="Ph_1_-ESM_Pipe,_Bitumen2"/>
      <sheetName val="Basic_Rate3"/>
      <sheetName val="INFLUENCES_ON_GM3"/>
      <sheetName val="acevsSp_(ABC)3"/>
      <sheetName val="Legal_Risk_Analysis2"/>
      <sheetName val="Steel_Summary3"/>
      <sheetName val="RA_Format2"/>
      <sheetName val="Measurement-ID_works2"/>
      <sheetName val="int_hire2"/>
      <sheetName val="IO_List2"/>
      <sheetName val="major_qty2"/>
      <sheetName val="Major_P&amp;M_deployment2"/>
      <sheetName val="p&amp;m_L&amp;T_Hire2"/>
      <sheetName val="PRECAST_lightconc-II3"/>
      <sheetName val="Unit_Rate2"/>
      <sheetName val="PointNo_52"/>
      <sheetName val="Monthly_Format_ATH_(ro)revised3"/>
      <sheetName val="Abs_Sheet(Fuel_oil_area)JAN3"/>
      <sheetName val="BOQ_Direct_selling_cost2"/>
      <sheetName val="Drop_Down_(Fixed)2"/>
      <sheetName val="Drop_Down2"/>
      <sheetName val="E_&amp;_R2"/>
      <sheetName val="IIST_(2)2"/>
      <sheetName val="IIST_(3)2"/>
      <sheetName val="TMLB_II_MAY132"/>
      <sheetName val="isro_JUL132"/>
      <sheetName val="IRIS_Jul132"/>
      <sheetName val="IRS_2_jul132"/>
      <sheetName val="isro_aug132"/>
      <sheetName val="IRIS_augg132"/>
      <sheetName val="SPRE_WORKING2"/>
      <sheetName val="IRS_2augg_132"/>
      <sheetName val="iist_sept132"/>
      <sheetName val="IRIS_SEPT132"/>
      <sheetName val="SPRE_SEPT2"/>
      <sheetName val="IRS2_SEPT_132"/>
      <sheetName val="iist_OCT_132"/>
      <sheetName val="IRIS_OCT132"/>
      <sheetName val="IRIS2_OCT132"/>
      <sheetName val="iist_nov132"/>
      <sheetName val="iris_nov132"/>
      <sheetName val="spre_nov132"/>
      <sheetName val="isro_dec132"/>
      <sheetName val="IRIS_DEC132"/>
      <sheetName val="isro_jan_142"/>
      <sheetName val="isro_feb142"/>
      <sheetName val="IRIS_FEB-142"/>
      <sheetName val="TMLB-II_FEB-142"/>
      <sheetName val="d-safe_DELUXE2"/>
      <sheetName val="ABP_inputs2"/>
      <sheetName val="Synergy_Sales_Budget2"/>
      <sheetName val="std.wt."/>
      <sheetName val="AoR Finishing"/>
      <sheetName val="upa"/>
      <sheetName val="FitOutConfCentre"/>
      <sheetName val="P+M - Tower Crane"/>
      <sheetName val="Voucher"/>
      <sheetName val="20 mm aggregates "/>
      <sheetName val="3cd Annexure"/>
      <sheetName val="Boulevard I Summary"/>
      <sheetName val="B-I Blockwork "/>
      <sheetName val="B-II-summary sheet "/>
      <sheetName val="B-II Blockwork  (2)"/>
      <sheetName val="B - III - Summary Sheet (2)"/>
      <sheetName val="B - III - Blockwork"/>
      <sheetName val="Hold Amount"/>
      <sheetName val="V-I Summary Sheet "/>
      <sheetName val="V-I Blockwork"/>
      <sheetName val="V-II Blockwork"/>
      <sheetName val="V-III- Blockwork"/>
      <sheetName val="Panorama -Summary-dwg"/>
      <sheetName val="NTA - 02 summary sheet (2)"/>
      <sheetName val="NTA-12-Summary"/>
      <sheetName val="NTA-13-Summary "/>
      <sheetName val="NTA-14-Summary "/>
      <sheetName val="NTA-21-Summary (2)"/>
      <sheetName val="SPT vs PHI"/>
      <sheetName val="RATE ANALYSIS."/>
      <sheetName val="COMPLEXALL"/>
      <sheetName val=""/>
      <sheetName val="ABSTRACT"/>
      <sheetName val="Civil Works"/>
      <sheetName val="Revised Summary"/>
      <sheetName val="Build-up"/>
      <sheetName val="RMC April 16"/>
      <sheetName val="LMR PF"/>
      <sheetName val="REL"/>
      <sheetName val="Process"/>
      <sheetName val="On-Costs"/>
      <sheetName val="BOQ FORM FOR INQUIRY"/>
      <sheetName val="FORM OF PROPOSAL RFP-003"/>
      <sheetName val="뜃맟뭁돽띿맟?-BLDG"/>
      <sheetName val="合成??作成表-BLDG"/>
      <sheetName val="合成単価作成表_BLDG"/>
      <sheetName val="TAV ANALIZ"/>
      <sheetName val="beam-reinft-IIInd floor"/>
      <sheetName val="Fill_this_out_first___2"/>
      <sheetName val="Abs_Sheet(Fuel_oil_area)JAN4"/>
      <sheetName val="Monthly_Format_ATH_(ro)revised4"/>
      <sheetName val="BOQ_Direct_selling_cost3"/>
      <sheetName val="int_hire3"/>
      <sheetName val="Steel_Summary4"/>
      <sheetName val="Basic_Rate4"/>
      <sheetName val="INFLUENCES_ON_GM4"/>
      <sheetName val="acevsSp_(ABC)4"/>
      <sheetName val="Drop_Down3"/>
      <sheetName val="Drop_Down_(Fixed)3"/>
      <sheetName val="E_&amp;_R3"/>
      <sheetName val="Legal_Risk_Analysis3"/>
      <sheetName val="PointNo_53"/>
      <sheetName val="IIST_(2)3"/>
      <sheetName val="IIST_(3)3"/>
      <sheetName val="TMLB_II_MAY133"/>
      <sheetName val="isro_JUL133"/>
      <sheetName val="IRIS_Jul133"/>
      <sheetName val="IRS_2_jul133"/>
      <sheetName val="isro_aug133"/>
      <sheetName val="IRIS_augg133"/>
      <sheetName val="SPRE_WORKING3"/>
      <sheetName val="IRS_2augg_133"/>
      <sheetName val="iist_sept133"/>
      <sheetName val="IRIS_SEPT133"/>
      <sheetName val="SPRE_SEPT3"/>
      <sheetName val="IRS2_SEPT_133"/>
      <sheetName val="iist_OCT_133"/>
      <sheetName val="IRIS_OCT133"/>
      <sheetName val="IRIS2_OCT133"/>
      <sheetName val="iist_nov133"/>
      <sheetName val="iris_nov133"/>
      <sheetName val="spre_nov133"/>
      <sheetName val="isro_dec133"/>
      <sheetName val="IRIS_DEC133"/>
      <sheetName val="isro_jan_143"/>
      <sheetName val="isro_feb143"/>
      <sheetName val="IRIS_FEB-143"/>
      <sheetName val="TMLB-II_FEB-143"/>
      <sheetName val="Fill_this_out_first___3"/>
      <sheetName val="Staff_Forecast_spread"/>
      <sheetName val="A.O.R r1Str"/>
      <sheetName val="A.O.R r1"/>
      <sheetName val="A.O.R (2)"/>
      <sheetName val="Cement Price Variation"/>
      <sheetName val="Shuttering Abstract"/>
      <sheetName val="입찰내역 발주처 양식"/>
      <sheetName val="11-hsd"/>
      <sheetName val="13-septic"/>
      <sheetName val="7-ug"/>
      <sheetName val="2-utility"/>
      <sheetName val="18-misc"/>
      <sheetName val="5-pipe"/>
      <sheetName val="77S(O)"/>
      <sheetName val="Vendor"/>
      <sheetName val="Recon"/>
      <sheetName val="Data_1"/>
      <sheetName val="Rehab_podium_footing"/>
      <sheetName val="Drop-Downs"/>
      <sheetName val="Exp. Villa  R2B 216"/>
      <sheetName val="Detail"/>
      <sheetName val="Labour productivity"/>
      <sheetName val="factors"/>
      <sheetName val="Item Master"/>
      <sheetName val="para"/>
      <sheetName val="kppl pl"/>
      <sheetName val="Productivity"/>
      <sheetName val="Material"/>
      <sheetName val="Labour rate"/>
      <sheetName val="Reinforcement"/>
      <sheetName val="Formwork"/>
      <sheetName val="Block work"/>
      <sheetName val="Plaster"/>
      <sheetName val="RR masonry"/>
      <sheetName val="Concrete for arch."/>
      <sheetName val="13. Steel - Ratio"/>
      <sheetName val="SCHEDULE"/>
      <sheetName val="Database"/>
      <sheetName val="schedule nos"/>
      <sheetName val="VARIABLE"/>
      <sheetName val="TTL"/>
      <sheetName val="SPT_vs_PHI"/>
      <sheetName val="SPT_vs_PHI2"/>
      <sheetName val="horizontal"/>
      <sheetName val="beam-reinft-IIInd_floor"/>
      <sheetName val="beam-reinft-IIInd_floor1"/>
      <sheetName val="beam-reinft-IIInd_floor2"/>
      <sheetName val="beam-reinft-IIInd_floor3"/>
      <sheetName val="beam-reinft-IIInd_floor4"/>
      <sheetName val="beam-reinft-IIInd_floor5"/>
      <sheetName val="beam-reinft-IIInd_floor6"/>
      <sheetName val="beam-reinft-machine rm"/>
      <sheetName val="石炭性状"/>
      <sheetName val="예가표"/>
      <sheetName val="손익현황"/>
      <sheetName val="현황CODE"/>
      <sheetName val="제출계산서"/>
      <sheetName val="당초"/>
      <sheetName val="Joints"/>
      <sheetName val="具志川H社"/>
      <sheetName val="자재단가"/>
      <sheetName val="수량 총괄표"/>
      <sheetName val="품질관리비 산출"/>
      <sheetName val="BQMPALOC"/>
      <sheetName val="Waste Wtr Drg"/>
      <sheetName val="BOQ-Sum"/>
      <sheetName val="목표세부명세"/>
      <sheetName val="Sheet5"/>
      <sheetName val="Lup"/>
      <sheetName val="Onerous Terms"/>
      <sheetName val="jyp"/>
      <sheetName val="Back"/>
      <sheetName val="22-SHUTTERING"/>
      <sheetName val="Activity List"/>
      <sheetName val="SUMM_ACTI. DISTRIBUTION"/>
      <sheetName val="PO Status"/>
      <sheetName val="Layout"/>
      <sheetName val="Summary"/>
      <sheetName val="dlvoid"/>
      <sheetName val="3M_WP"/>
      <sheetName val="Input Data R"/>
      <sheetName val="Input Data70+100MSA"/>
      <sheetName val="Input Data F"/>
      <sheetName val="ENCL9"/>
      <sheetName val="Material List "/>
      <sheetName val="Labour Rate "/>
      <sheetName val="(M+L)"/>
      <sheetName val="ETC Plant Cost"/>
      <sheetName val="Piling - Winch"/>
      <sheetName val="Basic Rates"/>
      <sheetName val="Qty. Abs"/>
      <sheetName val="Pile Liner &amp; Rebar"/>
      <sheetName val="BP"/>
      <sheetName val="Pile Conc."/>
      <sheetName val="Deck - Insitu Conc."/>
      <sheetName val="Precast Placing"/>
      <sheetName val="SS Rein"/>
      <sheetName val="Casting Yard"/>
      <sheetName val="Shutter"/>
      <sheetName val="Piling - Rig"/>
      <sheetName val="P&amp;M List"/>
      <sheetName val="Pile Cycle Time"/>
      <sheetName val="Enabling Structure"/>
      <sheetName val="BQ202 -App. Bridge"/>
      <sheetName val="BOQ 201&amp;203-Cont. Berth"/>
      <sheetName val="Lists"/>
      <sheetName val="가격분석@1100(990104)"/>
      <sheetName val="Escalation"/>
      <sheetName val="ELECTRICAL"/>
      <sheetName val="A"/>
      <sheetName val="AB.SOW"/>
      <sheetName val="Valid Data"/>
      <sheetName val="Sheet3"/>
      <sheetName val="갑지(추정)"/>
      <sheetName val="WORK"/>
      <sheetName val="3. Elemental Summary"/>
      <sheetName val="뜃맟뭁돽띿맟_-BLDG"/>
      <sheetName val="合成__作成表-BLDG"/>
      <sheetName val="Bank Guarantee"/>
      <sheetName val="CASHFLOWS"/>
      <sheetName val="MG"/>
      <sheetName val="India F&amp;S Template"/>
      <sheetName val="Demand"/>
      <sheetName val="Occ"/>
      <sheetName val="level"/>
      <sheetName val="Headings"/>
      <sheetName val="Schedule(4)"/>
      <sheetName val="Shor &amp; Shuter"/>
      <sheetName val="sheet6"/>
      <sheetName val="CASH-FLOW"/>
      <sheetName val="Cash Flow Input Data_ISC"/>
      <sheetName val="Interface_SC"/>
      <sheetName val="Calc_SC"/>
      <sheetName val="Interface_ISC"/>
      <sheetName val="GD"/>
      <sheetName val="hist&amp;proj"/>
      <sheetName val="Administrative Prices"/>
      <sheetName val="Assumption For Collection"/>
      <sheetName val="2 BHK"/>
      <sheetName val="Sec-I"/>
      <sheetName val="AC"/>
      <sheetName val="Set"/>
      <sheetName val="col-reinft1"/>
      <sheetName val="Sump"/>
      <sheetName val="Electrical "/>
      <sheetName val="ETC_Panorama"/>
      <sheetName val="Sludge_Cal"/>
      <sheetName val="Form 6"/>
      <sheetName val="office"/>
      <sheetName val="Lab"/>
      <sheetName val="PRL"/>
      <sheetName val="PLUMBING &amp; SANITORY"/>
      <sheetName val="Settings"/>
      <sheetName val="STEEL STRUCTURE"/>
      <sheetName val="Load Details(B1)"/>
      <sheetName val="FORM7"/>
      <sheetName val="Total Debtors Ageing Sheet"/>
      <sheetName val="VCH-SLC"/>
      <sheetName val="Item- Compact"/>
      <sheetName val="Supplier"/>
      <sheetName val="Ins &amp; Bonds"/>
      <sheetName val="YN"/>
      <sheetName val="DetEst"/>
      <sheetName val="dummy2"/>
      <sheetName val="BLOCK-A (MEA.SHEET)"/>
      <sheetName val="MASTER COMPONENT VIEW"/>
      <sheetName val="FIXING DETAILS"/>
      <sheetName val="Wall"/>
      <sheetName val="Labour Report Drop Down"/>
      <sheetName val="HWDG"/>
      <sheetName val="Démol."/>
      <sheetName val="Basic_Rate5"/>
      <sheetName val="INFLUENCES_ON_GM5"/>
      <sheetName val="acevsSp_(ABC)5"/>
      <sheetName val="Monthly_Format_ATH_(ro)revised5"/>
      <sheetName val="Abs_Sheet(Fuel_oil_area)JAN5"/>
      <sheetName val="Steel_Summary5"/>
      <sheetName val="int_hire4"/>
      <sheetName val="Drop_Down_(Fixed)4"/>
      <sheetName val="Drop_Down4"/>
      <sheetName val="BOQ_Direct_selling_cost4"/>
      <sheetName val="E_&amp;_R4"/>
      <sheetName val="Legal_Risk_Analysis4"/>
      <sheetName val="Data_11"/>
      <sheetName val="Rehab_podium_footing1"/>
      <sheetName val="PointNo_54"/>
      <sheetName val="Staff_Forecast_spread1"/>
      <sheetName val="IIST_(2)4"/>
      <sheetName val="IIST_(3)4"/>
      <sheetName val="TMLB_II_MAY134"/>
      <sheetName val="isro_JUL134"/>
      <sheetName val="IRIS_Jul134"/>
      <sheetName val="IRS_2_jul134"/>
      <sheetName val="isro_aug134"/>
      <sheetName val="IRIS_augg134"/>
      <sheetName val="SPRE_WORKING4"/>
      <sheetName val="IRS_2augg_134"/>
      <sheetName val="iist_sept134"/>
      <sheetName val="IRIS_SEPT134"/>
      <sheetName val="SPRE_SEPT4"/>
      <sheetName val="IRS2_SEPT_134"/>
      <sheetName val="iist_OCT_134"/>
      <sheetName val="IRIS_OCT134"/>
      <sheetName val="IRIS2_OCT134"/>
      <sheetName val="iist_nov134"/>
      <sheetName val="iris_nov134"/>
      <sheetName val="spre_nov134"/>
      <sheetName val="isro_dec134"/>
      <sheetName val="IRIS_DEC134"/>
      <sheetName val="isro_jan_144"/>
      <sheetName val="isro_feb144"/>
      <sheetName val="IRIS_FEB-144"/>
      <sheetName val="TMLB-II_FEB-144"/>
      <sheetName val="TAV_ANALIZ"/>
      <sheetName val="Shuttering_Abstract"/>
      <sheetName val="Total_Amount"/>
      <sheetName val="Fill_this_out_first___4"/>
      <sheetName val="A_O_R_r1Str"/>
      <sheetName val="A_O_R_r1"/>
      <sheetName val="A_O_R_(2)"/>
      <sheetName val="입찰내역_발주처_양식"/>
      <sheetName val="Boulevard_I_Summary"/>
      <sheetName val="B-I_Blockwork_"/>
      <sheetName val="B-II-summary_sheet_"/>
      <sheetName val="B-II_Blockwork__(2)"/>
      <sheetName val="B_-_III_-_Summary_Sheet_(2)"/>
      <sheetName val="B_-_III_-_Blockwork"/>
      <sheetName val="Hold_Amount"/>
      <sheetName val="V-I_Summary_Sheet_"/>
      <sheetName val="V-I_Blockwork"/>
      <sheetName val="V-II_Blockwork"/>
      <sheetName val="V-III-_Blockwork"/>
      <sheetName val="Panorama_-Summary-dwg"/>
      <sheetName val="NTA_-_02_summary_sheet_(2)"/>
      <sheetName val="NTA-13-Summary_"/>
      <sheetName val="NTA-14-Summary_"/>
      <sheetName val="NTA-21-Summary_(2)"/>
      <sheetName val="std_wt_"/>
      <sheetName val="BOQ_FORM_FOR_INQUIRY"/>
      <sheetName val="FORM_OF_PROPOSAL_RFP-003"/>
      <sheetName val="Revised_Summary"/>
      <sheetName val="RATE_ANALYSIS_"/>
      <sheetName val="Civil_Boq7"/>
      <sheetName val="Main_Summary7"/>
      <sheetName val="Summary_(G_H_Bachlor_C)7"/>
      <sheetName val="Basic_Rate6"/>
      <sheetName val="INFLUENCES_ON_GM6"/>
      <sheetName val="acevsSp_(ABC)6"/>
      <sheetName val="Monthly_Format_ATH_(ro)revised6"/>
      <sheetName val="Abs_Sheet(Fuel_oil_area)JAN6"/>
      <sheetName val="Steel_Summary6"/>
      <sheetName val="int_hire5"/>
      <sheetName val="Drop_Down_(Fixed)5"/>
      <sheetName val="Drop_Down5"/>
      <sheetName val="BOQ_Direct_selling_cost5"/>
      <sheetName val="E_&amp;_R5"/>
      <sheetName val="Legal_Risk_Analysis5"/>
      <sheetName val="RA_Format3"/>
      <sheetName val="Measurement-ID_works3"/>
      <sheetName val="Ph_1_-ESM_Pipe,_Bitumen3"/>
      <sheetName val="Data_12"/>
      <sheetName val="Rehab_podium_footing2"/>
      <sheetName val="PointNo_55"/>
      <sheetName val="Staff_Forecast_spread2"/>
      <sheetName val="IIST_(2)5"/>
      <sheetName val="IIST_(3)5"/>
      <sheetName val="TMLB_II_MAY135"/>
      <sheetName val="isro_JUL135"/>
      <sheetName val="IRIS_Jul135"/>
      <sheetName val="IRS_2_jul135"/>
      <sheetName val="isro_aug135"/>
      <sheetName val="IRIS_augg135"/>
      <sheetName val="SPRE_WORKING5"/>
      <sheetName val="IRS_2augg_135"/>
      <sheetName val="iist_sept135"/>
      <sheetName val="IRIS_SEPT135"/>
      <sheetName val="SPRE_SEPT5"/>
      <sheetName val="IRS2_SEPT_135"/>
      <sheetName val="iist_OCT_135"/>
      <sheetName val="IRIS_OCT135"/>
      <sheetName val="IRIS2_OCT135"/>
      <sheetName val="iist_nov135"/>
      <sheetName val="iris_nov135"/>
      <sheetName val="spre_nov135"/>
      <sheetName val="isro_dec135"/>
      <sheetName val="IRIS_DEC135"/>
      <sheetName val="isro_jan_145"/>
      <sheetName val="isro_feb145"/>
      <sheetName val="IRIS_FEB-145"/>
      <sheetName val="TMLB-II_FEB-145"/>
      <sheetName val="ETC_Panorama1"/>
      <sheetName val="TAV_ANALIZ1"/>
      <sheetName val="Sludge_Cal1"/>
      <sheetName val="Shuttering_Abstract1"/>
      <sheetName val="Total_Amount1"/>
      <sheetName val="Fill_this_out_first___5"/>
      <sheetName val="A_O_R_r1Str1"/>
      <sheetName val="A_O_R_r11"/>
      <sheetName val="A_O_R_(2)1"/>
      <sheetName val="입찰내역_발주처_양식1"/>
      <sheetName val="Boulevard_I_Summary1"/>
      <sheetName val="B-I_Blockwork_1"/>
      <sheetName val="B-II-summary_sheet_1"/>
      <sheetName val="B-II_Blockwork__(2)1"/>
      <sheetName val="B_-_III_-_Summary_Sheet_(2)1"/>
      <sheetName val="B_-_III_-_Blockwork1"/>
      <sheetName val="Hold_Amount1"/>
      <sheetName val="V-I_Summary_Sheet_1"/>
      <sheetName val="V-I_Blockwork1"/>
      <sheetName val="V-II_Blockwork1"/>
      <sheetName val="V-III-_Blockwork1"/>
      <sheetName val="Panorama_-Summary-dwg1"/>
      <sheetName val="NTA_-_02_summary_sheet_(2)1"/>
      <sheetName val="NTA-13-Summary_1"/>
      <sheetName val="NTA-14-Summary_1"/>
      <sheetName val="NTA-21-Summary_(2)1"/>
      <sheetName val="std_wt_1"/>
      <sheetName val="BOQ_FORM_FOR_INQUIRY1"/>
      <sheetName val="FORM_OF_PROPOSAL_RFP-0031"/>
      <sheetName val="Revised_Summary1"/>
      <sheetName val="RATE_ANALYSIS_1"/>
      <sheetName val="Misc__points11"/>
      <sheetName val="qty_abst11"/>
      <sheetName val="basic_11"/>
      <sheetName val="Rate_Analysis11"/>
      <sheetName val="Top_Sheet11"/>
      <sheetName val="Iron_Steel_&amp;_handrails11"/>
      <sheetName val="Civil_Boq9"/>
      <sheetName val="VENDOR_CODE_WO_NO8"/>
      <sheetName val="Master_Item_List8"/>
      <sheetName val="VENDER_DETAIL8"/>
      <sheetName val="Main_Summary9"/>
      <sheetName val="Summary_(G_H_Bachlor_C)9"/>
      <sheetName val="General_preliminaries8"/>
      <sheetName val="Work_Done_Bill_(2)8"/>
      <sheetName val="Drain_Work7"/>
      <sheetName val="Non-BOQ_summary7"/>
      <sheetName val="Curing_Bund_for_Sep'137"/>
      <sheetName val="IS_Summary8"/>
      <sheetName val="Basic_Rate8"/>
      <sheetName val="INFLUENCES_ON_GM8"/>
      <sheetName val="acevsSp_(ABC)8"/>
      <sheetName val="Monthly_Format_ATH_(ro)revised8"/>
      <sheetName val="Abs_Sheet(Fuel_oil_area)JAN8"/>
      <sheetName val="Site_Dev_BOQ8"/>
      <sheetName val="Steel_Summary8"/>
      <sheetName val="int_hire7"/>
      <sheetName val="Drop_Down_(Fixed)7"/>
      <sheetName val="Drop_Down7"/>
      <sheetName val="BOQ_Direct_selling_cost7"/>
      <sheetName val="STAFFSCHED_7"/>
      <sheetName val="E_&amp;_R7"/>
      <sheetName val="Legal_Risk_Analysis7"/>
      <sheetName val="RA_Format5"/>
      <sheetName val="Measurement-ID_works5"/>
      <sheetName val="IO_List4"/>
      <sheetName val="Ph_1_-ESM_Pipe,_Bitumen5"/>
      <sheetName val="major_qty4"/>
      <sheetName val="Major_P&amp;M_deployment4"/>
      <sheetName val="p&amp;m_L&amp;T_Hire4"/>
      <sheetName val="Data_14"/>
      <sheetName val="Rehab_podium_footing4"/>
      <sheetName val="PointNo_57"/>
      <sheetName val="Staff_Forecast_spread4"/>
      <sheetName val="IIST_(2)7"/>
      <sheetName val="IIST_(3)7"/>
      <sheetName val="TMLB_II_MAY137"/>
      <sheetName val="isro_JUL137"/>
      <sheetName val="IRIS_Jul137"/>
      <sheetName val="IRS_2_jul137"/>
      <sheetName val="isro_aug137"/>
      <sheetName val="IRIS_augg137"/>
      <sheetName val="SPRE_WORKING7"/>
      <sheetName val="IRS_2augg_137"/>
      <sheetName val="iist_sept137"/>
      <sheetName val="IRIS_SEPT137"/>
      <sheetName val="SPRE_SEPT7"/>
      <sheetName val="IRS2_SEPT_137"/>
      <sheetName val="iist_OCT_137"/>
      <sheetName val="IRIS_OCT137"/>
      <sheetName val="IRIS2_OCT137"/>
      <sheetName val="iist_nov137"/>
      <sheetName val="iris_nov137"/>
      <sheetName val="spre_nov137"/>
      <sheetName val="isro_dec137"/>
      <sheetName val="IRIS_DEC137"/>
      <sheetName val="isro_jan_147"/>
      <sheetName val="isro_feb147"/>
      <sheetName val="IRIS_FEB-147"/>
      <sheetName val="TMLB-II_FEB-147"/>
      <sheetName val="Unit_Rate3"/>
      <sheetName val="ETC_Panorama3"/>
      <sheetName val="PRECAST_lightconc-II4"/>
      <sheetName val="TAV_ANALIZ3"/>
      <sheetName val="Sludge_Cal3"/>
      <sheetName val="Shuttering_Abstract3"/>
      <sheetName val="SPT_vs_PHI4"/>
      <sheetName val="Total_Amount3"/>
      <sheetName val="Fill_this_out_first___7"/>
      <sheetName val="A_O_R_r1Str3"/>
      <sheetName val="A_O_R_r13"/>
      <sheetName val="A_O_R_(2)3"/>
      <sheetName val="입찰내역_발주처_양식3"/>
      <sheetName val="ABP_inputs3"/>
      <sheetName val="Synergy_Sales_Budget3"/>
      <sheetName val="Boulevard_I_Summary3"/>
      <sheetName val="B-I_Blockwork_3"/>
      <sheetName val="B-II-summary_sheet_3"/>
      <sheetName val="B-II_Blockwork__(2)3"/>
      <sheetName val="B_-_III_-_Summary_Sheet_(2)3"/>
      <sheetName val="B_-_III_-_Blockwork3"/>
      <sheetName val="Hold_Amount3"/>
      <sheetName val="V-I_Summary_Sheet_3"/>
      <sheetName val="V-I_Blockwork3"/>
      <sheetName val="V-II_Blockwork3"/>
      <sheetName val="V-III-_Blockwork3"/>
      <sheetName val="Panorama_-Summary-dwg3"/>
      <sheetName val="NTA_-_02_summary_sheet_(2)3"/>
      <sheetName val="NTA-13-Summary_3"/>
      <sheetName val="NTA-14-Summary_3"/>
      <sheetName val="NTA-21-Summary_(2)3"/>
      <sheetName val="std_wt_3"/>
      <sheetName val="BOQ_FORM_FOR_INQUIRY3"/>
      <sheetName val="FORM_OF_PROPOSAL_RFP-0033"/>
      <sheetName val="Revised_Summary3"/>
      <sheetName val="d-safe_DELUXE3"/>
      <sheetName val="RATE_ANALYSIS_3"/>
      <sheetName val="Misc__points10"/>
      <sheetName val="qty_abst10"/>
      <sheetName val="basic_10"/>
      <sheetName val="Rate_Analysis10"/>
      <sheetName val="Top_Sheet10"/>
      <sheetName val="Iron_Steel_&amp;_handrails10"/>
      <sheetName val="Civil_Boq8"/>
      <sheetName val="VENDOR_CODE_WO_NO7"/>
      <sheetName val="Master_Item_List7"/>
      <sheetName val="VENDER_DETAIL7"/>
      <sheetName val="Main_Summary8"/>
      <sheetName val="Summary_(G_H_Bachlor_C)8"/>
      <sheetName val="General_preliminaries7"/>
      <sheetName val="Work_Done_Bill_(2)7"/>
      <sheetName val="IS_Summary7"/>
      <sheetName val="Basic_Rate7"/>
      <sheetName val="INFLUENCES_ON_GM7"/>
      <sheetName val="acevsSp_(ABC)7"/>
      <sheetName val="Monthly_Format_ATH_(ro)revised7"/>
      <sheetName val="Abs_Sheet(Fuel_oil_area)JAN7"/>
      <sheetName val="Site_Dev_BOQ7"/>
      <sheetName val="Steel_Summary7"/>
      <sheetName val="int_hire6"/>
      <sheetName val="Drop_Down_(Fixed)6"/>
      <sheetName val="Drop_Down6"/>
      <sheetName val="BOQ_Direct_selling_cost6"/>
      <sheetName val="E_&amp;_R6"/>
      <sheetName val="Legal_Risk_Analysis6"/>
      <sheetName val="RA_Format4"/>
      <sheetName val="Measurement-ID_works4"/>
      <sheetName val="IO_List3"/>
      <sheetName val="Ph_1_-ESM_Pipe,_Bitumen4"/>
      <sheetName val="major_qty3"/>
      <sheetName val="Major_P&amp;M_deployment3"/>
      <sheetName val="p&amp;m_L&amp;T_Hire3"/>
      <sheetName val="Data_13"/>
      <sheetName val="Rehab_podium_footing3"/>
      <sheetName val="PointNo_56"/>
      <sheetName val="Staff_Forecast_spread3"/>
      <sheetName val="IIST_(2)6"/>
      <sheetName val="IIST_(3)6"/>
      <sheetName val="TMLB_II_MAY136"/>
      <sheetName val="isro_JUL136"/>
      <sheetName val="IRIS_Jul136"/>
      <sheetName val="IRS_2_jul136"/>
      <sheetName val="isro_aug136"/>
      <sheetName val="IRIS_augg136"/>
      <sheetName val="SPRE_WORKING6"/>
      <sheetName val="IRS_2augg_136"/>
      <sheetName val="iist_sept136"/>
      <sheetName val="IRIS_SEPT136"/>
      <sheetName val="SPRE_SEPT6"/>
      <sheetName val="IRS2_SEPT_136"/>
      <sheetName val="iist_OCT_136"/>
      <sheetName val="IRIS_OCT136"/>
      <sheetName val="IRIS2_OCT136"/>
      <sheetName val="iist_nov136"/>
      <sheetName val="iris_nov136"/>
      <sheetName val="spre_nov136"/>
      <sheetName val="isro_dec136"/>
      <sheetName val="IRIS_DEC136"/>
      <sheetName val="isro_jan_146"/>
      <sheetName val="isro_feb146"/>
      <sheetName val="IRIS_FEB-146"/>
      <sheetName val="TMLB-II_FEB-146"/>
      <sheetName val="ETC_Panorama2"/>
      <sheetName val="TAV_ANALIZ2"/>
      <sheetName val="Sludge_Cal2"/>
      <sheetName val="Shuttering_Abstract2"/>
      <sheetName val="SPT_vs_PHI3"/>
      <sheetName val="Total_Amount2"/>
      <sheetName val="Fill_this_out_first___6"/>
      <sheetName val="A_O_R_r1Str2"/>
      <sheetName val="A_O_R_r12"/>
      <sheetName val="A_O_R_(2)2"/>
      <sheetName val="입찰내역_발주처_양식2"/>
      <sheetName val="Boulevard_I_Summary2"/>
      <sheetName val="B-I_Blockwork_2"/>
      <sheetName val="B-II-summary_sheet_2"/>
      <sheetName val="B-II_Blockwork__(2)2"/>
      <sheetName val="B_-_III_-_Summary_Sheet_(2)2"/>
      <sheetName val="B_-_III_-_Blockwork2"/>
      <sheetName val="Hold_Amount2"/>
      <sheetName val="V-I_Summary_Sheet_2"/>
      <sheetName val="V-I_Blockwork2"/>
      <sheetName val="V-II_Blockwork2"/>
      <sheetName val="V-III-_Blockwork2"/>
      <sheetName val="Panorama_-Summary-dwg2"/>
      <sheetName val="NTA_-_02_summary_sheet_(2)2"/>
      <sheetName val="NTA-13-Summary_2"/>
      <sheetName val="NTA-14-Summary_2"/>
      <sheetName val="NTA-21-Summary_(2)2"/>
      <sheetName val="std_wt_2"/>
      <sheetName val="BOQ_FORM_FOR_INQUIRY2"/>
      <sheetName val="FORM_OF_PROPOSAL_RFP-0032"/>
      <sheetName val="Revised_Summary2"/>
      <sheetName val="RATE_ANALYSIS_2"/>
      <sheetName val="Stress_Calculation7"/>
      <sheetName val="Assumption_Inputs7"/>
      <sheetName val="AoR_Finishing"/>
      <sheetName val="P+M_-_Tower_Crane"/>
      <sheetName val="RMC_April_16"/>
      <sheetName val="LMR_PF"/>
      <sheetName val="Cement_Price_Variation"/>
      <sheetName val="Fee Rate Summary"/>
      <sheetName val="Costing"/>
      <sheetName val="Cash2"/>
      <sheetName val="Z"/>
      <sheetName val="Calendar"/>
      <sheetName val="banilad"/>
      <sheetName val="inWords"/>
      <sheetName val="dBase"/>
      <sheetName val="labour_coeff"/>
      <sheetName val="item"/>
      <sheetName val="Material&amp;equipment"/>
      <sheetName val="Mactan"/>
      <sheetName val="Mandaue"/>
      <sheetName val="AOR"/>
      <sheetName val="RateAnalysis"/>
      <sheetName val="Wordsdata"/>
      <sheetName val="細目"/>
      <sheetName val="BOM"/>
      <sheetName val="sheeet7"/>
      <sheetName val="Name List"/>
      <sheetName val="Est To comp-KTRP"/>
      <sheetName val="JCR TOP(ITEM)-KTRP"/>
      <sheetName val="INDEX"/>
      <sheetName val="AREAS"/>
      <sheetName val="Activity_List"/>
      <sheetName val="SUMM_ACTI__DISTRIBUTION"/>
      <sheetName val="Sign Boards"/>
      <sheetName val="FRL Shan"/>
      <sheetName val="COLUMN"/>
      <sheetName val="Rates Basic"/>
      <sheetName val="UNP-NCW "/>
      <sheetName val="FT-05-02IsoBOM"/>
      <sheetName val="sof"/>
      <sheetName val="Comparison"/>
      <sheetName val="unit table"/>
      <sheetName val="pricing"/>
      <sheetName val="SC list"/>
      <sheetName val="drg"/>
      <sheetName val="07"/>
      <sheetName val="S1BOQ &amp; Workplan"/>
      <sheetName val="CS Appl Summary"/>
      <sheetName val="PROCTOR"/>
      <sheetName val="pile Fabrication"/>
      <sheetName val="Filter"/>
      <sheetName val="BHANDUP"/>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Jindal-Control Cable Sch- 400KV"/>
      <sheetName val="Cul_detail"/>
      <sheetName val="analysis-superstructure"/>
      <sheetName val="M+MC"/>
      <sheetName val="Intro"/>
      <sheetName val=" "/>
      <sheetName val="REFERENCE"/>
      <sheetName val="SSR _ NSSR Market final"/>
      <sheetName val="Wag&amp;Sal"/>
      <sheetName val="Architect"/>
      <sheetName val="MFG"/>
      <sheetName val="Civil_Works"/>
      <sheetName val="beam-reinft-IIInd_floor7"/>
      <sheetName val="3cd_Annexure"/>
      <sheetName val="beam-reinft-machine_rm"/>
      <sheetName val="20_mm_aggregates_"/>
      <sheetName val="수량_총괄표"/>
      <sheetName val="품질관리비_산출"/>
      <sheetName val="Waste_Wtr_Drg"/>
      <sheetName val="Onerous_Terms"/>
      <sheetName val="Name_Manager"/>
      <sheetName val="Input_Rates"/>
      <sheetName val="Detailed_Areas"/>
      <sheetName val="Exp__Villa__R2B_216"/>
      <sheetName val="AB_SOW"/>
      <sheetName val="Valid_Data"/>
      <sheetName val="Assumption_For_Collection"/>
      <sheetName val="Material_List_"/>
      <sheetName val="Labour_Rate_"/>
      <sheetName val="Labour_productivity"/>
      <sheetName val="Item_Master"/>
      <sheetName val="kppl_pl"/>
      <sheetName val="2_BHK"/>
      <sheetName val="Cash_Flow_Input_Data_ISC"/>
      <sheetName val="PO_Status"/>
      <sheetName val="NPV"/>
      <sheetName val="Filters"/>
      <sheetName val="TB"/>
      <sheetName val="BS"/>
      <sheetName val="RA"/>
      <sheetName val="Vendor Details"/>
      <sheetName val="BOQ (2)"/>
      <sheetName val="Costcal"/>
      <sheetName val="XL4Test5"/>
      <sheetName val="Debtors analysis"/>
      <sheetName val="Sheet3 (2)"/>
      <sheetName val="WBS"/>
      <sheetName val="bill 2"/>
      <sheetName val="총괄표"/>
      <sheetName val="Micro"/>
      <sheetName val="Macro"/>
      <sheetName val="Scaff-Rose"/>
      <sheetName val="cost summary"/>
      <sheetName val="Elec Summ"/>
      <sheetName val="ELEC BOQ"/>
      <sheetName val="TRACK BUSWAY"/>
      <sheetName val="BBT"/>
      <sheetName val="LIGHTING"/>
      <sheetName val="LMS"/>
      <sheetName val="Misc__points12"/>
      <sheetName val="qty_abst12"/>
      <sheetName val="basic_12"/>
      <sheetName val="Rate_Analysis12"/>
      <sheetName val="Iron_Steel_&amp;_handrails12"/>
      <sheetName val="Top_Sheet12"/>
      <sheetName val="VENDOR_CODE_WO_NO9"/>
      <sheetName val="Master_Item_List9"/>
      <sheetName val="VENDER_DETAIL9"/>
      <sheetName val="Civil_Boq10"/>
      <sheetName val="Main_Summary10"/>
      <sheetName val="Summary_(G_H_Bachlor_C)10"/>
      <sheetName val="General_preliminaries9"/>
      <sheetName val="Drain_Work8"/>
      <sheetName val="Non-BOQ_summary8"/>
      <sheetName val="Curing_Bund_for_Sep'138"/>
      <sheetName val="Work_Done_Bill_(2)9"/>
      <sheetName val="IS_Summary9"/>
      <sheetName val="STAFFSCHED_8"/>
      <sheetName val="Steel_Summary9"/>
      <sheetName val="Basic_Rate9"/>
      <sheetName val="INFLUENCES_ON_GM9"/>
      <sheetName val="acevsSp_(ABC)9"/>
      <sheetName val="int_hire8"/>
      <sheetName val="IO_List5"/>
      <sheetName val="Site_Dev_BOQ9"/>
      <sheetName val="Ph_1_-ESM_Pipe,_Bitumen6"/>
      <sheetName val="Legal_Risk_Analysis8"/>
      <sheetName val="RA_Format6"/>
      <sheetName val="Measurement-ID_works6"/>
      <sheetName val="Monthly_Format_ATH_(ro)revised9"/>
      <sheetName val="Abs_Sheet(Fuel_oil_area)JAN9"/>
      <sheetName val="Drop_Down_(Fixed)8"/>
      <sheetName val="Drop_Down8"/>
      <sheetName val="BOQ_Direct_selling_cost8"/>
      <sheetName val="E_&amp;_R8"/>
      <sheetName val="PointNo_58"/>
      <sheetName val="IIST_(2)8"/>
      <sheetName val="IIST_(3)8"/>
      <sheetName val="TMLB_II_MAY138"/>
      <sheetName val="isro_JUL138"/>
      <sheetName val="IRIS_Jul138"/>
      <sheetName val="IRS_2_jul138"/>
      <sheetName val="isro_aug138"/>
      <sheetName val="IRIS_augg138"/>
      <sheetName val="SPRE_WORKING8"/>
      <sheetName val="IRS_2augg_138"/>
      <sheetName val="iist_sept138"/>
      <sheetName val="IRIS_SEPT138"/>
      <sheetName val="SPRE_SEPT8"/>
      <sheetName val="IRS2_SEPT_138"/>
      <sheetName val="iist_OCT_138"/>
      <sheetName val="IRIS_OCT138"/>
      <sheetName val="IRIS2_OCT138"/>
      <sheetName val="iist_nov138"/>
      <sheetName val="iris_nov138"/>
      <sheetName val="spre_nov138"/>
      <sheetName val="isro_dec138"/>
      <sheetName val="IRIS_DEC138"/>
      <sheetName val="isro_jan_148"/>
      <sheetName val="isro_feb148"/>
      <sheetName val="IRIS_FEB-148"/>
      <sheetName val="TMLB-II_FEB-148"/>
      <sheetName val="major_qty5"/>
      <sheetName val="Major_P&amp;M_deployment5"/>
      <sheetName val="p&amp;m_L&amp;T_Hire5"/>
      <sheetName val="Data_15"/>
      <sheetName val="PRECAST_lightconc-II5"/>
      <sheetName val="Stress_Calculation8"/>
      <sheetName val="Assumption_Inputs8"/>
      <sheetName val="Unit_Rate4"/>
      <sheetName val="ABP_inputs4"/>
      <sheetName val="Synergy_Sales_Budget4"/>
      <sheetName val="Rehab_podium_footing5"/>
      <sheetName val="ETC_Panorama4"/>
      <sheetName val="Boulevard_I_Summary4"/>
      <sheetName val="B-I_Blockwork_4"/>
      <sheetName val="B-II-summary_sheet_4"/>
      <sheetName val="B-II_Blockwork__(2)4"/>
      <sheetName val="B_-_III_-_Summary_Sheet_(2)4"/>
      <sheetName val="B_-_III_-_Blockwork4"/>
      <sheetName val="Hold_Amount4"/>
      <sheetName val="V-I_Summary_Sheet_4"/>
      <sheetName val="V-I_Blockwork4"/>
      <sheetName val="V-II_Blockwork4"/>
      <sheetName val="V-III-_Blockwork4"/>
      <sheetName val="Panorama_-Summary-dwg4"/>
      <sheetName val="NTA_-_02_summary_sheet_(2)4"/>
      <sheetName val="NTA-13-Summary_4"/>
      <sheetName val="NTA-14-Summary_4"/>
      <sheetName val="NTA-21-Summary_(2)4"/>
      <sheetName val="Staff_Forecast_spread5"/>
      <sheetName val="Sludge_Cal4"/>
      <sheetName val="Fill_this_out_first___8"/>
      <sheetName val="SPT_vs_PHI5"/>
      <sheetName val="d-safe_DELUXE4"/>
      <sheetName val="Total_Amount4"/>
      <sheetName val="Revised_Summary4"/>
      <sheetName val="RMC_April_161"/>
      <sheetName val="LMR_PF1"/>
      <sheetName val="RATE_ANALYSIS_4"/>
      <sheetName val="AoR_Finishing1"/>
      <sheetName val="P+M_-_Tower_Crane1"/>
      <sheetName val="Cement_Price_Variation1"/>
      <sheetName val="BOQ_FORM_FOR_INQUIRY4"/>
      <sheetName val="FORM_OF_PROPOSAL_RFP-0034"/>
      <sheetName val="std_wt_4"/>
      <sheetName val="A_O_R_r1Str4"/>
      <sheetName val="A_O_R_r14"/>
      <sheetName val="A_O_R_(2)4"/>
      <sheetName val="Shuttering_Abstract4"/>
      <sheetName val="입찰내역_발주처_양식4"/>
      <sheetName val="TAV_ANALIZ4"/>
      <sheetName val="Labour_rate"/>
      <sheetName val="Block_work"/>
      <sheetName val="RR_masonry"/>
      <sheetName val="Concrete_for_arch_"/>
      <sheetName val="13__Steel_-_Ratio"/>
      <sheetName val="Input_Data_R"/>
      <sheetName val="Input_Data70+100MSA"/>
      <sheetName val="Input_Data_F"/>
      <sheetName val="3__Elemental_Summary"/>
      <sheetName val="ETC_Plant_Cost"/>
      <sheetName val="Piling_-_Winch"/>
      <sheetName val="Basic_Rates"/>
      <sheetName val="Qty__Abs"/>
      <sheetName val="Pile_Liner_&amp;_Rebar"/>
      <sheetName val="Pile_Conc_"/>
      <sheetName val="Deck_-_Insitu_Conc_"/>
      <sheetName val="Precast_Placing"/>
      <sheetName val="SS_Rein"/>
      <sheetName val="Casting_Yard"/>
      <sheetName val="Piling_-_Rig"/>
      <sheetName val="P&amp;M_List"/>
      <sheetName val="Pile_Cycle_Time"/>
      <sheetName val="Enabling_Structure"/>
      <sheetName val="BQ202_-App__Bridge"/>
      <sheetName val="BOQ_201&amp;203-Cont__Berth"/>
      <sheetName val="Bank_Guarantee"/>
      <sheetName val="India_F&amp;S_Template"/>
      <sheetName val="Administrative_Prices"/>
      <sheetName val="Fee_Rate_Summary"/>
      <sheetName val="STEEL_STRUCTURE"/>
      <sheetName val="Load_Details(B1)"/>
      <sheetName val="Pile cap"/>
      <sheetName val="loadcal"/>
      <sheetName val="Option"/>
      <sheetName val="P-Ins &amp; Bonds"/>
      <sheetName val="INPUT SHEET"/>
      <sheetName val="Cost of O &amp; O"/>
      <sheetName val=" AnalysisPCC"/>
      <sheetName val="Analysis-NH-Culverts"/>
      <sheetName val="equiptment"/>
      <sheetName val="FORM-W3"/>
      <sheetName val="Rates_PVC"/>
      <sheetName val="General"/>
      <sheetName val="Input Data"/>
      <sheetName val="exp-ded-jan' 06"/>
      <sheetName val="LTG-STG"/>
      <sheetName val="Total_Debtors_Ageing_Sheet"/>
      <sheetName val="Status Summary"/>
      <sheetName val="Detail In Door Stad"/>
      <sheetName val="Period"/>
      <sheetName val="Slope area"/>
      <sheetName val="Rev P&amp;M"/>
      <sheetName val="Section_by_layers_old"/>
      <sheetName val="Indices"/>
      <sheetName val="Core Data"/>
      <sheetName val="Manpower Histogram"/>
      <sheetName val="DISCOUNT"/>
      <sheetName val="ABST"/>
      <sheetName val="XREF"/>
      <sheetName val="labour rates"/>
      <sheetName val="Construction"/>
      <sheetName val="Vind-BtB"/>
      <sheetName val="AR"/>
      <sheetName val="Sheet4"/>
      <sheetName val="Debit Notes"/>
      <sheetName val="Shor_&amp;_Shuter"/>
      <sheetName val="BLOCK-A_(MEA_SHEET)"/>
      <sheetName val="Electrical_"/>
      <sheetName val="Form_6"/>
      <sheetName val="PriceSummary"/>
      <sheetName val="MN T.B."/>
      <sheetName val="Rate analysis- BOQ 1 "/>
      <sheetName val="TBAL9697 -group wise  sdpl"/>
      <sheetName val="S &amp; A"/>
      <sheetName val="TRIAL BALANCE"/>
      <sheetName val="Pile_cap"/>
      <sheetName val="list"/>
      <sheetName val="CEMENT PSP"/>
      <sheetName val="TORRENT CEMENT"/>
      <sheetName val="RA-markate"/>
      <sheetName val="Internet"/>
      <sheetName val="FR FAB"/>
      <sheetName val="HALA 3G"/>
      <sheetName val="3ZEE 3G"/>
      <sheetName val="Manoj 3G"/>
      <sheetName val="Data Input"/>
      <sheetName val="bill_2"/>
      <sheetName val="SSR___NSSR_Market_final"/>
      <sheetName val="Ins_&amp;_Bonds"/>
      <sheetName val="cost_summary"/>
      <sheetName val="Elec_Summ"/>
      <sheetName val="ELEC_BOQ"/>
      <sheetName val="TRACK_BUSWAY"/>
      <sheetName val="schedule_nos"/>
      <sheetName val="August Construction Planning  "/>
      <sheetName val="Internal Planning"/>
      <sheetName val="July'2019 Weekly"/>
      <sheetName val="estimate"/>
      <sheetName val="fin stmt"/>
      <sheetName val="???? ??? ??"/>
      <sheetName val="01 ID Code Index"/>
      <sheetName val="01 Code Index"/>
      <sheetName val="공사비 내역 (가)"/>
      <sheetName val="Fin Sum"/>
      <sheetName val="HVAC"/>
      <sheetName val="Cash Flow Working"/>
      <sheetName val="calcul"/>
      <sheetName val="MASTER_RATE ANALYSIS"/>
      <sheetName val="Insts"/>
      <sheetName val="STATE CODE"/>
      <sheetName val="PNTEXT"/>
      <sheetName val="MASONARY"/>
      <sheetName val="Working"/>
      <sheetName val="PE"/>
      <sheetName val="Materials Cost(PCC)"/>
      <sheetName val="T&amp;M"/>
      <sheetName val="Checklist"/>
      <sheetName val="Track-01"/>
      <sheetName val="PC 01"/>
      <sheetName val="PC (2)"/>
      <sheetName val="Track"/>
      <sheetName val="Debit Abstract"/>
      <sheetName val="Terrace"/>
      <sheetName val="Irrigation"/>
      <sheetName val="Balcony"/>
      <sheetName val="Kitchen"/>
      <sheetName val="Amendment"/>
      <sheetName val="Club house"/>
      <sheetName val="Shaft"/>
      <sheetName val="T-1 Internal"/>
      <sheetName val="T-2 Internal "/>
      <sheetName val="T-3 Internal  "/>
      <sheetName val="T-4 Internal "/>
      <sheetName val="T-5 Internal "/>
      <sheetName val="Core Cutting"/>
      <sheetName val="External"/>
      <sheetName val="Misc__points13"/>
      <sheetName val="qty_abst13"/>
      <sheetName val="basic_13"/>
      <sheetName val="Rate_Analysis13"/>
      <sheetName val="Iron_Steel_&amp;_handrails13"/>
      <sheetName val="Top_Sheet13"/>
      <sheetName val="VENDOR_CODE_WO_NO10"/>
      <sheetName val="Master_Item_List10"/>
      <sheetName val="Steel_Summary10"/>
      <sheetName val="General_preliminaries10"/>
      <sheetName val="VENDER_DETAIL10"/>
      <sheetName val="Misc__points14"/>
      <sheetName val="qty_abst14"/>
      <sheetName val="basic_14"/>
      <sheetName val="Rate_Analysis14"/>
      <sheetName val="Iron_Steel_&amp;_handrails14"/>
      <sheetName val="Top_Sheet14"/>
      <sheetName val="VENDOR_CODE_WO_NO11"/>
      <sheetName val="Master_Item_List11"/>
      <sheetName val="Steel_Summary11"/>
      <sheetName val="Civil_Boq11"/>
      <sheetName val="Main_Summary11"/>
      <sheetName val="Summary_(G_H_Bachlor_C)11"/>
      <sheetName val="General_preliminaries11"/>
      <sheetName val="VENDER_DETAIL11"/>
      <sheetName val="Misc__points15"/>
      <sheetName val="qty_abst15"/>
      <sheetName val="basic_15"/>
      <sheetName val="Rate_Analysis15"/>
      <sheetName val="Iron_Steel_&amp;_handrails15"/>
      <sheetName val="Top_Sheet15"/>
      <sheetName val="VENDOR_CODE_WO_NO12"/>
      <sheetName val="Master_Item_List12"/>
      <sheetName val="Steel_Summary12"/>
      <sheetName val="Civil_Boq12"/>
      <sheetName val="Main_Summary12"/>
      <sheetName val="Summary_(G_H_Bachlor_C)12"/>
      <sheetName val="General_preliminaries12"/>
      <sheetName val="VENDER_DETAIL12"/>
      <sheetName val="Misc__points16"/>
      <sheetName val="qty_abst16"/>
      <sheetName val="basic_16"/>
      <sheetName val="Rate_Analysis16"/>
      <sheetName val="Iron_Steel_&amp;_handrails16"/>
      <sheetName val="Top_Sheet16"/>
      <sheetName val="VENDOR_CODE_WO_NO13"/>
      <sheetName val="Master_Item_List13"/>
      <sheetName val="Steel_Summary13"/>
      <sheetName val="Civil_Boq13"/>
      <sheetName val="Main_Summary13"/>
      <sheetName val="Summary_(G_H_Bachlor_C)13"/>
      <sheetName val="General_preliminaries13"/>
      <sheetName val="VENDER_DETAIL13"/>
      <sheetName val="Misc__points17"/>
      <sheetName val="qty_abst17"/>
      <sheetName val="basic_17"/>
      <sheetName val="Rate_Analysis17"/>
      <sheetName val="Iron_Steel_&amp;_handrails17"/>
      <sheetName val="Top_Sheet17"/>
      <sheetName val="VENDOR_CODE_WO_NO14"/>
      <sheetName val="Master_Item_List14"/>
      <sheetName val="Steel_Summary14"/>
      <sheetName val="Civil_Boq14"/>
      <sheetName val="Main_Summary14"/>
      <sheetName val="Summary_(G_H_Bachlor_C)14"/>
      <sheetName val="General_preliminaries14"/>
      <sheetName val="VENDER_DETAIL14"/>
      <sheetName val="Misc__points18"/>
      <sheetName val="qty_abst18"/>
      <sheetName val="basic_18"/>
      <sheetName val="Rate_Analysis18"/>
      <sheetName val="Iron_Steel_&amp;_handrails18"/>
      <sheetName val="Top_Sheet18"/>
      <sheetName val="VENDOR_CODE_WO_NO15"/>
      <sheetName val="Master_Item_List15"/>
      <sheetName val="Steel_Summary15"/>
      <sheetName val="Civil_Boq15"/>
      <sheetName val="Main_Summary15"/>
      <sheetName val="Summary_(G_H_Bachlor_C)15"/>
      <sheetName val="General_preliminaries15"/>
      <sheetName val="VENDER_DETAIL15"/>
      <sheetName val="Misc__points19"/>
      <sheetName val="qty_abst19"/>
      <sheetName val="basic_19"/>
      <sheetName val="Rate_Analysis19"/>
      <sheetName val="Iron_Steel_&amp;_handrails19"/>
      <sheetName val="Top_Sheet19"/>
      <sheetName val="VENDOR_CODE_WO_NO16"/>
      <sheetName val="Master_Item_List16"/>
      <sheetName val="Steel_Summary16"/>
      <sheetName val="Civil_Boq16"/>
      <sheetName val="Main_Summary16"/>
      <sheetName val="Summary_(G_H_Bachlor_C)16"/>
      <sheetName val="General_preliminaries16"/>
      <sheetName val="VENDER_DETAIL16"/>
      <sheetName val="Misc__points20"/>
      <sheetName val="qty_abst20"/>
      <sheetName val="basic_20"/>
      <sheetName val="Rate_Analysis20"/>
      <sheetName val="Iron_Steel_&amp;_handrails20"/>
      <sheetName val="Top_Sheet20"/>
      <sheetName val="VENDOR_CODE_WO_NO17"/>
      <sheetName val="Master_Item_List17"/>
      <sheetName val="Steel_Summary17"/>
      <sheetName val="Civil_Boq17"/>
      <sheetName val="Main_Summary17"/>
      <sheetName val="Summary_(G_H_Bachlor_C)17"/>
      <sheetName val="General_preliminaries17"/>
      <sheetName val="VENDER_DETAIL17"/>
      <sheetName val="Misc__points21"/>
      <sheetName val="qty_abst21"/>
      <sheetName val="basic_21"/>
      <sheetName val="Rate_Analysis21"/>
      <sheetName val="Iron_Steel_&amp;_handrails21"/>
      <sheetName val="Top_Sheet21"/>
      <sheetName val="VENDOR_CODE_WO_NO18"/>
      <sheetName val="Master_Item_List18"/>
      <sheetName val="Steel_Summary18"/>
      <sheetName val="Civil_Boq18"/>
      <sheetName val="Main_Summary18"/>
      <sheetName val="Summary_(G_H_Bachlor_C)18"/>
      <sheetName val="General_preliminaries18"/>
      <sheetName val="VENDER_DETAIL18"/>
      <sheetName val="Misc__points22"/>
      <sheetName val="qty_abst22"/>
      <sheetName val="basic_22"/>
      <sheetName val="Rate_Analysis22"/>
      <sheetName val="Iron_Steel_&amp;_handrails22"/>
      <sheetName val="Top_Sheet22"/>
      <sheetName val="VENDOR_CODE_WO_NO19"/>
      <sheetName val="Master_Item_List19"/>
      <sheetName val="Steel_Summary19"/>
      <sheetName val="Civil_Boq19"/>
      <sheetName val="Main_Summary19"/>
      <sheetName val="Summary_(G_H_Bachlor_C)19"/>
      <sheetName val="General_preliminaries19"/>
      <sheetName val="VENDER_DETAIL19"/>
      <sheetName val="Misc__points23"/>
      <sheetName val="qty_abst23"/>
      <sheetName val="basic_23"/>
      <sheetName val="Rate_Analysis23"/>
      <sheetName val="Iron_Steel_&amp;_handrails23"/>
      <sheetName val="Top_Sheet23"/>
      <sheetName val="VENDOR_CODE_WO_NO20"/>
      <sheetName val="Master_Item_List20"/>
      <sheetName val="Steel_Summary20"/>
      <sheetName val="Civil_Boq20"/>
      <sheetName val="Main_Summary20"/>
      <sheetName val="Summary_(G_H_Bachlor_C)20"/>
      <sheetName val="General_preliminaries20"/>
      <sheetName val="VENDER_DETAIL20"/>
      <sheetName val="Misc__points24"/>
      <sheetName val="qty_abst24"/>
      <sheetName val="basic_24"/>
      <sheetName val="Rate_Analysis24"/>
      <sheetName val="Iron_Steel_&amp;_handrails24"/>
      <sheetName val="Top_Sheet24"/>
      <sheetName val="VENDOR_CODE_WO_NO21"/>
      <sheetName val="Master_Item_List21"/>
      <sheetName val="Steel_Summary21"/>
      <sheetName val="Civil_Boq21"/>
      <sheetName val="Main_Summary21"/>
      <sheetName val="Summary_(G_H_Bachlor_C)21"/>
      <sheetName val="General_preliminaries21"/>
      <sheetName val="VENDER_DETAIL21"/>
      <sheetName val="Misc__points25"/>
      <sheetName val="qty_abst25"/>
      <sheetName val="basic_25"/>
      <sheetName val="Rate_Analysis25"/>
      <sheetName val="Iron_Steel_&amp;_handrails25"/>
      <sheetName val="Top_Sheet25"/>
      <sheetName val="VENDOR_CODE_WO_NO22"/>
      <sheetName val="Master_Item_List22"/>
      <sheetName val="Steel_Summary22"/>
      <sheetName val="Civil_Boq22"/>
      <sheetName val="Main_Summary22"/>
      <sheetName val="Summary_(G_H_Bachlor_C)22"/>
      <sheetName val="General_preliminaries22"/>
      <sheetName val="VENDER_DETAIL22"/>
      <sheetName val="Misc__points26"/>
      <sheetName val="qty_abst26"/>
      <sheetName val="basic_26"/>
      <sheetName val="Rate_Analysis26"/>
      <sheetName val="Iron_Steel_&amp;_handrails26"/>
      <sheetName val="Top_Sheet26"/>
      <sheetName val="VENDOR_CODE_WO_NO23"/>
      <sheetName val="Master_Item_List23"/>
      <sheetName val="Steel_Summary23"/>
      <sheetName val="Civil_Boq23"/>
      <sheetName val="Main_Summary23"/>
      <sheetName val="Summary_(G_H_Bachlor_C)23"/>
      <sheetName val="General_preliminaries23"/>
      <sheetName val="VENDER_DETAIL23"/>
      <sheetName val="Exca."/>
      <sheetName val="Rein. Steel"/>
      <sheetName val="Blockwork"/>
      <sheetName val="IDC-Pl Pro PCC"/>
      <sheetName val="IDC-Brick Bat"/>
      <sheetName val="IDC-Roofing"/>
      <sheetName val="CMB-Roof Wall Col"/>
      <sheetName val="CMB-RF Beam"/>
      <sheetName val="CMB-Brick Bat"/>
      <sheetName val="PP-Brick Bat"/>
      <sheetName val="HVAC Pl Pro"/>
      <sheetName val="Exc. Deduction"/>
      <sheetName val="IDC-Pl Pro-ATT"/>
      <sheetName val="RES-PLANNING"/>
      <sheetName val="Cost_Any."/>
      <sheetName val="Mat_Cost"/>
      <sheetName val="Materials Cost"/>
      <sheetName val="Site facilities"/>
      <sheetName val="Clients Requirements"/>
      <sheetName val="Format 1.9 Ph-1"/>
      <sheetName val="OC 17-04-06"/>
      <sheetName val="Cat A Change Control"/>
      <sheetName val="Truss Section"/>
      <sheetName val="Proposal"/>
      <sheetName val="Site clearance"/>
      <sheetName val="Earthwork"/>
      <sheetName val="Subbase"/>
      <sheetName val="Bituminous"/>
      <sheetName val="Culverts"/>
      <sheetName val="Bridge"/>
      <sheetName val="Drainage"/>
      <sheetName val="junctions"/>
      <sheetName val="Traffic sign"/>
      <sheetName val="Miscellaneous"/>
      <sheetName val="beam-reinft-IIInd_floor8"/>
      <sheetName val="3cd_Annexure1"/>
      <sheetName val="beam-reinft-machine_rm1"/>
      <sheetName val="20_mm_aggregates_1"/>
      <sheetName val="수량_총괄표1"/>
      <sheetName val="품질관리비_산출1"/>
      <sheetName val="Waste_Wtr_Drg1"/>
      <sheetName val="Onerous_Terms1"/>
      <sheetName val="Civil_Works1"/>
      <sheetName val="Activity_List1"/>
      <sheetName val="SUMM_ACTI__DISTRIBUTION1"/>
      <sheetName val="PO_Status1"/>
      <sheetName val="Name_Manager1"/>
      <sheetName val="Input_Rates1"/>
      <sheetName val="Detailed_Areas1"/>
      <sheetName val="Material_List_1"/>
      <sheetName val="Labour_Rate_1"/>
      <sheetName val="Exp__Villa__R2B_2161"/>
      <sheetName val="Labour_productivity1"/>
      <sheetName val="Item_Master1"/>
      <sheetName val="kppl_pl1"/>
      <sheetName val="AB_SOW1"/>
      <sheetName val="Valid_Data1"/>
      <sheetName val="Cash_Flow_Input_Data_ISC1"/>
      <sheetName val="2_BHK1"/>
      <sheetName val="Est_To_comp-KTRP"/>
      <sheetName val="JCR_TOP(ITEM)-KTRP"/>
      <sheetName val="Assumption_For_Collection1"/>
      <sheetName val="Name_List"/>
      <sheetName val="Sign_Boards"/>
      <sheetName val="FRL_Shan"/>
      <sheetName val="Rates_Basic"/>
      <sheetName val="UNP-NCW_"/>
      <sheetName val="unit_table"/>
      <sheetName val="SC_list"/>
      <sheetName val="S1BOQ_&amp;_Workplan"/>
      <sheetName val="CS_Appl_Summary"/>
      <sheetName val="pile_Fabrication"/>
      <sheetName val="Jindal-Control_Cable_Sch-_400KV"/>
      <sheetName val="PLUMBING_&amp;_SANITORY"/>
      <sheetName val="Status_Summary"/>
      <sheetName val="Detail_In_Door_Stad"/>
      <sheetName val="Slope_area"/>
      <sheetName val="Rev_P&amp;M"/>
      <sheetName val="_"/>
      <sheetName val="MASTER_COMPONENT_VIEW"/>
      <sheetName val="BOQ_(2)1"/>
      <sheetName val="Debtors_analysis"/>
      <sheetName val="BOD_PL_NEW"/>
      <sheetName val="Sheet01S"/>
      <sheetName val="Site_List"/>
      <sheetName val="Details"/>
      <sheetName val="12_Directors_remuneration_(2)"/>
      <sheetName val="P&amp;L"/>
      <sheetName val="Coalmine"/>
      <sheetName val="Schedules PL"/>
      <sheetName val="Schedules BS"/>
      <sheetName val="precast RC element"/>
      <sheetName val="Labour_rate1"/>
      <sheetName val="Block_work1"/>
      <sheetName val="RR_masonry1"/>
      <sheetName val="Concrete_for_arch_1"/>
      <sheetName val="Setup"/>
      <sheetName val=" RMR"/>
      <sheetName val="Expenditure plan"/>
      <sheetName val="30.12.2015"/>
      <sheetName val="Codes"/>
      <sheetName val="Cost_any"/>
      <sheetName val="200205C"/>
      <sheetName val="Calc"/>
      <sheetName val="Introduction"/>
      <sheetName val="Old"/>
      <sheetName val="Operating Statistics"/>
      <sheetName val="Financials"/>
      <sheetName val="Legend"/>
      <sheetName val="HVAC BOQ"/>
      <sheetName val="COST"/>
      <sheetName val="SC Cost FEB 03"/>
      <sheetName val="Work_Done_Bill_(2)10"/>
      <sheetName val="IS_Summary10"/>
      <sheetName val="Drain_Work9"/>
      <sheetName val="Non-BOQ_summary9"/>
      <sheetName val="Curing_Bund_for_Sep'139"/>
      <sheetName val="Basic_Rate10"/>
      <sheetName val="INFLUENCES_ON_GM10"/>
      <sheetName val="acevsSp_(ABC)10"/>
      <sheetName val="Monthly_Format_ATH_(ro)revise10"/>
      <sheetName val="Legal_Risk_Analysis9"/>
      <sheetName val="major_qty6"/>
      <sheetName val="Major_P&amp;M_deployment6"/>
      <sheetName val="p&amp;m_L&amp;T_Hire6"/>
      <sheetName val="Data_16"/>
      <sheetName val="int_hire9"/>
      <sheetName val="Abs_Sheet(Fuel_oil_area)JAN10"/>
      <sheetName val="STAFFSCHED_9"/>
      <sheetName val="RA_Format7"/>
      <sheetName val="Measurement-ID_works7"/>
      <sheetName val="Ph_1_-ESM_Pipe,_Bitumen7"/>
      <sheetName val="Site_Dev_BOQ10"/>
      <sheetName val="Sludge_Cal5"/>
      <sheetName val="Drop_Down9"/>
      <sheetName val="Drop_Down_(Fixed)9"/>
      <sheetName val="BOQ_Direct_selling_cost9"/>
      <sheetName val="E_&amp;_R9"/>
      <sheetName val="IO_List6"/>
      <sheetName val="PRECAST_lightconc-II6"/>
      <sheetName val="ETC_Panorama5"/>
      <sheetName val="PointNo_59"/>
      <sheetName val="Stress_Calculation9"/>
      <sheetName val="IIST_(2)9"/>
      <sheetName val="IIST_(3)9"/>
      <sheetName val="TMLB_II_MAY139"/>
      <sheetName val="isro_JUL139"/>
      <sheetName val="IRIS_Jul139"/>
      <sheetName val="IRS_2_jul139"/>
      <sheetName val="isro_aug139"/>
      <sheetName val="IRIS_augg139"/>
      <sheetName val="SPRE_WORKING9"/>
      <sheetName val="IRS_2augg_139"/>
      <sheetName val="iist_sept139"/>
      <sheetName val="IRIS_SEPT139"/>
      <sheetName val="SPRE_SEPT9"/>
      <sheetName val="IRS2_SEPT_139"/>
      <sheetName val="iist_OCT_139"/>
      <sheetName val="IRIS_OCT139"/>
      <sheetName val="IRIS2_OCT139"/>
      <sheetName val="iist_nov139"/>
      <sheetName val="iris_nov139"/>
      <sheetName val="spre_nov139"/>
      <sheetName val="isro_dec139"/>
      <sheetName val="IRIS_DEC139"/>
      <sheetName val="isro_jan_149"/>
      <sheetName val="isro_feb149"/>
      <sheetName val="IRIS_FEB-149"/>
      <sheetName val="TMLB-II_FEB-149"/>
      <sheetName val="Rehab_podium_footing6"/>
      <sheetName val="Unit_Rate5"/>
      <sheetName val="Assumption_Inputs9"/>
      <sheetName val="Fill_this_out_first___9"/>
      <sheetName val="ABP_inputs5"/>
      <sheetName val="Synergy_Sales_Budget5"/>
      <sheetName val="Boulevard_I_Summary5"/>
      <sheetName val="B-I_Blockwork_5"/>
      <sheetName val="B-II-summary_sheet_5"/>
      <sheetName val="B-II_Blockwork__(2)5"/>
      <sheetName val="B_-_III_-_Summary_Sheet_(2)5"/>
      <sheetName val="B_-_III_-_Blockwork5"/>
      <sheetName val="Hold_Amount5"/>
      <sheetName val="V-I_Summary_Sheet_5"/>
      <sheetName val="V-I_Blockwork5"/>
      <sheetName val="V-II_Blockwork5"/>
      <sheetName val="V-III-_Blockwork5"/>
      <sheetName val="Panorama_-Summary-dwg5"/>
      <sheetName val="NTA_-_02_summary_sheet_(2)5"/>
      <sheetName val="NTA-13-Summary_5"/>
      <sheetName val="NTA-14-Summary_5"/>
      <sheetName val="NTA-21-Summary_(2)5"/>
      <sheetName val="Staff_Forecast_spread6"/>
      <sheetName val="Total_Amount5"/>
      <sheetName val="Revised_Summary5"/>
      <sheetName val="RMC_April_162"/>
      <sheetName val="SPT_vs_PHI6"/>
      <sheetName val="d-safe_DELUXE5"/>
      <sheetName val="LMR_PF2"/>
      <sheetName val="RATE_ANALYSIS_5"/>
      <sheetName val="AoR_Finishing2"/>
      <sheetName val="P+M_-_Tower_Crane2"/>
      <sheetName val="BOQ_FORM_FOR_INQUIRY5"/>
      <sheetName val="FORM_OF_PROPOSAL_RFP-0035"/>
      <sheetName val="std_wt_5"/>
      <sheetName val="TAV_ANALIZ5"/>
      <sheetName val="Shuttering_Abstract5"/>
      <sheetName val="A_O_R_r1Str5"/>
      <sheetName val="A_O_R_r15"/>
      <sheetName val="A_O_R_(2)5"/>
      <sheetName val="Cement_Price_Variation2"/>
      <sheetName val="입찰내역_발주처_양식5"/>
      <sheetName val="13__Steel_-_Ratio1"/>
      <sheetName val="Fee_Rate_Summary1"/>
      <sheetName val="Administrative_Prices1"/>
      <sheetName val="Input_Data_R1"/>
      <sheetName val="Input_Data70+100MSA1"/>
      <sheetName val="Input_Data_F1"/>
      <sheetName val="3__Elemental_Summary1"/>
      <sheetName val="ETC_Plant_Cost1"/>
      <sheetName val="Piling_-_Winch1"/>
      <sheetName val="Basic_Rates1"/>
      <sheetName val="Qty__Abs1"/>
      <sheetName val="Pile_Liner_&amp;_Rebar1"/>
      <sheetName val="Pile_Conc_1"/>
      <sheetName val="Deck_-_Insitu_Conc_1"/>
      <sheetName val="Precast_Placing1"/>
      <sheetName val="SS_Rein1"/>
      <sheetName val="Casting_Yard1"/>
      <sheetName val="Piling_-_Rig1"/>
      <sheetName val="P&amp;M_List1"/>
      <sheetName val="Pile_Cycle_Time1"/>
      <sheetName val="Enabling_Structure1"/>
      <sheetName val="BQ202_-App__Bridge1"/>
      <sheetName val="BOQ_201&amp;203-Cont__Berth1"/>
      <sheetName val="STEEL_STRUCTURE1"/>
      <sheetName val="Load_Details(B1)1"/>
      <sheetName val="Pile_cap1"/>
      <sheetName val="Bank_Guarantee1"/>
      <sheetName val="India_F&amp;S_Template1"/>
      <sheetName val="Shor_&amp;_Shuter1"/>
      <sheetName val="BLOCK-A_(MEA_SHEET)1"/>
      <sheetName val="Work_Done_Bill_(2)11"/>
      <sheetName val="IS_Summary11"/>
      <sheetName val="Drain_Work10"/>
      <sheetName val="Non-BOQ_summary10"/>
      <sheetName val="Curing_Bund_for_Sep'1310"/>
      <sheetName val="Basic_Rate11"/>
      <sheetName val="INFLUENCES_ON_GM11"/>
      <sheetName val="acevsSp_(ABC)11"/>
      <sheetName val="Monthly_Format_ATH_(ro)revise11"/>
      <sheetName val="Legal_Risk_Analysis10"/>
      <sheetName val="major_qty7"/>
      <sheetName val="Major_P&amp;M_deployment7"/>
      <sheetName val="p&amp;m_L&amp;T_Hire7"/>
      <sheetName val="Data_17"/>
      <sheetName val="int_hire10"/>
      <sheetName val="Abs_Sheet(Fuel_oil_area)JAN11"/>
      <sheetName val="STAFFSCHED_10"/>
      <sheetName val="RA_Format8"/>
      <sheetName val="Measurement-ID_works8"/>
      <sheetName val="Ph_1_-ESM_Pipe,_Bitumen8"/>
      <sheetName val="Site_Dev_BOQ11"/>
      <sheetName val="Sludge_Cal6"/>
      <sheetName val="Drop_Down10"/>
      <sheetName val="Drop_Down_(Fixed)10"/>
      <sheetName val="BOQ_Direct_selling_cost10"/>
      <sheetName val="E_&amp;_R10"/>
      <sheetName val="IO_List7"/>
      <sheetName val="PRECAST_lightconc-II7"/>
      <sheetName val="ETC_Panorama6"/>
      <sheetName val="PointNo_510"/>
      <sheetName val="Stress_Calculation10"/>
      <sheetName val="IIST_(2)10"/>
      <sheetName val="IIST_(3)10"/>
      <sheetName val="TMLB_II_MAY1310"/>
      <sheetName val="isro_JUL1310"/>
      <sheetName val="IRIS_Jul1310"/>
      <sheetName val="IRS_2_jul1310"/>
      <sheetName val="isro_aug1310"/>
      <sheetName val="IRIS_augg1310"/>
      <sheetName val="SPRE_WORKING10"/>
      <sheetName val="IRS_2augg_1310"/>
      <sheetName val="iist_sept1310"/>
      <sheetName val="IRIS_SEPT1310"/>
      <sheetName val="SPRE_SEPT10"/>
      <sheetName val="IRS2_SEPT_1310"/>
      <sheetName val="iist_OCT_1310"/>
      <sheetName val="IRIS_OCT1310"/>
      <sheetName val="IRIS2_OCT1310"/>
      <sheetName val="iist_nov1310"/>
      <sheetName val="iris_nov1310"/>
      <sheetName val="spre_nov1310"/>
      <sheetName val="isro_dec1310"/>
      <sheetName val="IRIS_DEC1310"/>
      <sheetName val="isro_jan_1410"/>
      <sheetName val="isro_feb1410"/>
      <sheetName val="IRIS_FEB-1410"/>
      <sheetName val="TMLB-II_FEB-1410"/>
      <sheetName val="Rehab_podium_footing7"/>
      <sheetName val="Unit_Rate6"/>
      <sheetName val="Assumption_Inputs10"/>
      <sheetName val="Fill_this_out_first___10"/>
      <sheetName val="ABP_inputs6"/>
      <sheetName val="Synergy_Sales_Budget6"/>
      <sheetName val="Boulevard_I_Summary6"/>
      <sheetName val="B-I_Blockwork_6"/>
      <sheetName val="B-II-summary_sheet_6"/>
      <sheetName val="B-II_Blockwork__(2)6"/>
      <sheetName val="B_-_III_-_Summary_Sheet_(2)6"/>
      <sheetName val="B_-_III_-_Blockwork6"/>
      <sheetName val="Hold_Amount6"/>
      <sheetName val="V-I_Summary_Sheet_6"/>
      <sheetName val="V-I_Blockwork6"/>
      <sheetName val="V-II_Blockwork6"/>
      <sheetName val="V-III-_Blockwork6"/>
      <sheetName val="Panorama_-Summary-dwg6"/>
      <sheetName val="NTA_-_02_summary_sheet_(2)6"/>
      <sheetName val="NTA-13-Summary_6"/>
      <sheetName val="NTA-14-Summary_6"/>
      <sheetName val="NTA-21-Summary_(2)6"/>
      <sheetName val="Staff_Forecast_spread7"/>
      <sheetName val="Total_Amount6"/>
      <sheetName val="Revised_Summary6"/>
      <sheetName val="RMC_April_163"/>
      <sheetName val="SPT_vs_PHI7"/>
      <sheetName val="d-safe_DELUXE6"/>
      <sheetName val="LMR_PF3"/>
      <sheetName val="RATE_ANALYSIS_6"/>
      <sheetName val="AoR_Finishing3"/>
      <sheetName val="P+M_-_Tower_Crane3"/>
      <sheetName val="BOQ_FORM_FOR_INQUIRY6"/>
      <sheetName val="FORM_OF_PROPOSAL_RFP-0036"/>
      <sheetName val="Civil_Works2"/>
      <sheetName val="Exp__Villa__R2B_2162"/>
      <sheetName val="std_wt_6"/>
      <sheetName val="Name_Manager2"/>
      <sheetName val="Input_Rates2"/>
      <sheetName val="Detailed_Areas2"/>
      <sheetName val="20_mm_aggregates_2"/>
      <sheetName val="3cd_Annexure2"/>
      <sheetName val="TAV_ANALIZ6"/>
      <sheetName val="beam-reinft-IIInd_floor9"/>
      <sheetName val="Shuttering_Abstract6"/>
      <sheetName val="A_O_R_r1Str6"/>
      <sheetName val="A_O_R_r16"/>
      <sheetName val="A_O_R_(2)6"/>
      <sheetName val="Cement_Price_Variation3"/>
      <sheetName val="beam-reinft-machine_rm2"/>
      <sheetName val="Item_Master2"/>
      <sheetName val="입찰내역_발주처_양식6"/>
      <sheetName val="kppl_pl2"/>
      <sheetName val="13__Steel_-_Ratio2"/>
      <sheetName val="Labour_rate2"/>
      <sheetName val="Block_work2"/>
      <sheetName val="RR_masonry2"/>
      <sheetName val="Concrete_for_arch_2"/>
      <sheetName val="수량_총괄표2"/>
      <sheetName val="품질관리비_산출2"/>
      <sheetName val="Waste_Wtr_Drg2"/>
      <sheetName val="Onerous_Terms2"/>
      <sheetName val="AB_SOW2"/>
      <sheetName val="Valid_Data2"/>
      <sheetName val="Cash_Flow_Input_Data_ISC2"/>
      <sheetName val="Administrative_Prices2"/>
      <sheetName val="Material_List_2"/>
      <sheetName val="Labour_Rate_2"/>
      <sheetName val="2_BHK2"/>
      <sheetName val="Activity_List2"/>
      <sheetName val="SUMM_ACTI__DISTRIBUTION2"/>
      <sheetName val="PO_Status2"/>
      <sheetName val="Labour_productivity2"/>
      <sheetName val="Fee_Rate_Summary2"/>
      <sheetName val="STEEL_STRUCTURE2"/>
      <sheetName val="Load_Details(B1)2"/>
      <sheetName val="Pile_cap2"/>
      <sheetName val="Bank_Guarantee2"/>
      <sheetName val="India_F&amp;S_Template2"/>
      <sheetName val="Shor_&amp;_Shuter2"/>
      <sheetName val="BLOCK-A_(MEA_SHEET)2"/>
      <sheetName val="Input_Data_R2"/>
      <sheetName val="Input_Data70+100MSA2"/>
      <sheetName val="Input_Data_F2"/>
      <sheetName val="3__Elemental_Summary2"/>
      <sheetName val="ETC_Plant_Cost2"/>
      <sheetName val="Piling_-_Winch2"/>
      <sheetName val="Basic_Rates2"/>
      <sheetName val="Qty__Abs2"/>
      <sheetName val="Pile_Liner_&amp;_Rebar2"/>
      <sheetName val="Pile_Conc_2"/>
      <sheetName val="Deck_-_Insitu_Conc_2"/>
      <sheetName val="Precast_Placing2"/>
      <sheetName val="SS_Rein2"/>
      <sheetName val="Casting_Yard2"/>
      <sheetName val="Piling_-_Rig2"/>
      <sheetName val="P&amp;M_List2"/>
      <sheetName val="Pile_Cycle_Time2"/>
      <sheetName val="Enabling_Structure2"/>
      <sheetName val="BQ202_-App__Bridge2"/>
      <sheetName val="BOQ_201&amp;203-Cont__Berth2"/>
      <sheetName val="TRIAL_BALANCE"/>
      <sheetName val="Item-_Compact"/>
      <sheetName val="Démol_"/>
      <sheetName val="Core_Data"/>
      <sheetName val="Vendor_Details"/>
      <sheetName val="Sheet3_(2)"/>
      <sheetName val="MN_T_B_"/>
      <sheetName val="Rate_analysis-_BOQ_1_"/>
      <sheetName val="TBAL9697_-group_wise__sdpl1"/>
      <sheetName val="labour_rates"/>
      <sheetName val="S_&amp;_A"/>
      <sheetName val="Truss_Section"/>
      <sheetName val="Materials_Cost(PCC)"/>
      <sheetName val="TABLO-3"/>
      <sheetName val="장비"/>
      <sheetName val="노무"/>
      <sheetName val="HS"/>
      <sheetName val="RW"/>
      <sheetName val="Area"/>
      <sheetName val="FINISH"/>
      <sheetName val="MFR"/>
      <sheetName val="james's"/>
      <sheetName val="nÁuknÁu"/>
      <sheetName val="Bill No. 3"/>
      <sheetName val="Summary "/>
      <sheetName val="INSTRUCTIONS"/>
      <sheetName val="Beam Concrete"/>
      <sheetName val="Wall Concrete"/>
      <sheetName val="Slab Concrete"/>
      <sheetName val="Stair"/>
      <sheetName val="Slab Formwork"/>
      <sheetName val="Wall Formwork"/>
      <sheetName val="Beams Formwork"/>
      <sheetName val="電気設備表"/>
      <sheetName val="Quantity"/>
      <sheetName val="Labor abs-NMR"/>
      <sheetName val="Labour calculation"/>
      <sheetName val="Actuals_by_Job"/>
      <sheetName val="Heads_Equiv_QI"/>
      <sheetName val="PT_Heads_SD"/>
      <sheetName val="Month"/>
      <sheetName val="Outlook"/>
      <sheetName val="Bed room - 2"/>
      <sheetName val="Site Overheads "/>
      <sheetName val="final abstract"/>
      <sheetName val="Con0304"/>
      <sheetName val="Look Ups"/>
      <sheetName val="DMUU Inputs"/>
      <sheetName val="UK P&amp;L"/>
      <sheetName val="Ire P&amp;L"/>
      <sheetName val="Fr P&amp;L"/>
      <sheetName val="ES P&amp;L"/>
      <sheetName val="GR P&amp;L"/>
      <sheetName val="PT P&amp;L"/>
      <sheetName val="H.Satuan"/>
      <sheetName val="Purlin(7m)"/>
      <sheetName val="Intake"/>
      <sheetName val="C2 - CRACKWIDTH"/>
      <sheetName val="11 kV SWGR"/>
      <sheetName val="DATA - Summary"/>
      <sheetName val="Design sheet"/>
      <sheetName val="DWTables"/>
      <sheetName val="Hargamat"/>
      <sheetName val="@Risk Inputs"/>
      <sheetName val="civil-structural (old)"/>
      <sheetName val="Timesheet"/>
      <sheetName val="1st floor slab"/>
      <sheetName val="ABSTRACT-01"/>
      <sheetName val="doq br."/>
      <sheetName val="Rough work"/>
      <sheetName val="DSLP"/>
      <sheetName val="s"/>
      <sheetName val="cusions"/>
      <sheetName val="qty schedule"/>
      <sheetName val="Prelim_Summ"/>
      <sheetName val="VOP_June_07"/>
      <sheetName val="VOP_June_07 _rev1_"/>
      <sheetName val="VOP_Sept_07"/>
      <sheetName val="총괄표 (2)"/>
      <sheetName val="Mp-team 1"/>
      <sheetName val="Backup"/>
      <sheetName val="Sum6Jun99"/>
      <sheetName val="EXE Summ"/>
      <sheetName val="TOP "/>
      <sheetName val="FEVA"/>
      <sheetName val="HO Costs"/>
      <sheetName val="4 Annex 1 Basic rate"/>
      <sheetName val="4.5.1_boundry pillar"/>
      <sheetName val="Abutment"/>
      <sheetName val="BQLIST"/>
      <sheetName val="13M TRUSS-TOP CHORD"/>
      <sheetName val="RFP002"/>
      <sheetName val="budget"/>
      <sheetName val="S4"/>
      <sheetName val="Attendance and Allocation"/>
      <sheetName val="Rectangular Beam"/>
      <sheetName val="SEW4"/>
      <sheetName val="Cal"/>
      <sheetName val="MAINBS1"/>
      <sheetName val="Works - Quote Sheet"/>
      <sheetName val="SP Break Up"/>
      <sheetName val="Horizontal profile"/>
      <sheetName val="Structures"/>
      <sheetName val="299 to 306"/>
      <sheetName val="306 to 340"/>
      <sheetName val="340 to 359"/>
      <sheetName val="359 to 371"/>
      <sheetName val="371 to 418"/>
      <sheetName val="SR @ UP"/>
      <sheetName val="MO"/>
      <sheetName val="Diff CW-Revised"/>
      <sheetName val="RE Panel Levelling Pad"/>
      <sheetName val="COS locations"/>
      <sheetName val="TCS -median"/>
      <sheetName val="직접비_Origin(315,430)"/>
      <sheetName val="Backup - May"/>
      <sheetName val="June re"/>
      <sheetName val="Material "/>
      <sheetName val="Labour &amp; Plant"/>
      <sheetName val="GM &amp; TA"/>
      <sheetName val="eq_data"/>
      <sheetName val="DREV"/>
      <sheetName val="CREV"/>
      <sheetName val="KLHT"/>
      <sheetName val="Sumcosts"/>
      <sheetName val="cul-invSUBMITTED"/>
      <sheetName val="70R"/>
      <sheetName val="Dewtr"/>
      <sheetName val="EW"/>
      <sheetName val="fills"/>
      <sheetName val="Rcksup"/>
      <sheetName val="drill&amp;grt"/>
      <sheetName val="FW&amp;RE"/>
      <sheetName val="conc"/>
      <sheetName val="SPAD"/>
      <sheetName val="mis_itm"/>
      <sheetName val="equip"/>
      <sheetName val="userate"/>
      <sheetName val="mat"/>
      <sheetName val="mat_anly"/>
      <sheetName val="pwr_air_wtr"/>
      <sheetName val="mp_rate"/>
      <sheetName val="misce"/>
      <sheetName val="hiddencost"/>
      <sheetName val="RSCMWHIssueDetails"/>
      <sheetName val="Data sheet"/>
      <sheetName val="DEPOT WBS"/>
      <sheetName val="Price Comparison"/>
      <sheetName val="Misc__points27"/>
      <sheetName val="qty_abst27"/>
      <sheetName val="basic_27"/>
      <sheetName val="Rate_Analysis27"/>
      <sheetName val="Top_Sheet27"/>
      <sheetName val="Iron_Steel_&amp;_handrails27"/>
      <sheetName val="Steel_Summary24"/>
      <sheetName val="VENDOR_CODE_WO_NO24"/>
      <sheetName val="Master_Item_List24"/>
      <sheetName val="VENDER_DETAIL24"/>
      <sheetName val="Civil_Boq24"/>
      <sheetName val="Main_Summary24"/>
      <sheetName val="Summary_(G_H_Bachlor_C)24"/>
      <sheetName val="General_preliminaries24"/>
      <sheetName val="IS_Summary12"/>
      <sheetName val="Basic_Rate12"/>
      <sheetName val="INFLUENCES_ON_GM12"/>
      <sheetName val="acevsSp_(ABC)12"/>
      <sheetName val="Work_Done_Bill_(2)12"/>
      <sheetName val="STAFFSCHED_11"/>
      <sheetName val="Ph_1_-ESM_Pipe,_Bitumen9"/>
      <sheetName val="Drain_Work11"/>
      <sheetName val="Non-BOQ_summary11"/>
      <sheetName val="Curing_Bund_for_Sep'1311"/>
      <sheetName val="int_hire11"/>
      <sheetName val="IO_List8"/>
      <sheetName val="Site_Dev_BOQ12"/>
      <sheetName val="Legal_Risk_Analysis11"/>
      <sheetName val="Rehab_podium_footing8"/>
      <sheetName val="Monthly_Format_ATH_(ro)revise12"/>
      <sheetName val="Abs_Sheet(Fuel_oil_area)JAN12"/>
      <sheetName val="BOQ_Direct_selling_cost11"/>
      <sheetName val="Drop_Down_(Fixed)11"/>
      <sheetName val="Drop_Down11"/>
      <sheetName val="E_&amp;_R11"/>
      <sheetName val="PointNo_511"/>
      <sheetName val="RA_Format9"/>
      <sheetName val="Measurement-ID_works9"/>
      <sheetName val="major_qty8"/>
      <sheetName val="Major_P&amp;M_deployment8"/>
      <sheetName val="p&amp;m_L&amp;T_Hire8"/>
      <sheetName val="Data_18"/>
      <sheetName val="IIST_(2)11"/>
      <sheetName val="IIST_(3)11"/>
      <sheetName val="TMLB_II_MAY1311"/>
      <sheetName val="isro_JUL1311"/>
      <sheetName val="IRIS_Jul1311"/>
      <sheetName val="IRS_2_jul1311"/>
      <sheetName val="isro_aug1311"/>
      <sheetName val="IRIS_augg1311"/>
      <sheetName val="SPRE_WORKING11"/>
      <sheetName val="IRS_2augg_1311"/>
      <sheetName val="iist_sept1311"/>
      <sheetName val="IRIS_SEPT1311"/>
      <sheetName val="SPRE_SEPT11"/>
      <sheetName val="IRS2_SEPT_1311"/>
      <sheetName val="iist_OCT_1311"/>
      <sheetName val="IRIS_OCT1311"/>
      <sheetName val="IRIS2_OCT1311"/>
      <sheetName val="iist_nov1311"/>
      <sheetName val="iris_nov1311"/>
      <sheetName val="spre_nov1311"/>
      <sheetName val="isro_dec1311"/>
      <sheetName val="IRIS_DEC1311"/>
      <sheetName val="isro_jan_1411"/>
      <sheetName val="isro_feb1411"/>
      <sheetName val="IRIS_FEB-1411"/>
      <sheetName val="TMLB-II_FEB-1411"/>
      <sheetName val="ETC_Panorama7"/>
      <sheetName val="PRECAST_lightconc-II8"/>
      <sheetName val="Unit_Rate7"/>
      <sheetName val="Revised_Summary7"/>
      <sheetName val="RMC_April_164"/>
      <sheetName val="Total_Amount7"/>
      <sheetName val="Assumption_Inputs11"/>
      <sheetName val="Stress_Calculation11"/>
      <sheetName val="ABP_inputs7"/>
      <sheetName val="Synergy_Sales_Budget7"/>
      <sheetName val="Sludge_Cal7"/>
      <sheetName val="Boulevard_I_Summary7"/>
      <sheetName val="B-I_Blockwork_7"/>
      <sheetName val="B-II-summary_sheet_7"/>
      <sheetName val="B-II_Blockwork__(2)7"/>
      <sheetName val="B_-_III_-_Summary_Sheet_(2)7"/>
      <sheetName val="B_-_III_-_Blockwork7"/>
      <sheetName val="Hold_Amount7"/>
      <sheetName val="V-I_Summary_Sheet_7"/>
      <sheetName val="V-I_Blockwork7"/>
      <sheetName val="V-II_Blockwork7"/>
      <sheetName val="V-III-_Blockwork7"/>
      <sheetName val="Panorama_-Summary-dwg7"/>
      <sheetName val="NTA_-_02_summary_sheet_(2)7"/>
      <sheetName val="NTA-13-Summary_7"/>
      <sheetName val="NTA-14-Summary_7"/>
      <sheetName val="NTA-21-Summary_(2)7"/>
      <sheetName val="Fill_this_out_first___11"/>
      <sheetName val="d-safe_DELUXE7"/>
      <sheetName val="Staff_Forecast_spread8"/>
      <sheetName val="Cement_Price_Variation4"/>
      <sheetName val="RATE_ANALYSIS_7"/>
      <sheetName val="AoR_Finishing4"/>
      <sheetName val="P+M_-_Tower_Crane4"/>
      <sheetName val="LMR_PF4"/>
      <sheetName val="A_O_R_r1Str7"/>
      <sheetName val="A_O_R_r17"/>
      <sheetName val="A_O_R_(2)7"/>
      <sheetName val="beam-reinft-IIInd_floor10"/>
      <sheetName val="SPT_vs_PHI8"/>
      <sheetName val="BOQ_FORM_FOR_INQUIRY7"/>
      <sheetName val="FORM_OF_PROPOSAL_RFP-0037"/>
      <sheetName val="Civil_Works3"/>
      <sheetName val="Name_Manager3"/>
      <sheetName val="Input_Rates3"/>
      <sheetName val="Detailed_Areas3"/>
      <sheetName val="std_wt_7"/>
      <sheetName val="Shuttering_Abstract7"/>
      <sheetName val="입찰내역_발주처_양식7"/>
      <sheetName val="Exp__Villa__R2B_2163"/>
      <sheetName val="20_mm_aggregates_3"/>
      <sheetName val="3cd_Annexure3"/>
      <sheetName val="TAV_ANALIZ7"/>
      <sheetName val="Labour_productivity3"/>
      <sheetName val="Cash_Flow_Input_Data_ISC3"/>
      <sheetName val="수량_총괄표3"/>
      <sheetName val="품질관리비_산출3"/>
      <sheetName val="Waste_Wtr_Drg3"/>
      <sheetName val="Onerous_Terms3"/>
      <sheetName val="AB_SOW3"/>
      <sheetName val="Valid_Data3"/>
      <sheetName val="Shor_&amp;_Shuter3"/>
      <sheetName val="kppl_pl3"/>
      <sheetName val="Item_Master3"/>
      <sheetName val="PLUMBING_&amp;_SANITORY1"/>
      <sheetName val="beam-reinft-machine_rm3"/>
      <sheetName val="Activity_List3"/>
      <sheetName val="SUMM_ACTI__DISTRIBUTION3"/>
      <sheetName val="PO_Status3"/>
      <sheetName val="Material_List_3"/>
      <sheetName val="Labour_Rate_3"/>
      <sheetName val="Labour_rate3"/>
      <sheetName val="Block_work3"/>
      <sheetName val="RR_masonry3"/>
      <sheetName val="Concrete_for_arch_3"/>
      <sheetName val="13__Steel_-_Ratio3"/>
      <sheetName val="schedule_nos1"/>
      <sheetName val="Bank_Guarantee3"/>
      <sheetName val="India_F&amp;S_Template3"/>
      <sheetName val="Administrative_Prices3"/>
      <sheetName val="Input_Data_R3"/>
      <sheetName val="Input_Data70+100MSA3"/>
      <sheetName val="Input_Data_F3"/>
      <sheetName val="3__Elemental_Summary3"/>
      <sheetName val="ETC_Plant_Cost3"/>
      <sheetName val="Piling_-_Winch3"/>
      <sheetName val="Basic_Rates3"/>
      <sheetName val="Qty__Abs3"/>
      <sheetName val="Pile_Liner_&amp;_Rebar3"/>
      <sheetName val="Pile_Conc_3"/>
      <sheetName val="Deck_-_Insitu_Conc_3"/>
      <sheetName val="Precast_Placing3"/>
      <sheetName val="SS_Rein3"/>
      <sheetName val="Casting_Yard3"/>
      <sheetName val="Piling_-_Rig3"/>
      <sheetName val="P&amp;M_List3"/>
      <sheetName val="Pile_Cycle_Time3"/>
      <sheetName val="Enabling_Structure3"/>
      <sheetName val="BQ202_-App__Bridge3"/>
      <sheetName val="BOQ_201&amp;203-Cont__Berth3"/>
      <sheetName val="Total_Debtors_Ageing_Sheet1"/>
      <sheetName val="2_BHK3"/>
      <sheetName val="Est_To_comp-KTRP1"/>
      <sheetName val="JCR_TOP(ITEM)-KTRP1"/>
      <sheetName val="Assumption_For_Collection2"/>
      <sheetName val="Name_List1"/>
      <sheetName val="Ins_&amp;_Bonds1"/>
      <sheetName val="STEEL_STRUCTURE3"/>
      <sheetName val="Load_Details(B1)3"/>
      <sheetName val="Form_61"/>
      <sheetName val="Electrical_1"/>
      <sheetName val="SSR___NSSR_Market_final1"/>
      <sheetName val="MASTER_COMPONENT_VIEW1"/>
      <sheetName val="_1"/>
      <sheetName val="Fee_Rate_Summary3"/>
      <sheetName val="Item-_Compact1"/>
      <sheetName val="BLOCK-A_(MEA_SHEET)3"/>
      <sheetName val="BOQ_(2)2"/>
      <sheetName val="bill_21"/>
      <sheetName val="cost_summary1"/>
      <sheetName val="Elec_Summ1"/>
      <sheetName val="ELEC_BOQ1"/>
      <sheetName val="TRACK_BUSWAY1"/>
      <sheetName val="Labour_Report_Drop_Down"/>
      <sheetName val="FIXING_DETAILS"/>
      <sheetName val="Démol_1"/>
      <sheetName val="Pile_cap3"/>
      <sheetName val="Sign_Boards1"/>
      <sheetName val="FRL_Shan1"/>
      <sheetName val="Rates_Basic1"/>
      <sheetName val="UNP-NCW_1"/>
      <sheetName val="unit_table1"/>
      <sheetName val="SC_list1"/>
      <sheetName val="S1BOQ_&amp;_Workplan1"/>
      <sheetName val="CS_Appl_Summary1"/>
      <sheetName val="pile_Fabrication1"/>
      <sheetName val="Jindal-Control_Cable_Sch-_400K1"/>
      <sheetName val="Vendor_Details1"/>
      <sheetName val="Core_Data1"/>
      <sheetName val="TRIAL_BALANCE1"/>
      <sheetName val="Sheet3_(2)1"/>
      <sheetName val="MN_T_B_1"/>
      <sheetName val="Rate_analysis-_BOQ_1_1"/>
      <sheetName val="TBAL9697_-group_wise__sdpl2"/>
      <sheetName val="labour_rates1"/>
      <sheetName val="S_&amp;_A1"/>
      <sheetName val="Debtors_analysis1"/>
      <sheetName val="P-Ins_&amp;_Bonds"/>
      <sheetName val="INPUT_SHEET"/>
      <sheetName val="Cost_of_O_&amp;_O"/>
      <sheetName val="_AnalysisPCC"/>
      <sheetName val="Input_Data"/>
      <sheetName val="exp-ded-jan'_06"/>
      <sheetName val="Manpower_Histogram"/>
      <sheetName val="Debit_Notes"/>
      <sheetName val="Status_Summary1"/>
      <sheetName val="Detail_In_Door_Stad1"/>
      <sheetName val="Slope_area1"/>
      <sheetName val="Rev_P&amp;M1"/>
      <sheetName val="Data_Input"/>
      <sheetName val="FR_FAB"/>
      <sheetName val="HALA_3G"/>
      <sheetName val="3ZEE_3G"/>
      <sheetName val="Manoj_3G"/>
      <sheetName val="MASTER_RATE_ANALYSIS"/>
      <sheetName val="PC_01"/>
      <sheetName val="PC_(2)"/>
      <sheetName val="Debit_Abstract"/>
      <sheetName val="Club_house"/>
      <sheetName val="T-1_Internal"/>
      <sheetName val="T-2_Internal_"/>
      <sheetName val="T-3_Internal__"/>
      <sheetName val="T-4_Internal_"/>
      <sheetName val="T-5_Internal_"/>
      <sheetName val="Core_Cutting"/>
      <sheetName val="SC_Cost_FEB_03"/>
      <sheetName val="STATE_CODE"/>
      <sheetName val="Materials_Cost(PCC)1"/>
      <sheetName val="Truss_Section1"/>
      <sheetName val="fin_stmt"/>
      <sheetName val="01_ID_Code_Index"/>
      <sheetName val="01_Code_Index"/>
      <sheetName val="OC_17-04-06"/>
      <sheetName val="공사비_내역_(가)"/>
      <sheetName val="Fin_Sum"/>
      <sheetName val="Cash_Flow_Working"/>
      <sheetName val="Exca_"/>
      <sheetName val="Rein__Steel"/>
      <sheetName val="IDC-Pl_Pro_PCC"/>
      <sheetName val="IDC-Brick_Bat"/>
      <sheetName val="CMB-Roof_Wall_Col"/>
      <sheetName val="CMB-RF_Beam"/>
      <sheetName val="CMB-Brick_Bat"/>
      <sheetName val="PP-Brick_Bat"/>
      <sheetName val="HVAC_Pl_Pro"/>
      <sheetName val="Exc__Deduction"/>
      <sheetName val="IDC-Pl_Pro-ATT"/>
      <sheetName val="CEMENT_PSP"/>
      <sheetName val="TORRENT_CEMENT"/>
      <sheetName val="August_Construction_Planning__"/>
      <sheetName val="Internal_Planning"/>
      <sheetName val="July'2019_Weekly"/>
      <sheetName val="????_???_??"/>
      <sheetName val="Cost_Any_"/>
      <sheetName val="Materials_Cost"/>
      <sheetName val="Site_facilities"/>
      <sheetName val="Clients_Requirements"/>
      <sheetName val="Format_1_9_Ph-1"/>
      <sheetName val="Site_clearance"/>
      <sheetName val="Traffic_sign"/>
      <sheetName val="Schedules_PL"/>
      <sheetName val="Schedules_BS"/>
      <sheetName val="precast_RC_element"/>
      <sheetName val="Beam_Concrete"/>
      <sheetName val="Wall_Concrete"/>
      <sheetName val="Slab_Concrete"/>
      <sheetName val="Slab_Formwork"/>
      <sheetName val="Wall_Formwork"/>
      <sheetName val="Beams_Formwork"/>
      <sheetName val="Operating_Statistics"/>
      <sheetName val="Labor_abs-NMR"/>
      <sheetName val="Summary_"/>
      <sheetName val="Cat_A_Change_Control"/>
      <sheetName val="Labour_calculation"/>
      <sheetName val="Bed_room_-_2"/>
      <sheetName val="Bill_No__3"/>
      <sheetName val="Site_Overheads_"/>
      <sheetName val="Expenditure_plan"/>
      <sheetName val="30_12_2015"/>
      <sheetName val="final_abstract"/>
      <sheetName val="Look_Ups"/>
      <sheetName val="DMUU_Inputs"/>
      <sheetName val="UK_P&amp;L"/>
      <sheetName val="Ire_P&amp;L"/>
      <sheetName val="Fr_P&amp;L"/>
      <sheetName val="ES_P&amp;L"/>
      <sheetName val="GR_P&amp;L"/>
      <sheetName val="PT_P&amp;L"/>
      <sheetName val="H_Satuan"/>
      <sheetName val="C2_-_CRACKWIDTH"/>
      <sheetName val="11_kV_SWGR"/>
      <sheetName val="DATA_-_Summary"/>
      <sheetName val="Design_sheet"/>
      <sheetName val="@Risk_Inputs"/>
      <sheetName val="civil-structural_(old)"/>
      <sheetName val="FLAT SUM"/>
      <sheetName val="CORE &amp; SHELL BOQ-CLUB HOUSE"/>
      <sheetName val="FINISHING BOQ- CLUB HOUSE"/>
      <sheetName val="CLUB HOUS-DOOR BOQ"/>
      <sheetName val="CLUB HOUSE-WINDOW BOQ"/>
      <sheetName val="SWIMMING POOL BOQ"/>
      <sheetName val="FLOORWISE-RCC"/>
      <sheetName val="BOQ-FINISHING"/>
      <sheetName val="FLOORWISE-FINISHING"/>
      <sheetName val="FOOTING-LIFT RAFT "/>
      <sheetName val="PLINTH BEAM"/>
      <sheetName val="GRADE SLAB- CONCRETE SLAB"/>
      <sheetName val=" COLUMNS BBS GFC "/>
      <sheetName val="ROOF SLAB BEAM"/>
      <sheetName val="ROOF SLAB- CONCRETE "/>
      <sheetName val="1st - BOTTOM  -BBS"/>
      <sheetName val="1ST -TOP  -BBS"/>
      <sheetName val="INTERNAL PLASTER"/>
      <sheetName val="DADO &amp; TAR "/>
      <sheetName val="CEILING"/>
      <sheetName val="WATER PROOFING"/>
      <sheetName val="FABRICATION"/>
      <sheetName val="DOORS"/>
      <sheetName val="WINDOWS"/>
      <sheetName val="OTTA"/>
      <sheetName val="BBM"/>
      <sheetName val="EXTERNAL PLASTER"/>
      <sheetName val="HDPE"/>
      <sheetName val="DI"/>
      <sheetName val="pvc"/>
      <sheetName val="hdpe_basic"/>
      <sheetName val="pvc_basic"/>
      <sheetName val="Calc1"/>
      <sheetName val="Summary_DC_HO"/>
      <sheetName val="KP1590_E"/>
      <sheetName val="PM RATE D"/>
      <sheetName val="WORK TABLE"/>
      <sheetName val="3"/>
      <sheetName val="TBEAM"/>
      <sheetName val="Abs PMRL"/>
      <sheetName val="Sub-Analysis"/>
      <sheetName val="INDIGINEOUS ITEMS "/>
      <sheetName val="tifico"/>
      <sheetName val="PL"/>
      <sheetName val="Venkat(LOAN)"/>
      <sheetName val="Customize Your Purchase Order"/>
      <sheetName val="Customize Your Invoice"/>
      <sheetName val="Day work"/>
      <sheetName val="HQ-TO"/>
      <sheetName val="WD"/>
      <sheetName val="DIV.3"/>
      <sheetName val="MasterData"/>
      <sheetName val="HVAC_BOQ"/>
      <sheetName val="Price_Comparison"/>
      <sheetName val="GM_&amp;_TA"/>
      <sheetName val="WORK_TABLE"/>
      <sheetName val="GROUP CODE"/>
      <sheetName val="MP"/>
      <sheetName val="SSR &amp; NSSR Market final"/>
      <sheetName val="C23"/>
      <sheetName val="31st_Oct"/>
      <sheetName val="01st_Nov"/>
      <sheetName val="9. Package split - Cost "/>
      <sheetName val="10. &amp; 11. Rate Code &amp; BQ"/>
      <sheetName val="Tables"/>
      <sheetName val="Data (adj."/>
      <sheetName val="PA- Consutant "/>
      <sheetName val="NOT FULL RESTRAINT"/>
      <sheetName val="BEARING &amp; BUCKLING"/>
      <sheetName val="PFC"/>
      <sheetName val="RSJ"/>
      <sheetName val="Costing-blk-B"/>
      <sheetName val="9"/>
      <sheetName val="Measurements"/>
      <sheetName val="Ceilings"/>
      <sheetName val="ACAD Finishes"/>
      <sheetName val="Site Details"/>
      <sheetName val="Chair"/>
      <sheetName val="Site Area Statement"/>
      <sheetName val="foot-slab reinft"/>
      <sheetName val="SBI(Siliguri)"/>
      <sheetName val="abst-of -cost"/>
      <sheetName val="CTC - Projection"/>
      <sheetName val="FY wise - 1"/>
      <sheetName val="Turn Over &amp; Target - FY18-19"/>
      <sheetName val="Staff cost"/>
      <sheetName val="Labour cost"/>
      <sheetName val="Forex"/>
      <sheetName val="Asset Details"/>
      <sheetName val="BG as on 31.12.18"/>
      <sheetName val="Detailed Billed Status"/>
      <sheetName val="BILL-6"/>
      <sheetName val="BILL-5"/>
      <sheetName val="Benchmark Data"/>
      <sheetName val="C1ㅇ"/>
      <sheetName val="Apx AA"/>
      <sheetName val="Application 03"/>
      <sheetName val="GenSummary"/>
      <sheetName val="F-Adv.Pay."/>
      <sheetName val="Gen.SUMMARY "/>
      <sheetName val="H-Ret."/>
      <sheetName val="K-Prev. Pay"/>
      <sheetName val="PRELIMS"/>
      <sheetName val="Bill 5"/>
      <sheetName val="Bill 6"/>
      <sheetName val="Bill 05 Mech. W. "/>
      <sheetName val="Bill 06 Elec. W."/>
      <sheetName val="Material On Site"/>
      <sheetName val="Payment Applicationold"/>
      <sheetName val="Bill 01"/>
      <sheetName val=" As built"/>
      <sheetName val="As Built Summary"/>
      <sheetName val="FENCE"/>
      <sheetName val="Fence Work"/>
      <sheetName val="finshes"/>
      <sheetName val="Hollowcore study"/>
      <sheetName val="FinishesType-Code"/>
      <sheetName val="DATABASE(MASONRY)"/>
      <sheetName val="DATABASE(STRUCTURAL)"/>
      <sheetName val="Benchmark Data (2)"/>
      <sheetName val="Material Price List"/>
      <sheetName val="Initial Data"/>
      <sheetName val="Misc__points29"/>
      <sheetName val="qty_abst29"/>
      <sheetName val="basic_29"/>
      <sheetName val="Rate_Analysis29"/>
      <sheetName val="Iron_Steel_&amp;_handrails29"/>
      <sheetName val="Top_Sheet29"/>
      <sheetName val="VENDOR_CODE_WO_NO26"/>
      <sheetName val="Master_Item_List26"/>
      <sheetName val="Steel_Summary26"/>
      <sheetName val="Civil_Boq26"/>
      <sheetName val="Main_Summary26"/>
      <sheetName val="Summary_(G_H_Bachlor_C)26"/>
      <sheetName val="General_preliminaries26"/>
      <sheetName val="VENDER_DETAIL26"/>
      <sheetName val="DEPOT_WBS"/>
      <sheetName val="Misc__points28"/>
      <sheetName val="qty_abst28"/>
      <sheetName val="basic_28"/>
      <sheetName val="Rate_Analysis28"/>
      <sheetName val="Iron_Steel_&amp;_handrails28"/>
      <sheetName val="Top_Sheet28"/>
      <sheetName val="VENDOR_CODE_WO_NO25"/>
      <sheetName val="Master_Item_List25"/>
      <sheetName val="Steel_Summary25"/>
      <sheetName val="Civil_Boq25"/>
      <sheetName val="Main_Summary25"/>
      <sheetName val="Summary_(G_H_Bachlor_C)25"/>
      <sheetName val="General_preliminaries25"/>
      <sheetName val="VENDER_DETAIL25"/>
      <sheetName val="11"/>
      <sheetName val="Contents"/>
      <sheetName val="Misc__points33"/>
      <sheetName val="qty_abst33"/>
      <sheetName val="basic_33"/>
      <sheetName val="Rate_Analysis33"/>
      <sheetName val="Iron_Steel_&amp;_handrails33"/>
      <sheetName val="Top_Sheet33"/>
      <sheetName val="VENDOR_CODE_WO_NO30"/>
      <sheetName val="Master_Item_List30"/>
      <sheetName val="Steel_Summary30"/>
      <sheetName val="Civil_Boq30"/>
      <sheetName val="Main_Summary30"/>
      <sheetName val="Summary_(G_H_Bachlor_C)30"/>
      <sheetName val="General_preliminaries30"/>
      <sheetName val="VENDER_DETAIL30"/>
      <sheetName val="IS_Summary14"/>
      <sheetName val="Work_Done_Bill_(2)14"/>
      <sheetName val="Basic_Rate14"/>
      <sheetName val="INFLUENCES_ON_GM14"/>
      <sheetName val="acevsSp_(ABC)14"/>
      <sheetName val="Drain_Work13"/>
      <sheetName val="Non-BOQ_summary13"/>
      <sheetName val="Curing_Bund_for_Sep'1313"/>
      <sheetName val="Legal_Risk_Analysis13"/>
      <sheetName val="Monthly_Format_ATH_(ro)revise14"/>
      <sheetName val="Abs_Sheet(Fuel_oil_area)JAN14"/>
      <sheetName val="STAFFSCHED_13"/>
      <sheetName val="int_hire13"/>
      <sheetName val="Site_Dev_BOQ14"/>
      <sheetName val="Drop_Down_(Fixed)13"/>
      <sheetName val="Drop_Down13"/>
      <sheetName val="BOQ_Direct_selling_cost13"/>
      <sheetName val="E_&amp;_R13"/>
      <sheetName val="RA_Format11"/>
      <sheetName val="Measurement-ID_works11"/>
      <sheetName val="IO_List10"/>
      <sheetName val="Ph_1_-ESM_Pipe,_Bitumen11"/>
      <sheetName val="major_qty10"/>
      <sheetName val="Major_P&amp;M_deployment10"/>
      <sheetName val="p&amp;m_L&amp;T_Hire10"/>
      <sheetName val="Data_110"/>
      <sheetName val="Rehab_podium_footing10"/>
      <sheetName val="PointNo_513"/>
      <sheetName val="Staff_Forecast_spread10"/>
      <sheetName val="IIST_(2)13"/>
      <sheetName val="IIST_(3)13"/>
      <sheetName val="TMLB_II_MAY1313"/>
      <sheetName val="isro_JUL1313"/>
      <sheetName val="IRIS_Jul1313"/>
      <sheetName val="IRS_2_jul1313"/>
      <sheetName val="isro_aug1313"/>
      <sheetName val="IRIS_augg1313"/>
      <sheetName val="SPRE_WORKING13"/>
      <sheetName val="IRS_2augg_1313"/>
      <sheetName val="iist_sept1313"/>
      <sheetName val="IRIS_SEPT1313"/>
      <sheetName val="SPRE_SEPT13"/>
      <sheetName val="IRS2_SEPT_1313"/>
      <sheetName val="iist_OCT_1313"/>
      <sheetName val="IRIS_OCT1313"/>
      <sheetName val="IRIS2_OCT1313"/>
      <sheetName val="iist_nov1313"/>
      <sheetName val="iris_nov1313"/>
      <sheetName val="spre_nov1313"/>
      <sheetName val="isro_dec1313"/>
      <sheetName val="IRIS_DEC1313"/>
      <sheetName val="isro_jan_1413"/>
      <sheetName val="isro_feb1413"/>
      <sheetName val="IRIS_FEB-1413"/>
      <sheetName val="TMLB-II_FEB-1413"/>
      <sheetName val="Unit_Rate9"/>
      <sheetName val="ETC_Panorama9"/>
      <sheetName val="PRECAST_lightconc-II10"/>
      <sheetName val="Stress_Calculation13"/>
      <sheetName val="Shuttering_Abstract9"/>
      <sheetName val="SPT_vs_PHI10"/>
      <sheetName val="Total_Amount9"/>
      <sheetName val="Fill_this_out_first___13"/>
      <sheetName val="A_O_R_r1Str9"/>
      <sheetName val="A_O_R_r19"/>
      <sheetName val="A_O_R_(2)9"/>
      <sheetName val="Assumption_Inputs13"/>
      <sheetName val="d-safe_DELUXE9"/>
      <sheetName val="ABP_inputs9"/>
      <sheetName val="Synergy_Sales_Budget9"/>
      <sheetName val="TAV_ANALIZ9"/>
      <sheetName val="Sludge_Cal9"/>
      <sheetName val="입찰내역_발주처_양식9"/>
      <sheetName val="Boulevard_I_Summary9"/>
      <sheetName val="B-I_Blockwork_9"/>
      <sheetName val="B-II-summary_sheet_9"/>
      <sheetName val="B-II_Blockwork__(2)9"/>
      <sheetName val="B_-_III_-_Summary_Sheet_(2)9"/>
      <sheetName val="B_-_III_-_Blockwork9"/>
      <sheetName val="Hold_Amount9"/>
      <sheetName val="V-I_Summary_Sheet_9"/>
      <sheetName val="V-I_Blockwork9"/>
      <sheetName val="V-II_Blockwork9"/>
      <sheetName val="V-III-_Blockwork9"/>
      <sheetName val="Panorama_-Summary-dwg9"/>
      <sheetName val="NTA_-_02_summary_sheet_(2)9"/>
      <sheetName val="NTA-13-Summary_9"/>
      <sheetName val="NTA-14-Summary_9"/>
      <sheetName val="NTA-21-Summary_(2)9"/>
      <sheetName val="std_wt_9"/>
      <sheetName val="BOQ_FORM_FOR_INQUIRY9"/>
      <sheetName val="FORM_OF_PROPOSAL_RFP-0039"/>
      <sheetName val="Revised_Summary9"/>
      <sheetName val="RATE_ANALYSIS_9"/>
      <sheetName val="AoR_Finishing6"/>
      <sheetName val="P+M_-_Tower_Crane6"/>
      <sheetName val="RMC_April_166"/>
      <sheetName val="LMR_PF6"/>
      <sheetName val="Cement_Price_Variation6"/>
      <sheetName val="Civil_Works5"/>
      <sheetName val="Name_Manager5"/>
      <sheetName val="Input_Rates5"/>
      <sheetName val="Detailed_Areas5"/>
      <sheetName val="Misc__points31"/>
      <sheetName val="qty_abst31"/>
      <sheetName val="basic_31"/>
      <sheetName val="Rate_Analysis31"/>
      <sheetName val="Iron_Steel_&amp;_handrails31"/>
      <sheetName val="Top_Sheet31"/>
      <sheetName val="VENDOR_CODE_WO_NO28"/>
      <sheetName val="Master_Item_List28"/>
      <sheetName val="Steel_Summary28"/>
      <sheetName val="Civil_Boq28"/>
      <sheetName val="Main_Summary28"/>
      <sheetName val="Summary_(G_H_Bachlor_C)28"/>
      <sheetName val="General_preliminaries28"/>
      <sheetName val="VENDER_DETAIL28"/>
      <sheetName val="Misc__points30"/>
      <sheetName val="qty_abst30"/>
      <sheetName val="basic_30"/>
      <sheetName val="Rate_Analysis30"/>
      <sheetName val="Iron_Steel_&amp;_handrails30"/>
      <sheetName val="Top_Sheet30"/>
      <sheetName val="VENDOR_CODE_WO_NO27"/>
      <sheetName val="Master_Item_List27"/>
      <sheetName val="Steel_Summary27"/>
      <sheetName val="Civil_Boq27"/>
      <sheetName val="Main_Summary27"/>
      <sheetName val="Summary_(G_H_Bachlor_C)27"/>
      <sheetName val="General_preliminaries27"/>
      <sheetName val="VENDER_DETAIL27"/>
      <sheetName val="????_???_??1"/>
      <sheetName val="DEPOT_WBS1"/>
      <sheetName val="Misc__points32"/>
      <sheetName val="qty_abst32"/>
      <sheetName val="basic_32"/>
      <sheetName val="Rate_Analysis32"/>
      <sheetName val="Iron_Steel_&amp;_handrails32"/>
      <sheetName val="Top_Sheet32"/>
      <sheetName val="VENDOR_CODE_WO_NO29"/>
      <sheetName val="Master_Item_List29"/>
      <sheetName val="Steel_Summary29"/>
      <sheetName val="Civil_Boq29"/>
      <sheetName val="Main_Summary29"/>
      <sheetName val="Summary_(G_H_Bachlor_C)29"/>
      <sheetName val="General_preliminaries29"/>
      <sheetName val="VENDER_DETAIL29"/>
      <sheetName val="IS_Summary13"/>
      <sheetName val="Work_Done_Bill_(2)13"/>
      <sheetName val="Basic_Rate13"/>
      <sheetName val="INFLUENCES_ON_GM13"/>
      <sheetName val="acevsSp_(ABC)13"/>
      <sheetName val="Drain_Work12"/>
      <sheetName val="Non-BOQ_summary12"/>
      <sheetName val="Curing_Bund_for_Sep'1312"/>
      <sheetName val="Legal_Risk_Analysis12"/>
      <sheetName val="Monthly_Format_ATH_(ro)revise13"/>
      <sheetName val="Abs_Sheet(Fuel_oil_area)JAN13"/>
      <sheetName val="STAFFSCHED_12"/>
      <sheetName val="int_hire12"/>
      <sheetName val="Site_Dev_BOQ13"/>
      <sheetName val="Drop_Down_(Fixed)12"/>
      <sheetName val="Drop_Down12"/>
      <sheetName val="BOQ_Direct_selling_cost12"/>
      <sheetName val="E_&amp;_R12"/>
      <sheetName val="RA_Format10"/>
      <sheetName val="Measurement-ID_works10"/>
      <sheetName val="IO_List9"/>
      <sheetName val="Ph_1_-ESM_Pipe,_Bitumen10"/>
      <sheetName val="major_qty9"/>
      <sheetName val="Major_P&amp;M_deployment9"/>
      <sheetName val="p&amp;m_L&amp;T_Hire9"/>
      <sheetName val="Data_19"/>
      <sheetName val="Rehab_podium_footing9"/>
      <sheetName val="PointNo_512"/>
      <sheetName val="Staff_Forecast_spread9"/>
      <sheetName val="IIST_(2)12"/>
      <sheetName val="IIST_(3)12"/>
      <sheetName val="TMLB_II_MAY1312"/>
      <sheetName val="isro_JUL1312"/>
      <sheetName val="IRIS_Jul1312"/>
      <sheetName val="IRS_2_jul1312"/>
      <sheetName val="isro_aug1312"/>
      <sheetName val="IRIS_augg1312"/>
      <sheetName val="SPRE_WORKING12"/>
      <sheetName val="IRS_2augg_1312"/>
      <sheetName val="iist_sept1312"/>
      <sheetName val="IRIS_SEPT1312"/>
      <sheetName val="SPRE_SEPT12"/>
      <sheetName val="IRS2_SEPT_1312"/>
      <sheetName val="iist_OCT_1312"/>
      <sheetName val="IRIS_OCT1312"/>
      <sheetName val="IRIS2_OCT1312"/>
      <sheetName val="iist_nov1312"/>
      <sheetName val="iris_nov1312"/>
      <sheetName val="spre_nov1312"/>
      <sheetName val="isro_dec1312"/>
      <sheetName val="IRIS_DEC1312"/>
      <sheetName val="isro_jan_1412"/>
      <sheetName val="isro_feb1412"/>
      <sheetName val="IRIS_FEB-1412"/>
      <sheetName val="TMLB-II_FEB-1412"/>
      <sheetName val="Unit_Rate8"/>
      <sheetName val="ETC_Panorama8"/>
      <sheetName val="PRECAST_lightconc-II9"/>
      <sheetName val="Stress_Calculation12"/>
      <sheetName val="Shuttering_Abstract8"/>
      <sheetName val="SPT_vs_PHI9"/>
      <sheetName val="Total_Amount8"/>
      <sheetName val="Fill_this_out_first___12"/>
      <sheetName val="A_O_R_r1Str8"/>
      <sheetName val="A_O_R_r18"/>
      <sheetName val="A_O_R_(2)8"/>
      <sheetName val="Assumption_Inputs12"/>
      <sheetName val="d-safe_DELUXE8"/>
      <sheetName val="ABP_inputs8"/>
      <sheetName val="Synergy_Sales_Budget8"/>
      <sheetName val="TAV_ANALIZ8"/>
      <sheetName val="Sludge_Cal8"/>
      <sheetName val="입찰내역_발주처_양식8"/>
      <sheetName val="Boulevard_I_Summary8"/>
      <sheetName val="B-I_Blockwork_8"/>
      <sheetName val="B-II-summary_sheet_8"/>
      <sheetName val="B-II_Blockwork__(2)8"/>
      <sheetName val="B_-_III_-_Summary_Sheet_(2)8"/>
      <sheetName val="B_-_III_-_Blockwork8"/>
      <sheetName val="Hold_Amount8"/>
      <sheetName val="V-I_Summary_Sheet_8"/>
      <sheetName val="V-I_Blockwork8"/>
      <sheetName val="V-II_Blockwork8"/>
      <sheetName val="V-III-_Blockwork8"/>
      <sheetName val="Panorama_-Summary-dwg8"/>
      <sheetName val="NTA_-_02_summary_sheet_(2)8"/>
      <sheetName val="NTA-13-Summary_8"/>
      <sheetName val="NTA-14-Summary_8"/>
      <sheetName val="NTA-21-Summary_(2)8"/>
      <sheetName val="std_wt_8"/>
      <sheetName val="BOQ_FORM_FOR_INQUIRY8"/>
      <sheetName val="FORM_OF_PROPOSAL_RFP-0038"/>
      <sheetName val="Revised_Summary8"/>
      <sheetName val="RATE_ANALYSIS_8"/>
      <sheetName val="AoR_Finishing5"/>
      <sheetName val="P+M_-_Tower_Crane5"/>
      <sheetName val="RMC_April_165"/>
      <sheetName val="LMR_PF5"/>
      <sheetName val="Cement_Price_Variation5"/>
      <sheetName val="Civil_Works4"/>
      <sheetName val="Name_Manager4"/>
      <sheetName val="Input_Rates4"/>
      <sheetName val="Detailed_Areas4"/>
      <sheetName val="Misc__points34"/>
      <sheetName val="qty_abst34"/>
      <sheetName val="basic_34"/>
      <sheetName val="Rate_Analysis34"/>
      <sheetName val="Iron_Steel_&amp;_handrails34"/>
      <sheetName val="Top_Sheet34"/>
      <sheetName val="VENDOR_CODE_WO_NO31"/>
      <sheetName val="Master_Item_List31"/>
      <sheetName val="Steel_Summary31"/>
      <sheetName val="Civil_Boq31"/>
      <sheetName val="Main_Summary31"/>
      <sheetName val="Summary_(G_H_Bachlor_C)31"/>
      <sheetName val="General_preliminaries31"/>
      <sheetName val="VENDER_DETAIL31"/>
      <sheetName val="IS_Summary15"/>
      <sheetName val="Work_Done_Bill_(2)15"/>
      <sheetName val="Basic_Rate15"/>
      <sheetName val="INFLUENCES_ON_GM15"/>
      <sheetName val="acevsSp_(ABC)15"/>
      <sheetName val="Drain_Work14"/>
      <sheetName val="Non-BOQ_summary14"/>
      <sheetName val="Curing_Bund_for_Sep'1314"/>
      <sheetName val="Legal_Risk_Analysis14"/>
      <sheetName val="Monthly_Format_ATH_(ro)revise15"/>
      <sheetName val="Abs_Sheet(Fuel_oil_area)JAN15"/>
      <sheetName val="STAFFSCHED_14"/>
      <sheetName val="int_hire14"/>
      <sheetName val="Site_Dev_BOQ15"/>
      <sheetName val="Drop_Down_(Fixed)14"/>
      <sheetName val="Drop_Down14"/>
      <sheetName val="BOQ_Direct_selling_cost14"/>
      <sheetName val="E_&amp;_R14"/>
      <sheetName val="RA_Format12"/>
      <sheetName val="Measurement-ID_works12"/>
      <sheetName val="IO_List11"/>
      <sheetName val="Ph_1_-ESM_Pipe,_Bitumen12"/>
      <sheetName val="major_qty11"/>
      <sheetName val="Major_P&amp;M_deployment11"/>
      <sheetName val="p&amp;m_L&amp;T_Hire11"/>
      <sheetName val="Data_111"/>
      <sheetName val="Rehab_podium_footing11"/>
      <sheetName val="PointNo_514"/>
      <sheetName val="Staff_Forecast_spread11"/>
      <sheetName val="IIST_(2)14"/>
      <sheetName val="IIST_(3)14"/>
      <sheetName val="TMLB_II_MAY1314"/>
      <sheetName val="isro_JUL1314"/>
      <sheetName val="IRIS_Jul1314"/>
      <sheetName val="IRS_2_jul1314"/>
      <sheetName val="isro_aug1314"/>
      <sheetName val="IRIS_augg1314"/>
      <sheetName val="SPRE_WORKING14"/>
      <sheetName val="IRS_2augg_1314"/>
      <sheetName val="iist_sept1314"/>
      <sheetName val="IRIS_SEPT1314"/>
      <sheetName val="SPRE_SEPT14"/>
      <sheetName val="IRS2_SEPT_1314"/>
      <sheetName val="iist_OCT_1314"/>
      <sheetName val="IRIS_OCT1314"/>
      <sheetName val="IRIS2_OCT1314"/>
      <sheetName val="iist_nov1314"/>
      <sheetName val="iris_nov1314"/>
      <sheetName val="spre_nov1314"/>
      <sheetName val="isro_dec1314"/>
      <sheetName val="IRIS_DEC1314"/>
      <sheetName val="isro_jan_1414"/>
      <sheetName val="isro_feb1414"/>
      <sheetName val="IRIS_FEB-1414"/>
      <sheetName val="TMLB-II_FEB-1414"/>
      <sheetName val="Unit_Rate10"/>
      <sheetName val="ETC_Panorama10"/>
      <sheetName val="PRECAST_lightconc-II11"/>
      <sheetName val="Stress_Calculation14"/>
      <sheetName val="Shuttering_Abstract10"/>
      <sheetName val="SPT_vs_PHI11"/>
      <sheetName val="Total_Amount10"/>
      <sheetName val="Fill_this_out_first___14"/>
      <sheetName val="A_O_R_r1Str10"/>
      <sheetName val="A_O_R_r110"/>
      <sheetName val="A_O_R_(2)10"/>
      <sheetName val="Assumption_Inputs14"/>
      <sheetName val="d-safe_DELUXE10"/>
      <sheetName val="ABP_inputs10"/>
      <sheetName val="Synergy_Sales_Budget10"/>
      <sheetName val="TAV_ANALIZ10"/>
      <sheetName val="Sludge_Cal10"/>
      <sheetName val="입찰내역_발주처_양식10"/>
      <sheetName val="Boulevard_I_Summary10"/>
      <sheetName val="B-I_Blockwork_10"/>
      <sheetName val="B-II-summary_sheet_10"/>
      <sheetName val="B-II_Blockwork__(2)10"/>
      <sheetName val="B_-_III_-_Summary_Sheet_(2)10"/>
      <sheetName val="B_-_III_-_Blockwork10"/>
      <sheetName val="Hold_Amount10"/>
      <sheetName val="V-I_Summary_Sheet_10"/>
      <sheetName val="V-I_Blockwork10"/>
      <sheetName val="V-II_Blockwork10"/>
      <sheetName val="V-III-_Blockwork10"/>
      <sheetName val="Panorama_-Summary-dwg10"/>
      <sheetName val="NTA_-_02_summary_sheet_(2)10"/>
      <sheetName val="NTA-13-Summary_10"/>
      <sheetName val="NTA-14-Summary_10"/>
      <sheetName val="NTA-21-Summary_(2)10"/>
      <sheetName val="std_wt_10"/>
      <sheetName val="BOQ_FORM_FOR_INQUIRY10"/>
      <sheetName val="FORM_OF_PROPOSAL_RFP-00310"/>
      <sheetName val="Revised_Summary10"/>
      <sheetName val="RATE_ANALYSIS_10"/>
      <sheetName val="AoR_Finishing7"/>
      <sheetName val="P+M_-_Tower_Crane7"/>
      <sheetName val="RMC_April_167"/>
      <sheetName val="LMR_PF7"/>
      <sheetName val="Cement_Price_Variation7"/>
      <sheetName val="Civil_Works6"/>
      <sheetName val="Name_Manager6"/>
      <sheetName val="Input_Rates6"/>
      <sheetName val="Detailed_Areas6"/>
      <sheetName val="????_???_??2"/>
      <sheetName val="DEPOT_WBS2"/>
      <sheetName val="Misc__points35"/>
      <sheetName val="qty_abst35"/>
      <sheetName val="basic_35"/>
      <sheetName val="Rate_Analysis35"/>
      <sheetName val="Iron_Steel_&amp;_handrails35"/>
      <sheetName val="Top_Sheet35"/>
      <sheetName val="VENDOR_CODE_WO_NO32"/>
      <sheetName val="Master_Item_List32"/>
      <sheetName val="Steel_Summary32"/>
      <sheetName val="Civil_Boq32"/>
      <sheetName val="Main_Summary32"/>
      <sheetName val="Summary_(G_H_Bachlor_C)32"/>
      <sheetName val="General_preliminaries32"/>
      <sheetName val="VENDER_DETAIL32"/>
      <sheetName val="IS_Summary16"/>
      <sheetName val="Work_Done_Bill_(2)16"/>
      <sheetName val="Basic_Rate16"/>
      <sheetName val="INFLUENCES_ON_GM16"/>
      <sheetName val="acevsSp_(ABC)16"/>
      <sheetName val="Drain_Work15"/>
      <sheetName val="Non-BOQ_summary15"/>
      <sheetName val="Curing_Bund_for_Sep'1315"/>
      <sheetName val="Legal_Risk_Analysis15"/>
      <sheetName val="Monthly_Format_ATH_(ro)revise16"/>
      <sheetName val="Abs_Sheet(Fuel_oil_area)JAN16"/>
      <sheetName val="STAFFSCHED_15"/>
      <sheetName val="int_hire15"/>
      <sheetName val="Site_Dev_BOQ16"/>
      <sheetName val="Drop_Down_(Fixed)15"/>
      <sheetName val="Drop_Down15"/>
      <sheetName val="BOQ_Direct_selling_cost15"/>
      <sheetName val="E_&amp;_R15"/>
      <sheetName val="RA_Format13"/>
      <sheetName val="Measurement-ID_works13"/>
      <sheetName val="IO_List12"/>
      <sheetName val="Ph_1_-ESM_Pipe,_Bitumen13"/>
      <sheetName val="major_qty12"/>
      <sheetName val="Major_P&amp;M_deployment12"/>
      <sheetName val="p&amp;m_L&amp;T_Hire12"/>
      <sheetName val="Data_112"/>
      <sheetName val="Rehab_podium_footing12"/>
      <sheetName val="PointNo_515"/>
      <sheetName val="Staff_Forecast_spread12"/>
      <sheetName val="IIST_(2)15"/>
      <sheetName val="IIST_(3)15"/>
      <sheetName val="TMLB_II_MAY1315"/>
      <sheetName val="isro_JUL1315"/>
      <sheetName val="IRIS_Jul1315"/>
      <sheetName val="IRS_2_jul1315"/>
      <sheetName val="isro_aug1315"/>
      <sheetName val="IRIS_augg1315"/>
      <sheetName val="SPRE_WORKING15"/>
      <sheetName val="IRS_2augg_1315"/>
      <sheetName val="iist_sept1315"/>
      <sheetName val="IRIS_SEPT1315"/>
      <sheetName val="SPRE_SEPT15"/>
      <sheetName val="IRS2_SEPT_1315"/>
      <sheetName val="iist_OCT_1315"/>
      <sheetName val="IRIS_OCT1315"/>
      <sheetName val="IRIS2_OCT1315"/>
      <sheetName val="iist_nov1315"/>
      <sheetName val="iris_nov1315"/>
      <sheetName val="spre_nov1315"/>
      <sheetName val="isro_dec1315"/>
      <sheetName val="IRIS_DEC1315"/>
      <sheetName val="isro_jan_1415"/>
      <sheetName val="isro_feb1415"/>
      <sheetName val="IRIS_FEB-1415"/>
      <sheetName val="TMLB-II_FEB-1415"/>
      <sheetName val="Unit_Rate11"/>
      <sheetName val="ETC_Panorama11"/>
      <sheetName val="PRECAST_lightconc-II12"/>
      <sheetName val="Stress_Calculation15"/>
      <sheetName val="Shuttering_Abstract11"/>
      <sheetName val="SPT_vs_PHI12"/>
      <sheetName val="Total_Amount11"/>
      <sheetName val="Fill_this_out_first___15"/>
      <sheetName val="A_O_R_r1Str11"/>
      <sheetName val="A_O_R_r111"/>
      <sheetName val="A_O_R_(2)11"/>
      <sheetName val="Assumption_Inputs15"/>
      <sheetName val="d-safe_DELUXE11"/>
      <sheetName val="ABP_inputs11"/>
      <sheetName val="Synergy_Sales_Budget11"/>
      <sheetName val="TAV_ANALIZ11"/>
      <sheetName val="Sludge_Cal11"/>
      <sheetName val="입찰내역_발주처_양식11"/>
      <sheetName val="Boulevard_I_Summary11"/>
      <sheetName val="B-I_Blockwork_11"/>
      <sheetName val="B-II-summary_sheet_11"/>
      <sheetName val="B-II_Blockwork__(2)11"/>
      <sheetName val="B_-_III_-_Summary_Sheet_(2)11"/>
      <sheetName val="B_-_III_-_Blockwork11"/>
      <sheetName val="Hold_Amount11"/>
      <sheetName val="V-I_Summary_Sheet_11"/>
      <sheetName val="V-I_Blockwork11"/>
      <sheetName val="V-II_Blockwork11"/>
      <sheetName val="V-III-_Blockwork11"/>
      <sheetName val="Panorama_-Summary-dwg11"/>
      <sheetName val="NTA_-_02_summary_sheet_(2)11"/>
      <sheetName val="NTA-13-Summary_11"/>
      <sheetName val="NTA-14-Summary_11"/>
      <sheetName val="NTA-21-Summary_(2)11"/>
      <sheetName val="std_wt_11"/>
      <sheetName val="BOQ_FORM_FOR_INQUIRY11"/>
      <sheetName val="FORM_OF_PROPOSAL_RFP-00311"/>
      <sheetName val="Revised_Summary11"/>
      <sheetName val="RATE_ANALYSIS_11"/>
      <sheetName val="AoR_Finishing8"/>
      <sheetName val="P+M_-_Tower_Crane8"/>
      <sheetName val="RMC_April_168"/>
      <sheetName val="LMR_PF8"/>
      <sheetName val="Cement_Price_Variation8"/>
      <sheetName val="Civil_Works7"/>
      <sheetName val="Name_Manager7"/>
      <sheetName val="Input_Rates7"/>
      <sheetName val="Detailed_Areas7"/>
      <sheetName val="????_???_??3"/>
      <sheetName val="DEPOT_WBS3"/>
      <sheetName val="Notes"/>
      <sheetName val="CSC"/>
      <sheetName val="Raw Data"/>
      <sheetName val="CPA7-31"/>
      <sheetName val="Bill_No__31"/>
      <sheetName val="CIF COST ITEM"/>
      <sheetName val="Struct-Grass root"/>
      <sheetName val="KPI"/>
      <sheetName val="Planned"/>
      <sheetName val="Entry"/>
      <sheetName val="F4.13"/>
      <sheetName val="TOTAL"/>
      <sheetName val="Architectural"/>
      <sheetName val="Lift"/>
      <sheetName val=" Structural"/>
      <sheetName val="Travel.Cranes"/>
      <sheetName val="Recap Architect"/>
      <sheetName val="Recap External"/>
      <sheetName val="Recap Struct"/>
      <sheetName val="Recap Travel.Crane"/>
      <sheetName val="Package 1"/>
      <sheetName val="Recap Lift"/>
      <sheetName val="PAYWORK"/>
      <sheetName val="MOS"/>
      <sheetName val="Cov"/>
      <sheetName val="1.1 Cost Breakdown"/>
      <sheetName val="1.1 Cost Breakdown (2)"/>
      <sheetName val="HITS"/>
      <sheetName val="billrate"/>
      <sheetName val="newsales"/>
      <sheetName val="Data Lists"/>
      <sheetName val="Activities"/>
      <sheetName val="BORDG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refreshError="1"/>
      <sheetData sheetId="306" refreshError="1"/>
      <sheetData sheetId="307" refreshError="1"/>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refreshError="1"/>
      <sheetData sheetId="319" refreshError="1"/>
      <sheetData sheetId="320" refreshError="1"/>
      <sheetData sheetId="321"/>
      <sheetData sheetId="322"/>
      <sheetData sheetId="323" refreshError="1"/>
      <sheetData sheetId="324" refreshError="1"/>
      <sheetData sheetId="325" refreshError="1"/>
      <sheetData sheetId="326" refreshError="1"/>
      <sheetData sheetId="327" refreshError="1"/>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sheetData sheetId="341"/>
      <sheetData sheetId="342"/>
      <sheetData sheetId="343">
        <row r="10">
          <cell r="D10">
            <v>1500</v>
          </cell>
        </row>
      </sheetData>
      <sheetData sheetId="344"/>
      <sheetData sheetId="345"/>
      <sheetData sheetId="346">
        <row r="10">
          <cell r="D10">
            <v>1500</v>
          </cell>
        </row>
      </sheetData>
      <sheetData sheetId="347"/>
      <sheetData sheetId="348" refreshError="1"/>
      <sheetData sheetId="349" refreshError="1"/>
      <sheetData sheetId="350" refreshError="1"/>
      <sheetData sheetId="351" refreshError="1"/>
      <sheetData sheetId="352"/>
      <sheetData sheetId="353"/>
      <sheetData sheetId="354" refreshError="1"/>
      <sheetData sheetId="355"/>
      <sheetData sheetId="356"/>
      <sheetData sheetId="357"/>
      <sheetData sheetId="358"/>
      <sheetData sheetId="359">
        <row r="10">
          <cell r="D10">
            <v>1500</v>
          </cell>
        </row>
      </sheetData>
      <sheetData sheetId="360"/>
      <sheetData sheetId="361"/>
      <sheetData sheetId="362">
        <row r="10">
          <cell r="D10">
            <v>1500</v>
          </cell>
        </row>
      </sheetData>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efreshError="1"/>
      <sheetData sheetId="382" refreshError="1"/>
      <sheetData sheetId="383" refreshError="1"/>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refreshError="1"/>
      <sheetData sheetId="422" refreshError="1"/>
      <sheetData sheetId="423"/>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refreshError="1"/>
      <sheetData sheetId="533">
        <row r="10">
          <cell r="D10">
            <v>1500</v>
          </cell>
        </row>
      </sheetData>
      <sheetData sheetId="534"/>
      <sheetData sheetId="535"/>
      <sheetData sheetId="536" refreshError="1"/>
      <sheetData sheetId="537" refreshError="1"/>
      <sheetData sheetId="538">
        <row r="10">
          <cell r="D10">
            <v>1500</v>
          </cell>
        </row>
      </sheetData>
      <sheetData sheetId="539" refreshError="1"/>
      <sheetData sheetId="540" refreshError="1"/>
      <sheetData sheetId="541">
        <row r="10">
          <cell r="D10">
            <v>1500</v>
          </cell>
        </row>
      </sheetData>
      <sheetData sheetId="542">
        <row r="10">
          <cell r="D10">
            <v>1500</v>
          </cell>
        </row>
      </sheetData>
      <sheetData sheetId="543">
        <row r="10">
          <cell r="D10">
            <v>1500</v>
          </cell>
        </row>
      </sheetData>
      <sheetData sheetId="544">
        <row r="10">
          <cell r="D10">
            <v>1500</v>
          </cell>
        </row>
      </sheetData>
      <sheetData sheetId="545"/>
      <sheetData sheetId="546"/>
      <sheetData sheetId="547"/>
      <sheetData sheetId="548"/>
      <sheetData sheetId="549"/>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ow r="10">
          <cell r="D10">
            <v>1500</v>
          </cell>
        </row>
      </sheetData>
      <sheetData sheetId="599">
        <row r="10">
          <cell r="D10">
            <v>1500</v>
          </cell>
        </row>
      </sheetData>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ow r="10">
          <cell r="D10">
            <v>1500</v>
          </cell>
        </row>
      </sheetData>
      <sheetData sheetId="609">
        <row r="10">
          <cell r="D10">
            <v>1500</v>
          </cell>
        </row>
      </sheetData>
      <sheetData sheetId="610">
        <row r="10">
          <cell r="D10">
            <v>1500</v>
          </cell>
        </row>
      </sheetData>
      <sheetData sheetId="611">
        <row r="10">
          <cell r="D10">
            <v>1500</v>
          </cell>
        </row>
      </sheetData>
      <sheetData sheetId="612">
        <row r="10">
          <cell r="D10">
            <v>1500</v>
          </cell>
        </row>
      </sheetData>
      <sheetData sheetId="613">
        <row r="10">
          <cell r="D10">
            <v>1500</v>
          </cell>
        </row>
      </sheetData>
      <sheetData sheetId="614">
        <row r="10">
          <cell r="D10">
            <v>1500</v>
          </cell>
        </row>
      </sheetData>
      <sheetData sheetId="615">
        <row r="10">
          <cell r="D10">
            <v>1500</v>
          </cell>
        </row>
      </sheetData>
      <sheetData sheetId="616">
        <row r="10">
          <cell r="D10">
            <v>1500</v>
          </cell>
        </row>
      </sheetData>
      <sheetData sheetId="617" refreshError="1"/>
      <sheetData sheetId="618" refreshError="1"/>
      <sheetData sheetId="619" refreshError="1"/>
      <sheetData sheetId="620" refreshError="1"/>
      <sheetData sheetId="621" refreshError="1"/>
      <sheetData sheetId="622" refreshError="1"/>
      <sheetData sheetId="623"/>
      <sheetData sheetId="624" refreshError="1"/>
      <sheetData sheetId="625" refreshError="1"/>
      <sheetData sheetId="626"/>
      <sheetData sheetId="627"/>
      <sheetData sheetId="628"/>
      <sheetData sheetId="629"/>
      <sheetData sheetId="630"/>
      <sheetData sheetId="631"/>
      <sheetData sheetId="632" refreshError="1"/>
      <sheetData sheetId="633" refreshError="1"/>
      <sheetData sheetId="634">
        <row r="10">
          <cell r="D10">
            <v>1500</v>
          </cell>
        </row>
      </sheetData>
      <sheetData sheetId="635" refreshError="1"/>
      <sheetData sheetId="636">
        <row r="10">
          <cell r="D10">
            <v>1500</v>
          </cell>
        </row>
      </sheetData>
      <sheetData sheetId="637" refreshError="1"/>
      <sheetData sheetId="638" refreshError="1"/>
      <sheetData sheetId="639" refreshError="1"/>
      <sheetData sheetId="640" refreshError="1"/>
      <sheetData sheetId="641" refreshError="1"/>
      <sheetData sheetId="642" refreshError="1"/>
      <sheetData sheetId="643">
        <row r="10">
          <cell r="D10">
            <v>1500</v>
          </cell>
        </row>
      </sheetData>
      <sheetData sheetId="644">
        <row r="10">
          <cell r="D10">
            <v>1500</v>
          </cell>
        </row>
      </sheetData>
      <sheetData sheetId="645">
        <row r="10">
          <cell r="D10">
            <v>1500</v>
          </cell>
        </row>
      </sheetData>
      <sheetData sheetId="646">
        <row r="10">
          <cell r="D10">
            <v>1500</v>
          </cell>
        </row>
      </sheetData>
      <sheetData sheetId="647">
        <row r="10">
          <cell r="D10">
            <v>1500</v>
          </cell>
        </row>
      </sheetData>
      <sheetData sheetId="648">
        <row r="10">
          <cell r="D10">
            <v>1500</v>
          </cell>
        </row>
      </sheetData>
      <sheetData sheetId="649">
        <row r="10">
          <cell r="D10">
            <v>1500</v>
          </cell>
        </row>
      </sheetData>
      <sheetData sheetId="650">
        <row r="10">
          <cell r="D10">
            <v>1500</v>
          </cell>
        </row>
      </sheetData>
      <sheetData sheetId="651">
        <row r="10">
          <cell r="D10">
            <v>1500</v>
          </cell>
        </row>
      </sheetData>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ow r="10">
          <cell r="D10">
            <v>1500</v>
          </cell>
        </row>
      </sheetData>
      <sheetData sheetId="671">
        <row r="1">
          <cell r="D1">
            <v>0</v>
          </cell>
        </row>
      </sheetData>
      <sheetData sheetId="672">
        <row r="1">
          <cell r="D1">
            <v>0</v>
          </cell>
        </row>
      </sheetData>
      <sheetData sheetId="673">
        <row r="1">
          <cell r="D1">
            <v>0</v>
          </cell>
        </row>
      </sheetData>
      <sheetData sheetId="674">
        <row r="1">
          <cell r="D1">
            <v>0</v>
          </cell>
        </row>
      </sheetData>
      <sheetData sheetId="675">
        <row r="1">
          <cell r="D1">
            <v>0</v>
          </cell>
        </row>
      </sheetData>
      <sheetData sheetId="676">
        <row r="1">
          <cell r="D1">
            <v>0</v>
          </cell>
        </row>
      </sheetData>
      <sheetData sheetId="677">
        <row r="1">
          <cell r="D1">
            <v>0</v>
          </cell>
        </row>
      </sheetData>
      <sheetData sheetId="678">
        <row r="1">
          <cell r="D1">
            <v>0</v>
          </cell>
        </row>
      </sheetData>
      <sheetData sheetId="679">
        <row r="1">
          <cell r="D1">
            <v>0</v>
          </cell>
        </row>
      </sheetData>
      <sheetData sheetId="680">
        <row r="1">
          <cell r="D1">
            <v>0</v>
          </cell>
        </row>
      </sheetData>
      <sheetData sheetId="681">
        <row r="1">
          <cell r="D1">
            <v>0</v>
          </cell>
        </row>
      </sheetData>
      <sheetData sheetId="682">
        <row r="1">
          <cell r="D1">
            <v>0</v>
          </cell>
        </row>
      </sheetData>
      <sheetData sheetId="683">
        <row r="1">
          <cell r="D1">
            <v>0</v>
          </cell>
        </row>
      </sheetData>
      <sheetData sheetId="684">
        <row r="1">
          <cell r="D1">
            <v>0</v>
          </cell>
        </row>
      </sheetData>
      <sheetData sheetId="685">
        <row r="1">
          <cell r="D1">
            <v>0</v>
          </cell>
        </row>
      </sheetData>
      <sheetData sheetId="686">
        <row r="1">
          <cell r="D1">
            <v>0</v>
          </cell>
        </row>
      </sheetData>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sheetData sheetId="728"/>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ow r="1">
          <cell r="D1">
            <v>0</v>
          </cell>
        </row>
      </sheetData>
      <sheetData sheetId="754">
        <row r="1">
          <cell r="D1">
            <v>0</v>
          </cell>
        </row>
      </sheetData>
      <sheetData sheetId="755">
        <row r="1">
          <cell r="D1">
            <v>0</v>
          </cell>
        </row>
      </sheetData>
      <sheetData sheetId="756">
        <row r="1">
          <cell r="D1">
            <v>0</v>
          </cell>
        </row>
      </sheetData>
      <sheetData sheetId="757">
        <row r="1">
          <cell r="D1">
            <v>0</v>
          </cell>
        </row>
      </sheetData>
      <sheetData sheetId="758">
        <row r="1">
          <cell r="D1">
            <v>0</v>
          </cell>
        </row>
      </sheetData>
      <sheetData sheetId="759">
        <row r="1">
          <cell r="D1">
            <v>0</v>
          </cell>
        </row>
      </sheetData>
      <sheetData sheetId="760">
        <row r="1">
          <cell r="D1">
            <v>0</v>
          </cell>
        </row>
      </sheetData>
      <sheetData sheetId="761">
        <row r="1">
          <cell r="D1">
            <v>0</v>
          </cell>
        </row>
      </sheetData>
      <sheetData sheetId="762">
        <row r="1">
          <cell r="D1">
            <v>0</v>
          </cell>
        </row>
      </sheetData>
      <sheetData sheetId="763">
        <row r="1">
          <cell r="D1">
            <v>0</v>
          </cell>
        </row>
      </sheetData>
      <sheetData sheetId="764">
        <row r="1">
          <cell r="D1">
            <v>0</v>
          </cell>
        </row>
      </sheetData>
      <sheetData sheetId="765">
        <row r="1">
          <cell r="D1">
            <v>0</v>
          </cell>
        </row>
      </sheetData>
      <sheetData sheetId="766">
        <row r="1">
          <cell r="D1">
            <v>0</v>
          </cell>
        </row>
      </sheetData>
      <sheetData sheetId="767">
        <row r="1">
          <cell r="D1">
            <v>0</v>
          </cell>
        </row>
      </sheetData>
      <sheetData sheetId="768">
        <row r="1">
          <cell r="D1">
            <v>0</v>
          </cell>
        </row>
      </sheetData>
      <sheetData sheetId="769">
        <row r="1">
          <cell r="D1">
            <v>0</v>
          </cell>
        </row>
      </sheetData>
      <sheetData sheetId="770">
        <row r="1">
          <cell r="D1">
            <v>0</v>
          </cell>
        </row>
      </sheetData>
      <sheetData sheetId="771">
        <row r="1">
          <cell r="D1">
            <v>0</v>
          </cell>
        </row>
      </sheetData>
      <sheetData sheetId="772">
        <row r="1">
          <cell r="D1">
            <v>0</v>
          </cell>
        </row>
      </sheetData>
      <sheetData sheetId="773">
        <row r="1">
          <cell r="D1">
            <v>0</v>
          </cell>
        </row>
      </sheetData>
      <sheetData sheetId="774">
        <row r="1">
          <cell r="D1">
            <v>0</v>
          </cell>
        </row>
      </sheetData>
      <sheetData sheetId="775">
        <row r="1">
          <cell r="D1">
            <v>0</v>
          </cell>
        </row>
      </sheetData>
      <sheetData sheetId="776">
        <row r="1">
          <cell r="D1">
            <v>0</v>
          </cell>
        </row>
      </sheetData>
      <sheetData sheetId="777">
        <row r="1">
          <cell r="D1">
            <v>0</v>
          </cell>
        </row>
      </sheetData>
      <sheetData sheetId="778">
        <row r="1">
          <cell r="D1">
            <v>0</v>
          </cell>
        </row>
      </sheetData>
      <sheetData sheetId="779">
        <row r="1">
          <cell r="D1">
            <v>0</v>
          </cell>
        </row>
      </sheetData>
      <sheetData sheetId="780">
        <row r="1">
          <cell r="D1">
            <v>0</v>
          </cell>
        </row>
      </sheetData>
      <sheetData sheetId="781">
        <row r="1">
          <cell r="D1">
            <v>0</v>
          </cell>
        </row>
      </sheetData>
      <sheetData sheetId="782">
        <row r="1">
          <cell r="D1">
            <v>0</v>
          </cell>
        </row>
      </sheetData>
      <sheetData sheetId="783">
        <row r="1">
          <cell r="D1">
            <v>0</v>
          </cell>
        </row>
      </sheetData>
      <sheetData sheetId="784">
        <row r="1">
          <cell r="D1">
            <v>0</v>
          </cell>
        </row>
      </sheetData>
      <sheetData sheetId="785">
        <row r="1">
          <cell r="D1">
            <v>0</v>
          </cell>
        </row>
      </sheetData>
      <sheetData sheetId="786">
        <row r="1">
          <cell r="D1">
            <v>0</v>
          </cell>
        </row>
      </sheetData>
      <sheetData sheetId="787">
        <row r="1">
          <cell r="D1">
            <v>0</v>
          </cell>
        </row>
      </sheetData>
      <sheetData sheetId="788">
        <row r="1">
          <cell r="D1">
            <v>0</v>
          </cell>
        </row>
      </sheetData>
      <sheetData sheetId="789">
        <row r="1">
          <cell r="D1">
            <v>0</v>
          </cell>
        </row>
      </sheetData>
      <sheetData sheetId="790">
        <row r="1">
          <cell r="D1">
            <v>0</v>
          </cell>
        </row>
      </sheetData>
      <sheetData sheetId="791">
        <row r="1">
          <cell r="D1">
            <v>0</v>
          </cell>
        </row>
      </sheetData>
      <sheetData sheetId="792">
        <row r="1">
          <cell r="D1">
            <v>0</v>
          </cell>
        </row>
      </sheetData>
      <sheetData sheetId="793">
        <row r="1">
          <cell r="D1">
            <v>0</v>
          </cell>
        </row>
      </sheetData>
      <sheetData sheetId="794">
        <row r="1">
          <cell r="D1">
            <v>0</v>
          </cell>
        </row>
      </sheetData>
      <sheetData sheetId="795">
        <row r="1">
          <cell r="D1">
            <v>0</v>
          </cell>
        </row>
      </sheetData>
      <sheetData sheetId="796">
        <row r="1">
          <cell r="D1">
            <v>0</v>
          </cell>
        </row>
      </sheetData>
      <sheetData sheetId="797">
        <row r="1">
          <cell r="D1">
            <v>0</v>
          </cell>
        </row>
      </sheetData>
      <sheetData sheetId="798">
        <row r="1">
          <cell r="D1">
            <v>0</v>
          </cell>
        </row>
      </sheetData>
      <sheetData sheetId="799">
        <row r="1">
          <cell r="D1">
            <v>0</v>
          </cell>
        </row>
      </sheetData>
      <sheetData sheetId="800">
        <row r="1">
          <cell r="D1">
            <v>0</v>
          </cell>
        </row>
      </sheetData>
      <sheetData sheetId="801">
        <row r="1">
          <cell r="D1">
            <v>0</v>
          </cell>
        </row>
      </sheetData>
      <sheetData sheetId="802">
        <row r="1">
          <cell r="D1">
            <v>0</v>
          </cell>
        </row>
      </sheetData>
      <sheetData sheetId="803">
        <row r="1">
          <cell r="D1">
            <v>0</v>
          </cell>
        </row>
      </sheetData>
      <sheetData sheetId="804">
        <row r="1">
          <cell r="D1">
            <v>0</v>
          </cell>
        </row>
      </sheetData>
      <sheetData sheetId="805">
        <row r="1">
          <cell r="D1">
            <v>0</v>
          </cell>
        </row>
      </sheetData>
      <sheetData sheetId="806">
        <row r="1">
          <cell r="D1">
            <v>0</v>
          </cell>
        </row>
      </sheetData>
      <sheetData sheetId="807">
        <row r="1">
          <cell r="D1">
            <v>0</v>
          </cell>
        </row>
      </sheetData>
      <sheetData sheetId="808">
        <row r="1">
          <cell r="D1">
            <v>0</v>
          </cell>
        </row>
      </sheetData>
      <sheetData sheetId="809">
        <row r="1">
          <cell r="D1">
            <v>0</v>
          </cell>
        </row>
      </sheetData>
      <sheetData sheetId="810">
        <row r="1">
          <cell r="D1">
            <v>0</v>
          </cell>
        </row>
      </sheetData>
      <sheetData sheetId="811">
        <row r="1">
          <cell r="D1">
            <v>0</v>
          </cell>
        </row>
      </sheetData>
      <sheetData sheetId="812">
        <row r="1">
          <cell r="D1">
            <v>0</v>
          </cell>
        </row>
      </sheetData>
      <sheetData sheetId="813">
        <row r="1">
          <cell r="D1">
            <v>0</v>
          </cell>
        </row>
      </sheetData>
      <sheetData sheetId="814">
        <row r="1">
          <cell r="D1">
            <v>0</v>
          </cell>
        </row>
      </sheetData>
      <sheetData sheetId="815">
        <row r="1">
          <cell r="D1">
            <v>0</v>
          </cell>
        </row>
      </sheetData>
      <sheetData sheetId="816">
        <row r="1">
          <cell r="D1">
            <v>0</v>
          </cell>
        </row>
      </sheetData>
      <sheetData sheetId="817">
        <row r="1">
          <cell r="D1">
            <v>0</v>
          </cell>
        </row>
      </sheetData>
      <sheetData sheetId="818">
        <row r="1">
          <cell r="D1">
            <v>0</v>
          </cell>
        </row>
      </sheetData>
      <sheetData sheetId="819">
        <row r="1">
          <cell r="D1">
            <v>0</v>
          </cell>
        </row>
      </sheetData>
      <sheetData sheetId="820">
        <row r="1">
          <cell r="D1">
            <v>0</v>
          </cell>
        </row>
      </sheetData>
      <sheetData sheetId="821">
        <row r="1">
          <cell r="D1">
            <v>0</v>
          </cell>
        </row>
      </sheetData>
      <sheetData sheetId="822">
        <row r="1">
          <cell r="D1">
            <v>0</v>
          </cell>
        </row>
      </sheetData>
      <sheetData sheetId="823">
        <row r="1">
          <cell r="D1">
            <v>0</v>
          </cell>
        </row>
      </sheetData>
      <sheetData sheetId="824">
        <row r="1">
          <cell r="D1">
            <v>0</v>
          </cell>
        </row>
      </sheetData>
      <sheetData sheetId="825">
        <row r="1">
          <cell r="D1">
            <v>0</v>
          </cell>
        </row>
      </sheetData>
      <sheetData sheetId="826">
        <row r="1">
          <cell r="D1">
            <v>0</v>
          </cell>
        </row>
      </sheetData>
      <sheetData sheetId="827">
        <row r="1">
          <cell r="D1">
            <v>0</v>
          </cell>
        </row>
      </sheetData>
      <sheetData sheetId="828">
        <row r="1">
          <cell r="D1">
            <v>0</v>
          </cell>
        </row>
      </sheetData>
      <sheetData sheetId="829">
        <row r="1">
          <cell r="D1">
            <v>0</v>
          </cell>
        </row>
      </sheetData>
      <sheetData sheetId="830">
        <row r="1">
          <cell r="D1">
            <v>0</v>
          </cell>
        </row>
      </sheetData>
      <sheetData sheetId="831">
        <row r="1">
          <cell r="D1">
            <v>0</v>
          </cell>
        </row>
      </sheetData>
      <sheetData sheetId="832">
        <row r="1">
          <cell r="D1">
            <v>0</v>
          </cell>
        </row>
      </sheetData>
      <sheetData sheetId="833">
        <row r="1">
          <cell r="D1">
            <v>0</v>
          </cell>
        </row>
      </sheetData>
      <sheetData sheetId="834">
        <row r="1">
          <cell r="D1">
            <v>0</v>
          </cell>
        </row>
      </sheetData>
      <sheetData sheetId="835">
        <row r="1">
          <cell r="D1">
            <v>0</v>
          </cell>
        </row>
      </sheetData>
      <sheetData sheetId="836">
        <row r="1">
          <cell r="D1">
            <v>0</v>
          </cell>
        </row>
      </sheetData>
      <sheetData sheetId="837">
        <row r="1">
          <cell r="D1">
            <v>0</v>
          </cell>
        </row>
      </sheetData>
      <sheetData sheetId="838">
        <row r="1">
          <cell r="D1">
            <v>0</v>
          </cell>
        </row>
      </sheetData>
      <sheetData sheetId="839">
        <row r="1">
          <cell r="D1">
            <v>0</v>
          </cell>
        </row>
      </sheetData>
      <sheetData sheetId="840">
        <row r="1">
          <cell r="D1">
            <v>0</v>
          </cell>
        </row>
      </sheetData>
      <sheetData sheetId="841">
        <row r="1">
          <cell r="D1">
            <v>0</v>
          </cell>
        </row>
      </sheetData>
      <sheetData sheetId="842">
        <row r="1">
          <cell r="D1">
            <v>0</v>
          </cell>
        </row>
      </sheetData>
      <sheetData sheetId="843">
        <row r="1">
          <cell r="D1">
            <v>0</v>
          </cell>
        </row>
      </sheetData>
      <sheetData sheetId="844">
        <row r="1">
          <cell r="D1">
            <v>0</v>
          </cell>
        </row>
      </sheetData>
      <sheetData sheetId="845">
        <row r="1">
          <cell r="D1">
            <v>0</v>
          </cell>
        </row>
      </sheetData>
      <sheetData sheetId="846">
        <row r="1">
          <cell r="D1">
            <v>0</v>
          </cell>
        </row>
      </sheetData>
      <sheetData sheetId="847">
        <row r="1">
          <cell r="D1">
            <v>0</v>
          </cell>
        </row>
      </sheetData>
      <sheetData sheetId="848">
        <row r="1">
          <cell r="D1">
            <v>0</v>
          </cell>
        </row>
      </sheetData>
      <sheetData sheetId="849">
        <row r="1">
          <cell r="D1">
            <v>0</v>
          </cell>
        </row>
      </sheetData>
      <sheetData sheetId="850">
        <row r="1">
          <cell r="D1">
            <v>0</v>
          </cell>
        </row>
      </sheetData>
      <sheetData sheetId="851">
        <row r="1">
          <cell r="D1">
            <v>0</v>
          </cell>
        </row>
      </sheetData>
      <sheetData sheetId="852">
        <row r="1">
          <cell r="D1">
            <v>0</v>
          </cell>
        </row>
      </sheetData>
      <sheetData sheetId="853">
        <row r="1">
          <cell r="D1">
            <v>0</v>
          </cell>
        </row>
      </sheetData>
      <sheetData sheetId="854">
        <row r="1">
          <cell r="D1">
            <v>0</v>
          </cell>
        </row>
      </sheetData>
      <sheetData sheetId="855">
        <row r="1">
          <cell r="D1">
            <v>0</v>
          </cell>
        </row>
      </sheetData>
      <sheetData sheetId="856">
        <row r="1">
          <cell r="D1">
            <v>0</v>
          </cell>
        </row>
      </sheetData>
      <sheetData sheetId="857">
        <row r="1">
          <cell r="D1">
            <v>0</v>
          </cell>
        </row>
      </sheetData>
      <sheetData sheetId="858">
        <row r="1">
          <cell r="D1">
            <v>0</v>
          </cell>
        </row>
      </sheetData>
      <sheetData sheetId="859">
        <row r="1">
          <cell r="D1">
            <v>0</v>
          </cell>
        </row>
      </sheetData>
      <sheetData sheetId="860">
        <row r="1">
          <cell r="D1">
            <v>0</v>
          </cell>
        </row>
      </sheetData>
      <sheetData sheetId="861">
        <row r="1">
          <cell r="D1">
            <v>0</v>
          </cell>
        </row>
      </sheetData>
      <sheetData sheetId="862">
        <row r="1">
          <cell r="D1">
            <v>0</v>
          </cell>
        </row>
      </sheetData>
      <sheetData sheetId="863">
        <row r="1">
          <cell r="D1">
            <v>0</v>
          </cell>
        </row>
      </sheetData>
      <sheetData sheetId="864">
        <row r="1">
          <cell r="D1">
            <v>0</v>
          </cell>
        </row>
      </sheetData>
      <sheetData sheetId="865">
        <row r="1">
          <cell r="D1">
            <v>0</v>
          </cell>
        </row>
      </sheetData>
      <sheetData sheetId="866">
        <row r="1">
          <cell r="D1">
            <v>0</v>
          </cell>
        </row>
      </sheetData>
      <sheetData sheetId="867">
        <row r="1">
          <cell r="D1">
            <v>0</v>
          </cell>
        </row>
      </sheetData>
      <sheetData sheetId="868">
        <row r="1">
          <cell r="D1">
            <v>0</v>
          </cell>
        </row>
      </sheetData>
      <sheetData sheetId="869">
        <row r="1">
          <cell r="D1">
            <v>0</v>
          </cell>
        </row>
      </sheetData>
      <sheetData sheetId="870">
        <row r="1">
          <cell r="D1">
            <v>0</v>
          </cell>
        </row>
      </sheetData>
      <sheetData sheetId="871">
        <row r="1">
          <cell r="D1">
            <v>0</v>
          </cell>
        </row>
      </sheetData>
      <sheetData sheetId="872">
        <row r="1">
          <cell r="D1">
            <v>0</v>
          </cell>
        </row>
      </sheetData>
      <sheetData sheetId="873">
        <row r="1">
          <cell r="D1">
            <v>0</v>
          </cell>
        </row>
      </sheetData>
      <sheetData sheetId="874">
        <row r="1">
          <cell r="D1">
            <v>0</v>
          </cell>
        </row>
      </sheetData>
      <sheetData sheetId="875">
        <row r="1">
          <cell r="D1">
            <v>0</v>
          </cell>
        </row>
      </sheetData>
      <sheetData sheetId="876">
        <row r="1">
          <cell r="D1">
            <v>0</v>
          </cell>
        </row>
      </sheetData>
      <sheetData sheetId="877">
        <row r="1">
          <cell r="D1">
            <v>0</v>
          </cell>
        </row>
      </sheetData>
      <sheetData sheetId="878">
        <row r="1">
          <cell r="D1">
            <v>0</v>
          </cell>
        </row>
      </sheetData>
      <sheetData sheetId="879">
        <row r="1">
          <cell r="D1">
            <v>0</v>
          </cell>
        </row>
      </sheetData>
      <sheetData sheetId="880">
        <row r="1">
          <cell r="D1">
            <v>0</v>
          </cell>
        </row>
      </sheetData>
      <sheetData sheetId="881">
        <row r="1">
          <cell r="D1">
            <v>0</v>
          </cell>
        </row>
      </sheetData>
      <sheetData sheetId="882">
        <row r="1">
          <cell r="D1">
            <v>0</v>
          </cell>
        </row>
      </sheetData>
      <sheetData sheetId="883">
        <row r="1">
          <cell r="D1">
            <v>0</v>
          </cell>
        </row>
      </sheetData>
      <sheetData sheetId="884">
        <row r="1">
          <cell r="D1">
            <v>0</v>
          </cell>
        </row>
      </sheetData>
      <sheetData sheetId="885">
        <row r="1">
          <cell r="D1">
            <v>0</v>
          </cell>
        </row>
      </sheetData>
      <sheetData sheetId="886">
        <row r="1">
          <cell r="D1">
            <v>0</v>
          </cell>
        </row>
      </sheetData>
      <sheetData sheetId="887">
        <row r="1">
          <cell r="D1">
            <v>0</v>
          </cell>
        </row>
      </sheetData>
      <sheetData sheetId="888">
        <row r="1">
          <cell r="D1">
            <v>0</v>
          </cell>
        </row>
      </sheetData>
      <sheetData sheetId="889">
        <row r="1">
          <cell r="D1">
            <v>0</v>
          </cell>
        </row>
      </sheetData>
      <sheetData sheetId="890">
        <row r="1">
          <cell r="D1">
            <v>0</v>
          </cell>
        </row>
      </sheetData>
      <sheetData sheetId="891">
        <row r="1">
          <cell r="D1">
            <v>0</v>
          </cell>
        </row>
      </sheetData>
      <sheetData sheetId="892">
        <row r="1">
          <cell r="D1">
            <v>0</v>
          </cell>
        </row>
      </sheetData>
      <sheetData sheetId="893">
        <row r="1">
          <cell r="D1">
            <v>0</v>
          </cell>
        </row>
      </sheetData>
      <sheetData sheetId="894">
        <row r="1">
          <cell r="D1">
            <v>0</v>
          </cell>
        </row>
      </sheetData>
      <sheetData sheetId="895">
        <row r="1">
          <cell r="D1">
            <v>0</v>
          </cell>
        </row>
      </sheetData>
      <sheetData sheetId="896">
        <row r="1">
          <cell r="D1">
            <v>0</v>
          </cell>
        </row>
      </sheetData>
      <sheetData sheetId="897">
        <row r="1">
          <cell r="D1">
            <v>0</v>
          </cell>
        </row>
      </sheetData>
      <sheetData sheetId="898">
        <row r="1">
          <cell r="D1">
            <v>0</v>
          </cell>
        </row>
      </sheetData>
      <sheetData sheetId="899">
        <row r="1">
          <cell r="D1">
            <v>0</v>
          </cell>
        </row>
      </sheetData>
      <sheetData sheetId="900">
        <row r="1">
          <cell r="D1">
            <v>0</v>
          </cell>
        </row>
      </sheetData>
      <sheetData sheetId="901">
        <row r="1">
          <cell r="D1">
            <v>0</v>
          </cell>
        </row>
      </sheetData>
      <sheetData sheetId="902">
        <row r="1">
          <cell r="D1">
            <v>0</v>
          </cell>
        </row>
      </sheetData>
      <sheetData sheetId="903">
        <row r="1">
          <cell r="D1">
            <v>0</v>
          </cell>
        </row>
      </sheetData>
      <sheetData sheetId="904">
        <row r="1">
          <cell r="D1">
            <v>0</v>
          </cell>
        </row>
      </sheetData>
      <sheetData sheetId="905">
        <row r="1">
          <cell r="D1">
            <v>0</v>
          </cell>
        </row>
      </sheetData>
      <sheetData sheetId="906">
        <row r="1">
          <cell r="D1">
            <v>0</v>
          </cell>
        </row>
      </sheetData>
      <sheetData sheetId="907">
        <row r="1">
          <cell r="D1">
            <v>0</v>
          </cell>
        </row>
      </sheetData>
      <sheetData sheetId="908">
        <row r="1">
          <cell r="D1">
            <v>0</v>
          </cell>
        </row>
      </sheetData>
      <sheetData sheetId="909">
        <row r="1">
          <cell r="D1">
            <v>0</v>
          </cell>
        </row>
      </sheetData>
      <sheetData sheetId="910">
        <row r="1">
          <cell r="D1">
            <v>0</v>
          </cell>
        </row>
      </sheetData>
      <sheetData sheetId="911">
        <row r="1">
          <cell r="D1">
            <v>0</v>
          </cell>
        </row>
      </sheetData>
      <sheetData sheetId="912">
        <row r="1">
          <cell r="D1">
            <v>0</v>
          </cell>
        </row>
      </sheetData>
      <sheetData sheetId="913">
        <row r="1">
          <cell r="D1">
            <v>0</v>
          </cell>
        </row>
      </sheetData>
      <sheetData sheetId="914">
        <row r="1">
          <cell r="D1">
            <v>0</v>
          </cell>
        </row>
      </sheetData>
      <sheetData sheetId="915">
        <row r="1">
          <cell r="D1">
            <v>0</v>
          </cell>
        </row>
      </sheetData>
      <sheetData sheetId="916">
        <row r="1">
          <cell r="D1">
            <v>0</v>
          </cell>
        </row>
      </sheetData>
      <sheetData sheetId="917">
        <row r="1">
          <cell r="D1">
            <v>0</v>
          </cell>
        </row>
      </sheetData>
      <sheetData sheetId="918">
        <row r="1">
          <cell r="D1">
            <v>0</v>
          </cell>
        </row>
      </sheetData>
      <sheetData sheetId="919">
        <row r="1">
          <cell r="D1">
            <v>0</v>
          </cell>
        </row>
      </sheetData>
      <sheetData sheetId="920">
        <row r="1">
          <cell r="D1">
            <v>0</v>
          </cell>
        </row>
      </sheetData>
      <sheetData sheetId="921">
        <row r="1">
          <cell r="D1">
            <v>0</v>
          </cell>
        </row>
      </sheetData>
      <sheetData sheetId="922">
        <row r="1">
          <cell r="D1">
            <v>0</v>
          </cell>
        </row>
      </sheetData>
      <sheetData sheetId="923">
        <row r="1">
          <cell r="D1">
            <v>0</v>
          </cell>
        </row>
      </sheetData>
      <sheetData sheetId="924">
        <row r="1">
          <cell r="D1">
            <v>0</v>
          </cell>
        </row>
      </sheetData>
      <sheetData sheetId="925">
        <row r="1">
          <cell r="D1">
            <v>0</v>
          </cell>
        </row>
      </sheetData>
      <sheetData sheetId="926">
        <row r="1">
          <cell r="D1">
            <v>0</v>
          </cell>
        </row>
      </sheetData>
      <sheetData sheetId="927">
        <row r="1">
          <cell r="D1">
            <v>0</v>
          </cell>
        </row>
      </sheetData>
      <sheetData sheetId="928">
        <row r="1">
          <cell r="D1">
            <v>0</v>
          </cell>
        </row>
      </sheetData>
      <sheetData sheetId="929">
        <row r="1">
          <cell r="D1">
            <v>0</v>
          </cell>
        </row>
      </sheetData>
      <sheetData sheetId="930">
        <row r="1">
          <cell r="D1">
            <v>0</v>
          </cell>
        </row>
      </sheetData>
      <sheetData sheetId="931">
        <row r="1">
          <cell r="D1">
            <v>0</v>
          </cell>
        </row>
      </sheetData>
      <sheetData sheetId="932">
        <row r="1">
          <cell r="D1">
            <v>0</v>
          </cell>
        </row>
      </sheetData>
      <sheetData sheetId="933">
        <row r="1">
          <cell r="D1">
            <v>0</v>
          </cell>
        </row>
      </sheetData>
      <sheetData sheetId="934">
        <row r="1">
          <cell r="D1">
            <v>0</v>
          </cell>
        </row>
      </sheetData>
      <sheetData sheetId="935">
        <row r="1">
          <cell r="D1">
            <v>0</v>
          </cell>
        </row>
      </sheetData>
      <sheetData sheetId="936">
        <row r="1">
          <cell r="D1">
            <v>0</v>
          </cell>
        </row>
      </sheetData>
      <sheetData sheetId="937">
        <row r="1">
          <cell r="D1">
            <v>0</v>
          </cell>
        </row>
      </sheetData>
      <sheetData sheetId="938">
        <row r="1">
          <cell r="D1">
            <v>0</v>
          </cell>
        </row>
      </sheetData>
      <sheetData sheetId="939">
        <row r="1">
          <cell r="D1">
            <v>0</v>
          </cell>
        </row>
      </sheetData>
      <sheetData sheetId="940">
        <row r="1">
          <cell r="D1">
            <v>0</v>
          </cell>
        </row>
      </sheetData>
      <sheetData sheetId="941">
        <row r="1">
          <cell r="D1">
            <v>0</v>
          </cell>
        </row>
      </sheetData>
      <sheetData sheetId="942">
        <row r="1">
          <cell r="D1">
            <v>0</v>
          </cell>
        </row>
      </sheetData>
      <sheetData sheetId="943">
        <row r="1">
          <cell r="D1">
            <v>0</v>
          </cell>
        </row>
      </sheetData>
      <sheetData sheetId="944">
        <row r="1">
          <cell r="D1">
            <v>0</v>
          </cell>
        </row>
      </sheetData>
      <sheetData sheetId="945">
        <row r="1">
          <cell r="D1">
            <v>0</v>
          </cell>
        </row>
      </sheetData>
      <sheetData sheetId="946">
        <row r="1">
          <cell r="D1">
            <v>0</v>
          </cell>
        </row>
      </sheetData>
      <sheetData sheetId="947">
        <row r="1">
          <cell r="D1">
            <v>0</v>
          </cell>
        </row>
      </sheetData>
      <sheetData sheetId="948">
        <row r="1">
          <cell r="D1">
            <v>0</v>
          </cell>
        </row>
      </sheetData>
      <sheetData sheetId="949">
        <row r="1">
          <cell r="D1">
            <v>0</v>
          </cell>
        </row>
      </sheetData>
      <sheetData sheetId="950">
        <row r="1">
          <cell r="D1">
            <v>0</v>
          </cell>
        </row>
      </sheetData>
      <sheetData sheetId="951">
        <row r="1">
          <cell r="D1">
            <v>0</v>
          </cell>
        </row>
      </sheetData>
      <sheetData sheetId="952">
        <row r="1">
          <cell r="D1">
            <v>0</v>
          </cell>
        </row>
      </sheetData>
      <sheetData sheetId="953">
        <row r="1">
          <cell r="D1">
            <v>0</v>
          </cell>
        </row>
      </sheetData>
      <sheetData sheetId="954">
        <row r="1">
          <cell r="D1">
            <v>0</v>
          </cell>
        </row>
      </sheetData>
      <sheetData sheetId="955">
        <row r="1">
          <cell r="D1">
            <v>0</v>
          </cell>
        </row>
      </sheetData>
      <sheetData sheetId="956">
        <row r="1">
          <cell r="D1">
            <v>0</v>
          </cell>
        </row>
      </sheetData>
      <sheetData sheetId="957">
        <row r="1">
          <cell r="D1">
            <v>0</v>
          </cell>
        </row>
      </sheetData>
      <sheetData sheetId="958">
        <row r="1">
          <cell r="D1">
            <v>0</v>
          </cell>
        </row>
      </sheetData>
      <sheetData sheetId="959">
        <row r="1">
          <cell r="D1">
            <v>0</v>
          </cell>
        </row>
      </sheetData>
      <sheetData sheetId="960">
        <row r="1">
          <cell r="D1">
            <v>0</v>
          </cell>
        </row>
      </sheetData>
      <sheetData sheetId="961">
        <row r="1">
          <cell r="D1">
            <v>0</v>
          </cell>
        </row>
      </sheetData>
      <sheetData sheetId="962">
        <row r="1">
          <cell r="D1">
            <v>0</v>
          </cell>
        </row>
      </sheetData>
      <sheetData sheetId="963">
        <row r="1">
          <cell r="D1">
            <v>0</v>
          </cell>
        </row>
      </sheetData>
      <sheetData sheetId="964">
        <row r="1">
          <cell r="D1">
            <v>0</v>
          </cell>
        </row>
      </sheetData>
      <sheetData sheetId="965">
        <row r="1">
          <cell r="D1">
            <v>0</v>
          </cell>
        </row>
      </sheetData>
      <sheetData sheetId="966">
        <row r="1">
          <cell r="D1">
            <v>0</v>
          </cell>
        </row>
      </sheetData>
      <sheetData sheetId="967">
        <row r="1">
          <cell r="D1">
            <v>0</v>
          </cell>
        </row>
      </sheetData>
      <sheetData sheetId="968">
        <row r="1">
          <cell r="D1">
            <v>0</v>
          </cell>
        </row>
      </sheetData>
      <sheetData sheetId="969">
        <row r="1">
          <cell r="D1">
            <v>0</v>
          </cell>
        </row>
      </sheetData>
      <sheetData sheetId="970">
        <row r="1">
          <cell r="D1">
            <v>0</v>
          </cell>
        </row>
      </sheetData>
      <sheetData sheetId="971">
        <row r="1">
          <cell r="D1">
            <v>0</v>
          </cell>
        </row>
      </sheetData>
      <sheetData sheetId="972">
        <row r="1">
          <cell r="D1">
            <v>0</v>
          </cell>
        </row>
      </sheetData>
      <sheetData sheetId="973">
        <row r="1">
          <cell r="D1">
            <v>0</v>
          </cell>
        </row>
      </sheetData>
      <sheetData sheetId="974">
        <row r="1">
          <cell r="D1">
            <v>0</v>
          </cell>
        </row>
      </sheetData>
      <sheetData sheetId="975">
        <row r="1">
          <cell r="D1">
            <v>0</v>
          </cell>
        </row>
      </sheetData>
      <sheetData sheetId="976">
        <row r="1">
          <cell r="D1">
            <v>0</v>
          </cell>
        </row>
      </sheetData>
      <sheetData sheetId="977">
        <row r="1">
          <cell r="D1">
            <v>0</v>
          </cell>
        </row>
      </sheetData>
      <sheetData sheetId="978">
        <row r="1">
          <cell r="D1">
            <v>0</v>
          </cell>
        </row>
      </sheetData>
      <sheetData sheetId="979">
        <row r="1">
          <cell r="D1">
            <v>0</v>
          </cell>
        </row>
      </sheetData>
      <sheetData sheetId="980">
        <row r="1">
          <cell r="D1">
            <v>0</v>
          </cell>
        </row>
      </sheetData>
      <sheetData sheetId="981">
        <row r="1">
          <cell r="D1">
            <v>0</v>
          </cell>
        </row>
      </sheetData>
      <sheetData sheetId="982">
        <row r="1">
          <cell r="D1">
            <v>0</v>
          </cell>
        </row>
      </sheetData>
      <sheetData sheetId="983">
        <row r="1">
          <cell r="D1">
            <v>0</v>
          </cell>
        </row>
      </sheetData>
      <sheetData sheetId="984">
        <row r="1">
          <cell r="D1">
            <v>0</v>
          </cell>
        </row>
      </sheetData>
      <sheetData sheetId="985">
        <row r="1">
          <cell r="D1">
            <v>0</v>
          </cell>
        </row>
      </sheetData>
      <sheetData sheetId="986">
        <row r="1">
          <cell r="D1">
            <v>0</v>
          </cell>
        </row>
      </sheetData>
      <sheetData sheetId="987">
        <row r="1">
          <cell r="D1">
            <v>0</v>
          </cell>
        </row>
      </sheetData>
      <sheetData sheetId="988">
        <row r="1">
          <cell r="D1">
            <v>0</v>
          </cell>
        </row>
      </sheetData>
      <sheetData sheetId="989">
        <row r="1">
          <cell r="D1">
            <v>0</v>
          </cell>
        </row>
      </sheetData>
      <sheetData sheetId="990">
        <row r="1">
          <cell r="D1">
            <v>0</v>
          </cell>
        </row>
      </sheetData>
      <sheetData sheetId="991">
        <row r="1">
          <cell r="D1">
            <v>0</v>
          </cell>
        </row>
      </sheetData>
      <sheetData sheetId="992">
        <row r="1">
          <cell r="D1">
            <v>0</v>
          </cell>
        </row>
      </sheetData>
      <sheetData sheetId="993">
        <row r="1">
          <cell r="D1">
            <v>0</v>
          </cell>
        </row>
      </sheetData>
      <sheetData sheetId="994">
        <row r="1">
          <cell r="D1">
            <v>0</v>
          </cell>
        </row>
      </sheetData>
      <sheetData sheetId="995">
        <row r="1">
          <cell r="D1">
            <v>0</v>
          </cell>
        </row>
      </sheetData>
      <sheetData sheetId="996">
        <row r="1">
          <cell r="D1">
            <v>0</v>
          </cell>
        </row>
      </sheetData>
      <sheetData sheetId="997">
        <row r="1">
          <cell r="D1">
            <v>0</v>
          </cell>
        </row>
      </sheetData>
      <sheetData sheetId="998">
        <row r="1">
          <cell r="D1">
            <v>0</v>
          </cell>
        </row>
      </sheetData>
      <sheetData sheetId="999">
        <row r="1">
          <cell r="D1">
            <v>0</v>
          </cell>
        </row>
      </sheetData>
      <sheetData sheetId="1000">
        <row r="1">
          <cell r="D1">
            <v>0</v>
          </cell>
        </row>
      </sheetData>
      <sheetData sheetId="1001">
        <row r="1">
          <cell r="D1">
            <v>0</v>
          </cell>
        </row>
      </sheetData>
      <sheetData sheetId="1002">
        <row r="1">
          <cell r="D1">
            <v>0</v>
          </cell>
        </row>
      </sheetData>
      <sheetData sheetId="1003">
        <row r="1">
          <cell r="D1">
            <v>0</v>
          </cell>
        </row>
      </sheetData>
      <sheetData sheetId="1004">
        <row r="1">
          <cell r="D1">
            <v>0</v>
          </cell>
        </row>
      </sheetData>
      <sheetData sheetId="1005">
        <row r="1">
          <cell r="D1">
            <v>0</v>
          </cell>
        </row>
      </sheetData>
      <sheetData sheetId="1006">
        <row r="1">
          <cell r="D1">
            <v>0</v>
          </cell>
        </row>
      </sheetData>
      <sheetData sheetId="1007">
        <row r="1">
          <cell r="D1">
            <v>0</v>
          </cell>
        </row>
      </sheetData>
      <sheetData sheetId="1008">
        <row r="1">
          <cell r="D1">
            <v>0</v>
          </cell>
        </row>
      </sheetData>
      <sheetData sheetId="1009">
        <row r="1">
          <cell r="D1">
            <v>0</v>
          </cell>
        </row>
      </sheetData>
      <sheetData sheetId="1010">
        <row r="1">
          <cell r="D1">
            <v>0</v>
          </cell>
        </row>
      </sheetData>
      <sheetData sheetId="1011">
        <row r="1">
          <cell r="D1">
            <v>0</v>
          </cell>
        </row>
      </sheetData>
      <sheetData sheetId="1012">
        <row r="1">
          <cell r="D1">
            <v>0</v>
          </cell>
        </row>
      </sheetData>
      <sheetData sheetId="1013">
        <row r="1">
          <cell r="D1">
            <v>0</v>
          </cell>
        </row>
      </sheetData>
      <sheetData sheetId="1014">
        <row r="1">
          <cell r="D1">
            <v>0</v>
          </cell>
        </row>
      </sheetData>
      <sheetData sheetId="1015">
        <row r="1">
          <cell r="D1">
            <v>0</v>
          </cell>
        </row>
      </sheetData>
      <sheetData sheetId="1016">
        <row r="1">
          <cell r="D1">
            <v>0</v>
          </cell>
        </row>
      </sheetData>
      <sheetData sheetId="1017">
        <row r="1">
          <cell r="D1">
            <v>0</v>
          </cell>
        </row>
      </sheetData>
      <sheetData sheetId="1018">
        <row r="1">
          <cell r="D1">
            <v>0</v>
          </cell>
        </row>
      </sheetData>
      <sheetData sheetId="1019">
        <row r="1">
          <cell r="D1">
            <v>0</v>
          </cell>
        </row>
      </sheetData>
      <sheetData sheetId="1020">
        <row r="1">
          <cell r="D1">
            <v>0</v>
          </cell>
        </row>
      </sheetData>
      <sheetData sheetId="1021">
        <row r="1">
          <cell r="D1">
            <v>0</v>
          </cell>
        </row>
      </sheetData>
      <sheetData sheetId="1022">
        <row r="1">
          <cell r="D1">
            <v>0</v>
          </cell>
        </row>
      </sheetData>
      <sheetData sheetId="1023">
        <row r="1">
          <cell r="D1">
            <v>0</v>
          </cell>
        </row>
      </sheetData>
      <sheetData sheetId="1024">
        <row r="1">
          <cell r="D1">
            <v>0</v>
          </cell>
        </row>
      </sheetData>
      <sheetData sheetId="1025">
        <row r="1">
          <cell r="D1">
            <v>0</v>
          </cell>
        </row>
      </sheetData>
      <sheetData sheetId="1026">
        <row r="1">
          <cell r="D1">
            <v>0</v>
          </cell>
        </row>
      </sheetData>
      <sheetData sheetId="1027">
        <row r="1">
          <cell r="D1">
            <v>0</v>
          </cell>
        </row>
      </sheetData>
      <sheetData sheetId="1028"/>
      <sheetData sheetId="1029">
        <row r="1">
          <cell r="D1">
            <v>0</v>
          </cell>
        </row>
      </sheetData>
      <sheetData sheetId="1030">
        <row r="10">
          <cell r="D10">
            <v>1500</v>
          </cell>
        </row>
      </sheetData>
      <sheetData sheetId="1031"/>
      <sheetData sheetId="1032"/>
      <sheetData sheetId="1033"/>
      <sheetData sheetId="1034"/>
      <sheetData sheetId="1035"/>
      <sheetData sheetId="1036"/>
      <sheetData sheetId="1037"/>
      <sheetData sheetId="1038"/>
      <sheetData sheetId="1039">
        <row r="1">
          <cell r="D1">
            <v>0</v>
          </cell>
        </row>
      </sheetData>
      <sheetData sheetId="1040">
        <row r="10">
          <cell r="D10">
            <v>1500</v>
          </cell>
        </row>
      </sheetData>
      <sheetData sheetId="1041">
        <row r="1">
          <cell r="D1">
            <v>0</v>
          </cell>
        </row>
      </sheetData>
      <sheetData sheetId="1042">
        <row r="1">
          <cell r="D1">
            <v>0</v>
          </cell>
        </row>
      </sheetData>
      <sheetData sheetId="1043">
        <row r="1">
          <cell r="D1">
            <v>0</v>
          </cell>
        </row>
      </sheetData>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1">
          <cell r="D1">
            <v>0</v>
          </cell>
        </row>
      </sheetData>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row r="1">
          <cell r="D1">
            <v>0</v>
          </cell>
        </row>
      </sheetData>
      <sheetData sheetId="1080">
        <row r="1">
          <cell r="D1">
            <v>0</v>
          </cell>
        </row>
      </sheetData>
      <sheetData sheetId="1081">
        <row r="1">
          <cell r="D1">
            <v>0</v>
          </cell>
        </row>
      </sheetData>
      <sheetData sheetId="1082">
        <row r="1">
          <cell r="D1">
            <v>0</v>
          </cell>
        </row>
      </sheetData>
      <sheetData sheetId="1083">
        <row r="1">
          <cell r="D1">
            <v>0</v>
          </cell>
        </row>
      </sheetData>
      <sheetData sheetId="1084">
        <row r="1">
          <cell r="D1">
            <v>0</v>
          </cell>
        </row>
      </sheetData>
      <sheetData sheetId="1085">
        <row r="1">
          <cell r="D1">
            <v>0</v>
          </cell>
        </row>
      </sheetData>
      <sheetData sheetId="1086"/>
      <sheetData sheetId="1087"/>
      <sheetData sheetId="1088"/>
      <sheetData sheetId="1089"/>
      <sheetData sheetId="1090"/>
      <sheetData sheetId="1091"/>
      <sheetData sheetId="1092"/>
      <sheetData sheetId="1093"/>
      <sheetData sheetId="1094"/>
      <sheetData sheetId="1095">
        <row r="1">
          <cell r="D1">
            <v>0</v>
          </cell>
        </row>
      </sheetData>
      <sheetData sheetId="1096">
        <row r="1">
          <cell r="D1">
            <v>0</v>
          </cell>
        </row>
      </sheetData>
      <sheetData sheetId="1097"/>
      <sheetData sheetId="1098"/>
      <sheetData sheetId="1099"/>
      <sheetData sheetId="1100"/>
      <sheetData sheetId="1101"/>
      <sheetData sheetId="1102"/>
      <sheetData sheetId="1103"/>
      <sheetData sheetId="1104"/>
      <sheetData sheetId="1105"/>
      <sheetData sheetId="1106">
        <row r="1">
          <cell r="D1">
            <v>0</v>
          </cell>
        </row>
      </sheetData>
      <sheetData sheetId="1107">
        <row r="1">
          <cell r="D1">
            <v>0</v>
          </cell>
        </row>
      </sheetData>
      <sheetData sheetId="1108">
        <row r="1">
          <cell r="D1">
            <v>0</v>
          </cell>
        </row>
      </sheetData>
      <sheetData sheetId="1109">
        <row r="1">
          <cell r="D1">
            <v>0</v>
          </cell>
        </row>
      </sheetData>
      <sheetData sheetId="1110">
        <row r="1">
          <cell r="D1">
            <v>0</v>
          </cell>
        </row>
      </sheetData>
      <sheetData sheetId="1111">
        <row r="1">
          <cell r="D1">
            <v>0</v>
          </cell>
        </row>
      </sheetData>
      <sheetData sheetId="1112">
        <row r="1">
          <cell r="D1">
            <v>0</v>
          </cell>
        </row>
      </sheetData>
      <sheetData sheetId="1113" refreshError="1"/>
      <sheetData sheetId="1114" refreshError="1"/>
      <sheetData sheetId="1115" refreshError="1"/>
      <sheetData sheetId="1116" refreshError="1"/>
      <sheetData sheetId="1117" refreshError="1"/>
      <sheetData sheetId="1118">
        <row r="1">
          <cell r="D1">
            <v>0</v>
          </cell>
        </row>
      </sheetData>
      <sheetData sheetId="1119"/>
      <sheetData sheetId="1120">
        <row r="1">
          <cell r="D1">
            <v>0</v>
          </cell>
        </row>
      </sheetData>
      <sheetData sheetId="1121">
        <row r="1">
          <cell r="D1">
            <v>0</v>
          </cell>
        </row>
      </sheetData>
      <sheetData sheetId="1122">
        <row r="1">
          <cell r="D1">
            <v>0</v>
          </cell>
        </row>
      </sheetData>
      <sheetData sheetId="1123">
        <row r="1">
          <cell r="D1">
            <v>0</v>
          </cell>
        </row>
      </sheetData>
      <sheetData sheetId="1124">
        <row r="1">
          <cell r="D1">
            <v>0</v>
          </cell>
        </row>
      </sheetData>
      <sheetData sheetId="1125">
        <row r="1">
          <cell r="D1">
            <v>0</v>
          </cell>
        </row>
      </sheetData>
      <sheetData sheetId="1126">
        <row r="1">
          <cell r="D1">
            <v>0</v>
          </cell>
        </row>
      </sheetData>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ow r="1">
          <cell r="D1">
            <v>0</v>
          </cell>
        </row>
      </sheetData>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ow r="1">
          <cell r="D1">
            <v>0</v>
          </cell>
        </row>
      </sheetData>
      <sheetData sheetId="1168">
        <row r="1">
          <cell r="D1">
            <v>0</v>
          </cell>
        </row>
      </sheetData>
      <sheetData sheetId="1169">
        <row r="1">
          <cell r="D1">
            <v>0</v>
          </cell>
        </row>
      </sheetData>
      <sheetData sheetId="1170"/>
      <sheetData sheetId="1171">
        <row r="1">
          <cell r="D1">
            <v>0</v>
          </cell>
        </row>
      </sheetData>
      <sheetData sheetId="1172">
        <row r="1">
          <cell r="D1">
            <v>0</v>
          </cell>
        </row>
      </sheetData>
      <sheetData sheetId="1173">
        <row r="1">
          <cell r="D1">
            <v>0</v>
          </cell>
        </row>
      </sheetData>
      <sheetData sheetId="1174">
        <row r="1">
          <cell r="D1">
            <v>0</v>
          </cell>
        </row>
      </sheetData>
      <sheetData sheetId="1175">
        <row r="1">
          <cell r="D1">
            <v>0</v>
          </cell>
        </row>
      </sheetData>
      <sheetData sheetId="1176">
        <row r="1">
          <cell r="D1">
            <v>0</v>
          </cell>
        </row>
      </sheetData>
      <sheetData sheetId="1177">
        <row r="1">
          <cell r="D1">
            <v>0</v>
          </cell>
        </row>
      </sheetData>
      <sheetData sheetId="1178">
        <row r="1">
          <cell r="D1">
            <v>0</v>
          </cell>
        </row>
      </sheetData>
      <sheetData sheetId="1179">
        <row r="1">
          <cell r="D1">
            <v>0</v>
          </cell>
        </row>
      </sheetData>
      <sheetData sheetId="1180">
        <row r="1">
          <cell r="D1">
            <v>0</v>
          </cell>
        </row>
      </sheetData>
      <sheetData sheetId="1181">
        <row r="1">
          <cell r="D1">
            <v>0</v>
          </cell>
        </row>
      </sheetData>
      <sheetData sheetId="1182">
        <row r="1">
          <cell r="D1">
            <v>0</v>
          </cell>
        </row>
      </sheetData>
      <sheetData sheetId="1183">
        <row r="1">
          <cell r="D1">
            <v>0</v>
          </cell>
        </row>
      </sheetData>
      <sheetData sheetId="1184">
        <row r="1">
          <cell r="D1">
            <v>0</v>
          </cell>
        </row>
      </sheetData>
      <sheetData sheetId="1185">
        <row r="1">
          <cell r="D1">
            <v>0</v>
          </cell>
        </row>
      </sheetData>
      <sheetData sheetId="1186">
        <row r="1">
          <cell r="D1">
            <v>0</v>
          </cell>
        </row>
      </sheetData>
      <sheetData sheetId="1187">
        <row r="1">
          <cell r="D1">
            <v>0</v>
          </cell>
        </row>
      </sheetData>
      <sheetData sheetId="1188">
        <row r="1">
          <cell r="D1">
            <v>0</v>
          </cell>
        </row>
      </sheetData>
      <sheetData sheetId="1189">
        <row r="1">
          <cell r="D1">
            <v>0</v>
          </cell>
        </row>
      </sheetData>
      <sheetData sheetId="1190">
        <row r="1">
          <cell r="D1">
            <v>0</v>
          </cell>
        </row>
      </sheetData>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ow r="1">
          <cell r="D1">
            <v>0</v>
          </cell>
        </row>
      </sheetData>
      <sheetData sheetId="1201">
        <row r="1">
          <cell r="D1">
            <v>0</v>
          </cell>
        </row>
      </sheetData>
      <sheetData sheetId="1202">
        <row r="1">
          <cell r="D1">
            <v>0</v>
          </cell>
        </row>
      </sheetData>
      <sheetData sheetId="1203">
        <row r="1">
          <cell r="D1">
            <v>0</v>
          </cell>
        </row>
      </sheetData>
      <sheetData sheetId="1204">
        <row r="1">
          <cell r="D1">
            <v>0</v>
          </cell>
        </row>
      </sheetData>
      <sheetData sheetId="1205">
        <row r="1">
          <cell r="D1">
            <v>0</v>
          </cell>
        </row>
      </sheetData>
      <sheetData sheetId="1206">
        <row r="1">
          <cell r="D1">
            <v>0</v>
          </cell>
        </row>
      </sheetData>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ow r="1">
          <cell r="D1">
            <v>0</v>
          </cell>
        </row>
      </sheetData>
      <sheetData sheetId="1218">
        <row r="1">
          <cell r="D1">
            <v>0</v>
          </cell>
        </row>
      </sheetData>
      <sheetData sheetId="1219">
        <row r="1">
          <cell r="D1">
            <v>0</v>
          </cell>
        </row>
      </sheetData>
      <sheetData sheetId="1220">
        <row r="1">
          <cell r="D1">
            <v>0</v>
          </cell>
        </row>
      </sheetData>
      <sheetData sheetId="1221" refreshError="1"/>
      <sheetData sheetId="1222" refreshError="1"/>
      <sheetData sheetId="1223" refreshError="1"/>
      <sheetData sheetId="1224" refreshError="1"/>
      <sheetData sheetId="1225" refreshError="1"/>
      <sheetData sheetId="1226">
        <row r="1">
          <cell r="D1">
            <v>0</v>
          </cell>
        </row>
      </sheetData>
      <sheetData sheetId="1227">
        <row r="1">
          <cell r="D1">
            <v>0</v>
          </cell>
        </row>
      </sheetData>
      <sheetData sheetId="1228">
        <row r="1">
          <cell r="D1">
            <v>0</v>
          </cell>
        </row>
      </sheetData>
      <sheetData sheetId="1229">
        <row r="10">
          <cell r="D10">
            <v>1500</v>
          </cell>
        </row>
      </sheetData>
      <sheetData sheetId="1230">
        <row r="10">
          <cell r="D10">
            <v>1500</v>
          </cell>
        </row>
      </sheetData>
      <sheetData sheetId="1231">
        <row r="10">
          <cell r="D10">
            <v>1500</v>
          </cell>
        </row>
      </sheetData>
      <sheetData sheetId="1232">
        <row r="10">
          <cell r="D10">
            <v>1500</v>
          </cell>
        </row>
      </sheetData>
      <sheetData sheetId="1233">
        <row r="10">
          <cell r="D10">
            <v>1500</v>
          </cell>
        </row>
      </sheetData>
      <sheetData sheetId="1234">
        <row r="1">
          <cell r="D1">
            <v>0</v>
          </cell>
        </row>
      </sheetData>
      <sheetData sheetId="1235">
        <row r="1">
          <cell r="D1">
            <v>0</v>
          </cell>
        </row>
      </sheetData>
      <sheetData sheetId="1236">
        <row r="10">
          <cell r="D10">
            <v>1500</v>
          </cell>
        </row>
      </sheetData>
      <sheetData sheetId="1237">
        <row r="1">
          <cell r="D1">
            <v>0</v>
          </cell>
        </row>
      </sheetData>
      <sheetData sheetId="1238">
        <row r="10">
          <cell r="D10">
            <v>1500</v>
          </cell>
        </row>
      </sheetData>
      <sheetData sheetId="1239">
        <row r="10">
          <cell r="D10">
            <v>1500</v>
          </cell>
        </row>
      </sheetData>
      <sheetData sheetId="1240">
        <row r="10">
          <cell r="D10">
            <v>1500</v>
          </cell>
        </row>
      </sheetData>
      <sheetData sheetId="1241">
        <row r="10">
          <cell r="D10">
            <v>1500</v>
          </cell>
        </row>
      </sheetData>
      <sheetData sheetId="1242">
        <row r="10">
          <cell r="D10">
            <v>1500</v>
          </cell>
        </row>
      </sheetData>
      <sheetData sheetId="1243">
        <row r="10">
          <cell r="D10">
            <v>1500</v>
          </cell>
        </row>
      </sheetData>
      <sheetData sheetId="1244">
        <row r="1">
          <cell r="D1">
            <v>0</v>
          </cell>
        </row>
      </sheetData>
      <sheetData sheetId="1245">
        <row r="10">
          <cell r="D10">
            <v>1500</v>
          </cell>
        </row>
      </sheetData>
      <sheetData sheetId="1246">
        <row r="10">
          <cell r="D10">
            <v>1500</v>
          </cell>
        </row>
      </sheetData>
      <sheetData sheetId="1247">
        <row r="10">
          <cell r="D10">
            <v>1500</v>
          </cell>
        </row>
      </sheetData>
      <sheetData sheetId="1248">
        <row r="10">
          <cell r="D10">
            <v>1500</v>
          </cell>
        </row>
      </sheetData>
      <sheetData sheetId="1249">
        <row r="10">
          <cell r="D10">
            <v>1500</v>
          </cell>
        </row>
      </sheetData>
      <sheetData sheetId="1250">
        <row r="1">
          <cell r="D1">
            <v>0</v>
          </cell>
        </row>
      </sheetData>
      <sheetData sheetId="1251">
        <row r="10">
          <cell r="D10">
            <v>1500</v>
          </cell>
        </row>
      </sheetData>
      <sheetData sheetId="1252">
        <row r="10">
          <cell r="D10">
            <v>1500</v>
          </cell>
        </row>
      </sheetData>
      <sheetData sheetId="1253">
        <row r="10">
          <cell r="D10">
            <v>1500</v>
          </cell>
        </row>
      </sheetData>
      <sheetData sheetId="1254">
        <row r="10">
          <cell r="D10">
            <v>1500</v>
          </cell>
        </row>
      </sheetData>
      <sheetData sheetId="1255">
        <row r="10">
          <cell r="D10">
            <v>1500</v>
          </cell>
        </row>
      </sheetData>
      <sheetData sheetId="1256">
        <row r="10">
          <cell r="D10">
            <v>1500</v>
          </cell>
        </row>
      </sheetData>
      <sheetData sheetId="1257">
        <row r="1">
          <cell r="D1">
            <v>0</v>
          </cell>
        </row>
      </sheetData>
      <sheetData sheetId="1258">
        <row r="10">
          <cell r="D10">
            <v>1500</v>
          </cell>
        </row>
      </sheetData>
      <sheetData sheetId="1259">
        <row r="1">
          <cell r="D1">
            <v>0</v>
          </cell>
        </row>
      </sheetData>
      <sheetData sheetId="1260">
        <row r="1">
          <cell r="D1">
            <v>0</v>
          </cell>
        </row>
      </sheetData>
      <sheetData sheetId="1261">
        <row r="1">
          <cell r="D1">
            <v>0</v>
          </cell>
        </row>
      </sheetData>
      <sheetData sheetId="1262">
        <row r="10">
          <cell r="D10">
            <v>1500</v>
          </cell>
        </row>
      </sheetData>
      <sheetData sheetId="1263">
        <row r="1">
          <cell r="D1">
            <v>0</v>
          </cell>
        </row>
      </sheetData>
      <sheetData sheetId="1264">
        <row r="1">
          <cell r="D1">
            <v>0</v>
          </cell>
        </row>
      </sheetData>
      <sheetData sheetId="1265">
        <row r="1">
          <cell r="D1">
            <v>0</v>
          </cell>
        </row>
      </sheetData>
      <sheetData sheetId="1266">
        <row r="1">
          <cell r="D1">
            <v>0</v>
          </cell>
        </row>
      </sheetData>
      <sheetData sheetId="1267">
        <row r="1">
          <cell r="D1">
            <v>0</v>
          </cell>
        </row>
      </sheetData>
      <sheetData sheetId="1268">
        <row r="1">
          <cell r="D1">
            <v>0</v>
          </cell>
        </row>
      </sheetData>
      <sheetData sheetId="1269">
        <row r="10">
          <cell r="D10">
            <v>1500</v>
          </cell>
        </row>
      </sheetData>
      <sheetData sheetId="1270">
        <row r="1">
          <cell r="D1">
            <v>0</v>
          </cell>
        </row>
      </sheetData>
      <sheetData sheetId="1271">
        <row r="1">
          <cell r="D1">
            <v>0</v>
          </cell>
        </row>
      </sheetData>
      <sheetData sheetId="1272">
        <row r="1">
          <cell r="D1">
            <v>0</v>
          </cell>
        </row>
      </sheetData>
      <sheetData sheetId="1273">
        <row r="10">
          <cell r="D10">
            <v>1500</v>
          </cell>
        </row>
      </sheetData>
      <sheetData sheetId="1274">
        <row r="1">
          <cell r="D1">
            <v>0</v>
          </cell>
        </row>
      </sheetData>
      <sheetData sheetId="1275">
        <row r="10">
          <cell r="D10">
            <v>1500</v>
          </cell>
        </row>
      </sheetData>
      <sheetData sheetId="1276">
        <row r="1">
          <cell r="D1">
            <v>0</v>
          </cell>
        </row>
      </sheetData>
      <sheetData sheetId="1277">
        <row r="1">
          <cell r="D1">
            <v>0</v>
          </cell>
        </row>
      </sheetData>
      <sheetData sheetId="1278">
        <row r="1">
          <cell r="D1">
            <v>0</v>
          </cell>
        </row>
      </sheetData>
      <sheetData sheetId="1279"/>
      <sheetData sheetId="1280"/>
      <sheetData sheetId="1281">
        <row r="1">
          <cell r="D1">
            <v>0</v>
          </cell>
        </row>
      </sheetData>
      <sheetData sheetId="1282">
        <row r="10">
          <cell r="D10">
            <v>1500</v>
          </cell>
        </row>
      </sheetData>
      <sheetData sheetId="1283">
        <row r="1">
          <cell r="D1">
            <v>0</v>
          </cell>
        </row>
      </sheetData>
      <sheetData sheetId="1284">
        <row r="1">
          <cell r="D1">
            <v>0</v>
          </cell>
        </row>
      </sheetData>
      <sheetData sheetId="1285">
        <row r="1">
          <cell r="D1">
            <v>0</v>
          </cell>
        </row>
      </sheetData>
      <sheetData sheetId="1286">
        <row r="10">
          <cell r="D10">
            <v>1500</v>
          </cell>
        </row>
      </sheetData>
      <sheetData sheetId="1287">
        <row r="10">
          <cell r="D10">
            <v>1500</v>
          </cell>
        </row>
      </sheetData>
      <sheetData sheetId="1288">
        <row r="10">
          <cell r="D10">
            <v>1500</v>
          </cell>
        </row>
      </sheetData>
      <sheetData sheetId="1289">
        <row r="10">
          <cell r="D10">
            <v>1500</v>
          </cell>
        </row>
      </sheetData>
      <sheetData sheetId="1290">
        <row r="10">
          <cell r="D10">
            <v>1500</v>
          </cell>
        </row>
      </sheetData>
      <sheetData sheetId="1291">
        <row r="1">
          <cell r="D1">
            <v>0</v>
          </cell>
        </row>
      </sheetData>
      <sheetData sheetId="1292">
        <row r="1">
          <cell r="D1">
            <v>0</v>
          </cell>
        </row>
      </sheetData>
      <sheetData sheetId="1293">
        <row r="10">
          <cell r="D10">
            <v>1500</v>
          </cell>
        </row>
      </sheetData>
      <sheetData sheetId="1294">
        <row r="10">
          <cell r="D10">
            <v>1500</v>
          </cell>
        </row>
      </sheetData>
      <sheetData sheetId="1295">
        <row r="10">
          <cell r="D10">
            <v>1500</v>
          </cell>
        </row>
      </sheetData>
      <sheetData sheetId="1296">
        <row r="10">
          <cell r="D10">
            <v>1500</v>
          </cell>
        </row>
      </sheetData>
      <sheetData sheetId="1297">
        <row r="10">
          <cell r="D10">
            <v>1500</v>
          </cell>
        </row>
      </sheetData>
      <sheetData sheetId="1298">
        <row r="10">
          <cell r="D10">
            <v>1500</v>
          </cell>
        </row>
      </sheetData>
      <sheetData sheetId="1299">
        <row r="1">
          <cell r="D1">
            <v>0</v>
          </cell>
        </row>
      </sheetData>
      <sheetData sheetId="1300">
        <row r="10">
          <cell r="D10">
            <v>1500</v>
          </cell>
        </row>
      </sheetData>
      <sheetData sheetId="1301">
        <row r="10">
          <cell r="D10">
            <v>1500</v>
          </cell>
        </row>
      </sheetData>
      <sheetData sheetId="1302">
        <row r="10">
          <cell r="D10">
            <v>1500</v>
          </cell>
        </row>
      </sheetData>
      <sheetData sheetId="1303">
        <row r="1">
          <cell r="D1">
            <v>0</v>
          </cell>
        </row>
      </sheetData>
      <sheetData sheetId="1304">
        <row r="1">
          <cell r="D1">
            <v>0</v>
          </cell>
        </row>
      </sheetData>
      <sheetData sheetId="1305">
        <row r="10">
          <cell r="D10">
            <v>1500</v>
          </cell>
        </row>
      </sheetData>
      <sheetData sheetId="1306">
        <row r="10">
          <cell r="D10">
            <v>1500</v>
          </cell>
        </row>
      </sheetData>
      <sheetData sheetId="1307">
        <row r="10">
          <cell r="D10">
            <v>1500</v>
          </cell>
        </row>
      </sheetData>
      <sheetData sheetId="1308">
        <row r="10">
          <cell r="D10">
            <v>1500</v>
          </cell>
        </row>
      </sheetData>
      <sheetData sheetId="1309">
        <row r="10">
          <cell r="D10">
            <v>1500</v>
          </cell>
        </row>
      </sheetData>
      <sheetData sheetId="1310">
        <row r="1">
          <cell r="D1">
            <v>0</v>
          </cell>
        </row>
      </sheetData>
      <sheetData sheetId="1311">
        <row r="1">
          <cell r="D1">
            <v>0</v>
          </cell>
        </row>
      </sheetData>
      <sheetData sheetId="1312">
        <row r="10">
          <cell r="D10">
            <v>1500</v>
          </cell>
        </row>
      </sheetData>
      <sheetData sheetId="1313">
        <row r="10">
          <cell r="D10">
            <v>1500</v>
          </cell>
        </row>
      </sheetData>
      <sheetData sheetId="1314">
        <row r="10">
          <cell r="D10">
            <v>1500</v>
          </cell>
        </row>
      </sheetData>
      <sheetData sheetId="1315">
        <row r="10">
          <cell r="D10">
            <v>1500</v>
          </cell>
        </row>
      </sheetData>
      <sheetData sheetId="1316">
        <row r="10">
          <cell r="D10">
            <v>1500</v>
          </cell>
        </row>
      </sheetData>
      <sheetData sheetId="1317">
        <row r="1">
          <cell r="D1">
            <v>0</v>
          </cell>
        </row>
      </sheetData>
      <sheetData sheetId="1318">
        <row r="10">
          <cell r="D10">
            <v>1500</v>
          </cell>
        </row>
      </sheetData>
      <sheetData sheetId="1319">
        <row r="1">
          <cell r="D1">
            <v>0</v>
          </cell>
        </row>
      </sheetData>
      <sheetData sheetId="1320">
        <row r="10">
          <cell r="D10">
            <v>1500</v>
          </cell>
        </row>
      </sheetData>
      <sheetData sheetId="1321">
        <row r="10">
          <cell r="D10">
            <v>1500</v>
          </cell>
        </row>
      </sheetData>
      <sheetData sheetId="1322">
        <row r="10">
          <cell r="D10">
            <v>1500</v>
          </cell>
        </row>
      </sheetData>
      <sheetData sheetId="1323">
        <row r="10">
          <cell r="D10">
            <v>1500</v>
          </cell>
        </row>
      </sheetData>
      <sheetData sheetId="1324">
        <row r="1">
          <cell r="D1">
            <v>0</v>
          </cell>
        </row>
      </sheetData>
      <sheetData sheetId="1325">
        <row r="10">
          <cell r="D10">
            <v>1500</v>
          </cell>
        </row>
      </sheetData>
      <sheetData sheetId="1326">
        <row r="1">
          <cell r="D1">
            <v>0</v>
          </cell>
        </row>
      </sheetData>
      <sheetData sheetId="1327">
        <row r="1">
          <cell r="D1">
            <v>0</v>
          </cell>
        </row>
      </sheetData>
      <sheetData sheetId="1328">
        <row r="10">
          <cell r="D10">
            <v>1500</v>
          </cell>
        </row>
      </sheetData>
      <sheetData sheetId="1329">
        <row r="10">
          <cell r="D10">
            <v>1500</v>
          </cell>
        </row>
      </sheetData>
      <sheetData sheetId="1330">
        <row r="10">
          <cell r="D10">
            <v>1500</v>
          </cell>
        </row>
      </sheetData>
      <sheetData sheetId="1331">
        <row r="1">
          <cell r="D1">
            <v>0</v>
          </cell>
        </row>
      </sheetData>
      <sheetData sheetId="1332">
        <row r="10">
          <cell r="D10">
            <v>1500</v>
          </cell>
        </row>
      </sheetData>
      <sheetData sheetId="1333">
        <row r="10">
          <cell r="D10">
            <v>1500</v>
          </cell>
        </row>
      </sheetData>
      <sheetData sheetId="1334">
        <row r="1">
          <cell r="D1">
            <v>0</v>
          </cell>
        </row>
      </sheetData>
      <sheetData sheetId="1335">
        <row r="1">
          <cell r="D1">
            <v>0</v>
          </cell>
        </row>
      </sheetData>
      <sheetData sheetId="1336">
        <row r="1">
          <cell r="D1">
            <v>0</v>
          </cell>
        </row>
      </sheetData>
      <sheetData sheetId="1337">
        <row r="10">
          <cell r="D10">
            <v>1500</v>
          </cell>
        </row>
      </sheetData>
      <sheetData sheetId="1338">
        <row r="1">
          <cell r="D1">
            <v>0</v>
          </cell>
        </row>
      </sheetData>
      <sheetData sheetId="1339">
        <row r="10">
          <cell r="D10">
            <v>1500</v>
          </cell>
        </row>
      </sheetData>
      <sheetData sheetId="1340">
        <row r="1">
          <cell r="D1">
            <v>0</v>
          </cell>
        </row>
      </sheetData>
      <sheetData sheetId="1341">
        <row r="1">
          <cell r="D1">
            <v>0</v>
          </cell>
        </row>
      </sheetData>
      <sheetData sheetId="1342">
        <row r="1">
          <cell r="D1">
            <v>0</v>
          </cell>
        </row>
      </sheetData>
      <sheetData sheetId="1343">
        <row r="10">
          <cell r="D10">
            <v>1500</v>
          </cell>
        </row>
      </sheetData>
      <sheetData sheetId="1344">
        <row r="10">
          <cell r="D10">
            <v>1500</v>
          </cell>
        </row>
      </sheetData>
      <sheetData sheetId="1345">
        <row r="10">
          <cell r="D10">
            <v>1500</v>
          </cell>
        </row>
      </sheetData>
      <sheetData sheetId="1346">
        <row r="1">
          <cell r="D1">
            <v>0</v>
          </cell>
        </row>
      </sheetData>
      <sheetData sheetId="1347">
        <row r="1">
          <cell r="D1">
            <v>0</v>
          </cell>
        </row>
      </sheetData>
      <sheetData sheetId="1348">
        <row r="1">
          <cell r="D1">
            <v>0</v>
          </cell>
        </row>
      </sheetData>
      <sheetData sheetId="1349">
        <row r="1">
          <cell r="D1">
            <v>0</v>
          </cell>
        </row>
      </sheetData>
      <sheetData sheetId="1350">
        <row r="1">
          <cell r="D1">
            <v>0</v>
          </cell>
        </row>
      </sheetData>
      <sheetData sheetId="1351">
        <row r="1">
          <cell r="D1">
            <v>0</v>
          </cell>
        </row>
      </sheetData>
      <sheetData sheetId="1352">
        <row r="1">
          <cell r="D1">
            <v>0</v>
          </cell>
        </row>
      </sheetData>
      <sheetData sheetId="1353">
        <row r="1">
          <cell r="D1">
            <v>0</v>
          </cell>
        </row>
      </sheetData>
      <sheetData sheetId="1354">
        <row r="1">
          <cell r="D1">
            <v>0</v>
          </cell>
        </row>
      </sheetData>
      <sheetData sheetId="1355">
        <row r="1">
          <cell r="D1">
            <v>0</v>
          </cell>
        </row>
      </sheetData>
      <sheetData sheetId="1356">
        <row r="1">
          <cell r="D1">
            <v>0</v>
          </cell>
        </row>
      </sheetData>
      <sheetData sheetId="1357">
        <row r="1">
          <cell r="D1">
            <v>0</v>
          </cell>
        </row>
      </sheetData>
      <sheetData sheetId="1358">
        <row r="1">
          <cell r="D1">
            <v>0</v>
          </cell>
        </row>
      </sheetData>
      <sheetData sheetId="1359">
        <row r="1">
          <cell r="D1">
            <v>0</v>
          </cell>
        </row>
      </sheetData>
      <sheetData sheetId="1360">
        <row r="1">
          <cell r="D1">
            <v>0</v>
          </cell>
        </row>
      </sheetData>
      <sheetData sheetId="1361">
        <row r="1">
          <cell r="D1">
            <v>0</v>
          </cell>
        </row>
      </sheetData>
      <sheetData sheetId="1362">
        <row r="1">
          <cell r="D1">
            <v>0</v>
          </cell>
        </row>
      </sheetData>
      <sheetData sheetId="1363">
        <row r="1">
          <cell r="D1">
            <v>0</v>
          </cell>
        </row>
      </sheetData>
      <sheetData sheetId="1364">
        <row r="1">
          <cell r="D1">
            <v>0</v>
          </cell>
        </row>
      </sheetData>
      <sheetData sheetId="1365">
        <row r="1">
          <cell r="D1">
            <v>0</v>
          </cell>
        </row>
      </sheetData>
      <sheetData sheetId="1366">
        <row r="1">
          <cell r="D1">
            <v>0</v>
          </cell>
        </row>
      </sheetData>
      <sheetData sheetId="1367">
        <row r="1">
          <cell r="D1">
            <v>0</v>
          </cell>
        </row>
      </sheetData>
      <sheetData sheetId="1368">
        <row r="1">
          <cell r="D1">
            <v>0</v>
          </cell>
        </row>
      </sheetData>
      <sheetData sheetId="1369">
        <row r="1">
          <cell r="D1">
            <v>0</v>
          </cell>
        </row>
      </sheetData>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ow r="10">
          <cell r="D10">
            <v>1500</v>
          </cell>
        </row>
      </sheetData>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ow r="10">
          <cell r="D10">
            <v>1500</v>
          </cell>
        </row>
      </sheetData>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ow r="10">
          <cell r="D10">
            <v>1500</v>
          </cell>
        </row>
      </sheetData>
      <sheetData sheetId="1408">
        <row r="10">
          <cell r="D10">
            <v>1500</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sheetData sheetId="1419"/>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sheetData sheetId="1432">
        <row r="1">
          <cell r="D1">
            <v>0</v>
          </cell>
        </row>
      </sheetData>
      <sheetData sheetId="1433"/>
      <sheetData sheetId="1434"/>
      <sheetData sheetId="1435">
        <row r="1">
          <cell r="D1">
            <v>0</v>
          </cell>
        </row>
      </sheetData>
      <sheetData sheetId="1436">
        <row r="1">
          <cell r="D1">
            <v>0</v>
          </cell>
        </row>
      </sheetData>
      <sheetData sheetId="1437">
        <row r="1">
          <cell r="D1">
            <v>0</v>
          </cell>
        </row>
      </sheetData>
      <sheetData sheetId="1438">
        <row r="1">
          <cell r="D1">
            <v>0</v>
          </cell>
        </row>
      </sheetData>
      <sheetData sheetId="1439" refreshError="1"/>
      <sheetData sheetId="1440" refreshError="1"/>
      <sheetData sheetId="1441" refreshError="1"/>
      <sheetData sheetId="1442" refreshError="1"/>
      <sheetData sheetId="1443" refreshError="1"/>
      <sheetData sheetId="1444"/>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row r="1">
          <cell r="D1">
            <v>0</v>
          </cell>
        </row>
      </sheetData>
      <sheetData sheetId="1483">
        <row r="1">
          <cell r="D1">
            <v>0</v>
          </cell>
        </row>
      </sheetData>
      <sheetData sheetId="1484">
        <row r="1">
          <cell r="D1">
            <v>0</v>
          </cell>
        </row>
      </sheetData>
      <sheetData sheetId="1485">
        <row r="1">
          <cell r="D1">
            <v>0</v>
          </cell>
        </row>
      </sheetData>
      <sheetData sheetId="1486">
        <row r="1">
          <cell r="D1">
            <v>0</v>
          </cell>
        </row>
      </sheetData>
      <sheetData sheetId="1487">
        <row r="1">
          <cell r="D1">
            <v>0</v>
          </cell>
        </row>
      </sheetData>
      <sheetData sheetId="1488">
        <row r="1">
          <cell r="D1">
            <v>0</v>
          </cell>
        </row>
      </sheetData>
      <sheetData sheetId="1489">
        <row r="1">
          <cell r="D1">
            <v>0</v>
          </cell>
        </row>
      </sheetData>
      <sheetData sheetId="1490">
        <row r="1">
          <cell r="D1">
            <v>0</v>
          </cell>
        </row>
      </sheetData>
      <sheetData sheetId="1491">
        <row r="1">
          <cell r="D1">
            <v>0</v>
          </cell>
        </row>
      </sheetData>
      <sheetData sheetId="1492">
        <row r="1">
          <cell r="D1">
            <v>0</v>
          </cell>
        </row>
      </sheetData>
      <sheetData sheetId="1493">
        <row r="1">
          <cell r="D1">
            <v>0</v>
          </cell>
        </row>
      </sheetData>
      <sheetData sheetId="1494">
        <row r="1">
          <cell r="D1">
            <v>0</v>
          </cell>
        </row>
      </sheetData>
      <sheetData sheetId="1495">
        <row r="10">
          <cell r="D10">
            <v>1500</v>
          </cell>
        </row>
      </sheetData>
      <sheetData sheetId="1496">
        <row r="1">
          <cell r="D1">
            <v>0</v>
          </cell>
        </row>
      </sheetData>
      <sheetData sheetId="1497">
        <row r="1">
          <cell r="D1">
            <v>0</v>
          </cell>
        </row>
      </sheetData>
      <sheetData sheetId="1498">
        <row r="1">
          <cell r="D1">
            <v>0</v>
          </cell>
        </row>
      </sheetData>
      <sheetData sheetId="1499">
        <row r="1">
          <cell r="D1">
            <v>0</v>
          </cell>
        </row>
      </sheetData>
      <sheetData sheetId="1500">
        <row r="1">
          <cell r="D1">
            <v>0</v>
          </cell>
        </row>
      </sheetData>
      <sheetData sheetId="1501">
        <row r="1">
          <cell r="D1">
            <v>0</v>
          </cell>
        </row>
      </sheetData>
      <sheetData sheetId="1502">
        <row r="1">
          <cell r="D1">
            <v>0</v>
          </cell>
        </row>
      </sheetData>
      <sheetData sheetId="1503">
        <row r="1">
          <cell r="D1">
            <v>0</v>
          </cell>
        </row>
      </sheetData>
      <sheetData sheetId="1504">
        <row r="1">
          <cell r="D1">
            <v>0</v>
          </cell>
        </row>
      </sheetData>
      <sheetData sheetId="1505">
        <row r="1">
          <cell r="D1">
            <v>0</v>
          </cell>
        </row>
      </sheetData>
      <sheetData sheetId="1506">
        <row r="1">
          <cell r="D1">
            <v>0</v>
          </cell>
        </row>
      </sheetData>
      <sheetData sheetId="1507">
        <row r="1">
          <cell r="D1">
            <v>0</v>
          </cell>
        </row>
      </sheetData>
      <sheetData sheetId="1508">
        <row r="1">
          <cell r="D1">
            <v>0</v>
          </cell>
        </row>
      </sheetData>
      <sheetData sheetId="1509">
        <row r="1">
          <cell r="D1">
            <v>0</v>
          </cell>
        </row>
      </sheetData>
      <sheetData sheetId="1510">
        <row r="1">
          <cell r="D1">
            <v>0</v>
          </cell>
        </row>
      </sheetData>
      <sheetData sheetId="1511">
        <row r="1">
          <cell r="D1">
            <v>0</v>
          </cell>
        </row>
      </sheetData>
      <sheetData sheetId="1512">
        <row r="1">
          <cell r="D1">
            <v>0</v>
          </cell>
        </row>
      </sheetData>
      <sheetData sheetId="1513">
        <row r="1">
          <cell r="D1">
            <v>0</v>
          </cell>
        </row>
      </sheetData>
      <sheetData sheetId="1514">
        <row r="1">
          <cell r="D1">
            <v>0</v>
          </cell>
        </row>
      </sheetData>
      <sheetData sheetId="1515">
        <row r="1">
          <cell r="D1">
            <v>0</v>
          </cell>
        </row>
      </sheetData>
      <sheetData sheetId="1516">
        <row r="1">
          <cell r="D1">
            <v>0</v>
          </cell>
        </row>
      </sheetData>
      <sheetData sheetId="1517">
        <row r="1">
          <cell r="D1">
            <v>0</v>
          </cell>
        </row>
      </sheetData>
      <sheetData sheetId="1518">
        <row r="1">
          <cell r="D1">
            <v>0</v>
          </cell>
        </row>
      </sheetData>
      <sheetData sheetId="1519">
        <row r="1">
          <cell r="D1">
            <v>0</v>
          </cell>
        </row>
      </sheetData>
      <sheetData sheetId="1520">
        <row r="1">
          <cell r="D1">
            <v>0</v>
          </cell>
        </row>
      </sheetData>
      <sheetData sheetId="1521">
        <row r="1">
          <cell r="D1">
            <v>0</v>
          </cell>
        </row>
      </sheetData>
      <sheetData sheetId="1522">
        <row r="1">
          <cell r="D1">
            <v>0</v>
          </cell>
        </row>
      </sheetData>
      <sheetData sheetId="1523">
        <row r="1">
          <cell r="D1">
            <v>0</v>
          </cell>
        </row>
      </sheetData>
      <sheetData sheetId="1524">
        <row r="1">
          <cell r="D1">
            <v>0</v>
          </cell>
        </row>
      </sheetData>
      <sheetData sheetId="1525">
        <row r="1">
          <cell r="D1">
            <v>0</v>
          </cell>
        </row>
      </sheetData>
      <sheetData sheetId="1526">
        <row r="1">
          <cell r="D1">
            <v>0</v>
          </cell>
        </row>
      </sheetData>
      <sheetData sheetId="1527">
        <row r="1">
          <cell r="D1">
            <v>0</v>
          </cell>
        </row>
      </sheetData>
      <sheetData sheetId="1528">
        <row r="1">
          <cell r="D1">
            <v>0</v>
          </cell>
        </row>
      </sheetData>
      <sheetData sheetId="1529">
        <row r="1">
          <cell r="D1">
            <v>0</v>
          </cell>
        </row>
      </sheetData>
      <sheetData sheetId="1530">
        <row r="1">
          <cell r="D1">
            <v>0</v>
          </cell>
        </row>
      </sheetData>
      <sheetData sheetId="1531">
        <row r="1">
          <cell r="D1">
            <v>0</v>
          </cell>
        </row>
      </sheetData>
      <sheetData sheetId="1532">
        <row r="1">
          <cell r="D1">
            <v>0</v>
          </cell>
        </row>
      </sheetData>
      <sheetData sheetId="1533">
        <row r="1">
          <cell r="D1">
            <v>0</v>
          </cell>
        </row>
      </sheetData>
      <sheetData sheetId="1534">
        <row r="1">
          <cell r="D1">
            <v>0</v>
          </cell>
        </row>
      </sheetData>
      <sheetData sheetId="1535">
        <row r="1">
          <cell r="D1">
            <v>0</v>
          </cell>
        </row>
      </sheetData>
      <sheetData sheetId="1536">
        <row r="1">
          <cell r="D1">
            <v>0</v>
          </cell>
        </row>
      </sheetData>
      <sheetData sheetId="1537">
        <row r="1">
          <cell r="D1">
            <v>0</v>
          </cell>
        </row>
      </sheetData>
      <sheetData sheetId="1538">
        <row r="1">
          <cell r="D1">
            <v>0</v>
          </cell>
        </row>
      </sheetData>
      <sheetData sheetId="1539">
        <row r="1">
          <cell r="D1">
            <v>0</v>
          </cell>
        </row>
      </sheetData>
      <sheetData sheetId="1540">
        <row r="1">
          <cell r="D1">
            <v>0</v>
          </cell>
        </row>
      </sheetData>
      <sheetData sheetId="1541">
        <row r="1">
          <cell r="D1">
            <v>0</v>
          </cell>
        </row>
      </sheetData>
      <sheetData sheetId="1542">
        <row r="1">
          <cell r="D1">
            <v>0</v>
          </cell>
        </row>
      </sheetData>
      <sheetData sheetId="1543">
        <row r="1">
          <cell r="D1">
            <v>0</v>
          </cell>
        </row>
      </sheetData>
      <sheetData sheetId="1544">
        <row r="1">
          <cell r="D1">
            <v>0</v>
          </cell>
        </row>
      </sheetData>
      <sheetData sheetId="1545">
        <row r="1">
          <cell r="D1">
            <v>0</v>
          </cell>
        </row>
      </sheetData>
      <sheetData sheetId="1546">
        <row r="1">
          <cell r="D1">
            <v>0</v>
          </cell>
        </row>
      </sheetData>
      <sheetData sheetId="1547">
        <row r="1">
          <cell r="D1">
            <v>0</v>
          </cell>
        </row>
      </sheetData>
      <sheetData sheetId="1548">
        <row r="1">
          <cell r="D1">
            <v>0</v>
          </cell>
        </row>
      </sheetData>
      <sheetData sheetId="1549">
        <row r="1">
          <cell r="D1">
            <v>0</v>
          </cell>
        </row>
      </sheetData>
      <sheetData sheetId="1550">
        <row r="1">
          <cell r="D1">
            <v>0</v>
          </cell>
        </row>
      </sheetData>
      <sheetData sheetId="1551">
        <row r="1">
          <cell r="D1">
            <v>0</v>
          </cell>
        </row>
      </sheetData>
      <sheetData sheetId="1552">
        <row r="1">
          <cell r="D1">
            <v>0</v>
          </cell>
        </row>
      </sheetData>
      <sheetData sheetId="1553">
        <row r="1">
          <cell r="D1">
            <v>0</v>
          </cell>
        </row>
      </sheetData>
      <sheetData sheetId="1554">
        <row r="1">
          <cell r="D1">
            <v>0</v>
          </cell>
        </row>
      </sheetData>
      <sheetData sheetId="1555">
        <row r="1">
          <cell r="D1">
            <v>0</v>
          </cell>
        </row>
      </sheetData>
      <sheetData sheetId="1556">
        <row r="1">
          <cell r="D1">
            <v>0</v>
          </cell>
        </row>
      </sheetData>
      <sheetData sheetId="1557">
        <row r="10">
          <cell r="D10">
            <v>1500</v>
          </cell>
        </row>
      </sheetData>
      <sheetData sheetId="1558">
        <row r="1">
          <cell r="D1">
            <v>0</v>
          </cell>
        </row>
      </sheetData>
      <sheetData sheetId="1559">
        <row r="1">
          <cell r="D1">
            <v>0</v>
          </cell>
        </row>
      </sheetData>
      <sheetData sheetId="1560">
        <row r="1">
          <cell r="D1">
            <v>0</v>
          </cell>
        </row>
      </sheetData>
      <sheetData sheetId="1561">
        <row r="1">
          <cell r="D1">
            <v>0</v>
          </cell>
        </row>
      </sheetData>
      <sheetData sheetId="1562">
        <row r="1">
          <cell r="D1">
            <v>0</v>
          </cell>
        </row>
      </sheetData>
      <sheetData sheetId="1563">
        <row r="1">
          <cell r="D1">
            <v>0</v>
          </cell>
        </row>
      </sheetData>
      <sheetData sheetId="1564">
        <row r="1">
          <cell r="D1">
            <v>0</v>
          </cell>
        </row>
      </sheetData>
      <sheetData sheetId="1565">
        <row r="1">
          <cell r="D1">
            <v>0</v>
          </cell>
        </row>
      </sheetData>
      <sheetData sheetId="1566">
        <row r="1">
          <cell r="D1">
            <v>0</v>
          </cell>
        </row>
      </sheetData>
      <sheetData sheetId="1567">
        <row r="1">
          <cell r="D1">
            <v>0</v>
          </cell>
        </row>
      </sheetData>
      <sheetData sheetId="1568">
        <row r="1">
          <cell r="D1">
            <v>0</v>
          </cell>
        </row>
      </sheetData>
      <sheetData sheetId="1569">
        <row r="1">
          <cell r="D1">
            <v>0</v>
          </cell>
        </row>
      </sheetData>
      <sheetData sheetId="1570">
        <row r="1">
          <cell r="D1">
            <v>0</v>
          </cell>
        </row>
      </sheetData>
      <sheetData sheetId="1571">
        <row r="1">
          <cell r="D1">
            <v>0</v>
          </cell>
        </row>
      </sheetData>
      <sheetData sheetId="1572">
        <row r="1">
          <cell r="D1">
            <v>0</v>
          </cell>
        </row>
      </sheetData>
      <sheetData sheetId="1573">
        <row r="1">
          <cell r="D1">
            <v>0</v>
          </cell>
        </row>
      </sheetData>
      <sheetData sheetId="1574">
        <row r="1">
          <cell r="D1">
            <v>0</v>
          </cell>
        </row>
      </sheetData>
      <sheetData sheetId="1575">
        <row r="1">
          <cell r="D1">
            <v>0</v>
          </cell>
        </row>
      </sheetData>
      <sheetData sheetId="1576">
        <row r="1">
          <cell r="D1">
            <v>0</v>
          </cell>
        </row>
      </sheetData>
      <sheetData sheetId="1577">
        <row r="1">
          <cell r="D1">
            <v>0</v>
          </cell>
        </row>
      </sheetData>
      <sheetData sheetId="1578">
        <row r="1">
          <cell r="D1">
            <v>0</v>
          </cell>
        </row>
      </sheetData>
      <sheetData sheetId="1579">
        <row r="1">
          <cell r="D1">
            <v>0</v>
          </cell>
        </row>
      </sheetData>
      <sheetData sheetId="1580">
        <row r="1">
          <cell r="D1">
            <v>0</v>
          </cell>
        </row>
      </sheetData>
      <sheetData sheetId="1581">
        <row r="1">
          <cell r="D1">
            <v>0</v>
          </cell>
        </row>
      </sheetData>
      <sheetData sheetId="1582">
        <row r="1">
          <cell r="D1">
            <v>0</v>
          </cell>
        </row>
      </sheetData>
      <sheetData sheetId="1583">
        <row r="1">
          <cell r="D1">
            <v>0</v>
          </cell>
        </row>
      </sheetData>
      <sheetData sheetId="1584">
        <row r="1">
          <cell r="D1">
            <v>0</v>
          </cell>
        </row>
      </sheetData>
      <sheetData sheetId="1585">
        <row r="1">
          <cell r="D1">
            <v>0</v>
          </cell>
        </row>
      </sheetData>
      <sheetData sheetId="1586">
        <row r="1">
          <cell r="D1">
            <v>0</v>
          </cell>
        </row>
      </sheetData>
      <sheetData sheetId="1587">
        <row r="1">
          <cell r="D1">
            <v>0</v>
          </cell>
        </row>
      </sheetData>
      <sheetData sheetId="1588">
        <row r="1">
          <cell r="D1">
            <v>0</v>
          </cell>
        </row>
      </sheetData>
      <sheetData sheetId="1589">
        <row r="1">
          <cell r="D1">
            <v>0</v>
          </cell>
        </row>
      </sheetData>
      <sheetData sheetId="1590">
        <row r="1">
          <cell r="D1">
            <v>0</v>
          </cell>
        </row>
      </sheetData>
      <sheetData sheetId="1591">
        <row r="1">
          <cell r="D1">
            <v>0</v>
          </cell>
        </row>
      </sheetData>
      <sheetData sheetId="1592">
        <row r="1">
          <cell r="D1">
            <v>0</v>
          </cell>
        </row>
      </sheetData>
      <sheetData sheetId="1593">
        <row r="1">
          <cell r="D1">
            <v>0</v>
          </cell>
        </row>
      </sheetData>
      <sheetData sheetId="1594">
        <row r="1">
          <cell r="D1">
            <v>0</v>
          </cell>
        </row>
      </sheetData>
      <sheetData sheetId="1595">
        <row r="1">
          <cell r="D1">
            <v>0</v>
          </cell>
        </row>
      </sheetData>
      <sheetData sheetId="1596">
        <row r="1">
          <cell r="D1">
            <v>0</v>
          </cell>
        </row>
      </sheetData>
      <sheetData sheetId="1597">
        <row r="1">
          <cell r="D1">
            <v>0</v>
          </cell>
        </row>
      </sheetData>
      <sheetData sheetId="1598">
        <row r="1">
          <cell r="D1">
            <v>0</v>
          </cell>
        </row>
      </sheetData>
      <sheetData sheetId="1599">
        <row r="1">
          <cell r="D1">
            <v>0</v>
          </cell>
        </row>
      </sheetData>
      <sheetData sheetId="1600">
        <row r="1">
          <cell r="D1">
            <v>0</v>
          </cell>
        </row>
      </sheetData>
      <sheetData sheetId="1601">
        <row r="1">
          <cell r="D1">
            <v>0</v>
          </cell>
        </row>
      </sheetData>
      <sheetData sheetId="1602">
        <row r="1">
          <cell r="D1">
            <v>0</v>
          </cell>
        </row>
      </sheetData>
      <sheetData sheetId="1603">
        <row r="1">
          <cell r="D1">
            <v>0</v>
          </cell>
        </row>
      </sheetData>
      <sheetData sheetId="1604">
        <row r="1">
          <cell r="D1">
            <v>0</v>
          </cell>
        </row>
      </sheetData>
      <sheetData sheetId="1605">
        <row r="1">
          <cell r="D1">
            <v>0</v>
          </cell>
        </row>
      </sheetData>
      <sheetData sheetId="1606">
        <row r="1">
          <cell r="D1">
            <v>0</v>
          </cell>
        </row>
      </sheetData>
      <sheetData sheetId="1607">
        <row r="1">
          <cell r="D1">
            <v>0</v>
          </cell>
        </row>
      </sheetData>
      <sheetData sheetId="1608">
        <row r="1">
          <cell r="D1">
            <v>0</v>
          </cell>
        </row>
      </sheetData>
      <sheetData sheetId="1609">
        <row r="1">
          <cell r="D1">
            <v>0</v>
          </cell>
        </row>
      </sheetData>
      <sheetData sheetId="1610">
        <row r="1">
          <cell r="D1">
            <v>0</v>
          </cell>
        </row>
      </sheetData>
      <sheetData sheetId="1611">
        <row r="1">
          <cell r="D1">
            <v>0</v>
          </cell>
        </row>
      </sheetData>
      <sheetData sheetId="1612">
        <row r="1">
          <cell r="D1">
            <v>0</v>
          </cell>
        </row>
      </sheetData>
      <sheetData sheetId="1613">
        <row r="1">
          <cell r="D1">
            <v>0</v>
          </cell>
        </row>
      </sheetData>
      <sheetData sheetId="1614">
        <row r="1">
          <cell r="D1">
            <v>0</v>
          </cell>
        </row>
      </sheetData>
      <sheetData sheetId="1615">
        <row r="1">
          <cell r="D1">
            <v>0</v>
          </cell>
        </row>
      </sheetData>
      <sheetData sheetId="1616">
        <row r="1">
          <cell r="D1">
            <v>0</v>
          </cell>
        </row>
      </sheetData>
      <sheetData sheetId="1617">
        <row r="1">
          <cell r="D1">
            <v>0</v>
          </cell>
        </row>
      </sheetData>
      <sheetData sheetId="1618">
        <row r="1">
          <cell r="D1">
            <v>0</v>
          </cell>
        </row>
      </sheetData>
      <sheetData sheetId="1619">
        <row r="1">
          <cell r="D1">
            <v>0</v>
          </cell>
        </row>
      </sheetData>
      <sheetData sheetId="1620">
        <row r="1">
          <cell r="D1">
            <v>0</v>
          </cell>
        </row>
      </sheetData>
      <sheetData sheetId="1621">
        <row r="1">
          <cell r="D1">
            <v>0</v>
          </cell>
        </row>
      </sheetData>
      <sheetData sheetId="1622">
        <row r="1">
          <cell r="D1">
            <v>0</v>
          </cell>
        </row>
      </sheetData>
      <sheetData sheetId="1623">
        <row r="1">
          <cell r="D1">
            <v>0</v>
          </cell>
        </row>
      </sheetData>
      <sheetData sheetId="1624">
        <row r="1">
          <cell r="D1">
            <v>0</v>
          </cell>
        </row>
      </sheetData>
      <sheetData sheetId="1625">
        <row r="1">
          <cell r="D1">
            <v>0</v>
          </cell>
        </row>
      </sheetData>
      <sheetData sheetId="1626">
        <row r="1">
          <cell r="D1">
            <v>0</v>
          </cell>
        </row>
      </sheetData>
      <sheetData sheetId="1627">
        <row r="1">
          <cell r="D1">
            <v>0</v>
          </cell>
        </row>
      </sheetData>
      <sheetData sheetId="1628">
        <row r="1">
          <cell r="D1">
            <v>0</v>
          </cell>
        </row>
      </sheetData>
      <sheetData sheetId="1629">
        <row r="1">
          <cell r="D1">
            <v>0</v>
          </cell>
        </row>
      </sheetData>
      <sheetData sheetId="1630">
        <row r="1">
          <cell r="D1">
            <v>0</v>
          </cell>
        </row>
      </sheetData>
      <sheetData sheetId="1631">
        <row r="1">
          <cell r="D1">
            <v>0</v>
          </cell>
        </row>
      </sheetData>
      <sheetData sheetId="1632">
        <row r="1">
          <cell r="D1">
            <v>0</v>
          </cell>
        </row>
      </sheetData>
      <sheetData sheetId="1633">
        <row r="1">
          <cell r="D1">
            <v>0</v>
          </cell>
        </row>
      </sheetData>
      <sheetData sheetId="1634">
        <row r="1">
          <cell r="D1">
            <v>0</v>
          </cell>
        </row>
      </sheetData>
      <sheetData sheetId="1635">
        <row r="1">
          <cell r="D1">
            <v>0</v>
          </cell>
        </row>
      </sheetData>
      <sheetData sheetId="1636">
        <row r="1">
          <cell r="D1">
            <v>0</v>
          </cell>
        </row>
      </sheetData>
      <sheetData sheetId="1637">
        <row r="1">
          <cell r="D1">
            <v>0</v>
          </cell>
        </row>
      </sheetData>
      <sheetData sheetId="1638">
        <row r="1">
          <cell r="D1">
            <v>0</v>
          </cell>
        </row>
      </sheetData>
      <sheetData sheetId="1639">
        <row r="1">
          <cell r="D1">
            <v>0</v>
          </cell>
        </row>
      </sheetData>
      <sheetData sheetId="1640">
        <row r="1">
          <cell r="D1">
            <v>0</v>
          </cell>
        </row>
      </sheetData>
      <sheetData sheetId="1641">
        <row r="1">
          <cell r="D1">
            <v>0</v>
          </cell>
        </row>
      </sheetData>
      <sheetData sheetId="1642">
        <row r="1">
          <cell r="D1">
            <v>0</v>
          </cell>
        </row>
      </sheetData>
      <sheetData sheetId="1643">
        <row r="1">
          <cell r="D1">
            <v>0</v>
          </cell>
        </row>
      </sheetData>
      <sheetData sheetId="1644">
        <row r="1">
          <cell r="D1">
            <v>0</v>
          </cell>
        </row>
      </sheetData>
      <sheetData sheetId="1645">
        <row r="1">
          <cell r="D1">
            <v>0</v>
          </cell>
        </row>
      </sheetData>
      <sheetData sheetId="1646">
        <row r="1">
          <cell r="D1">
            <v>0</v>
          </cell>
        </row>
      </sheetData>
      <sheetData sheetId="1647">
        <row r="1">
          <cell r="D1">
            <v>0</v>
          </cell>
        </row>
      </sheetData>
      <sheetData sheetId="1648">
        <row r="1">
          <cell r="D1">
            <v>0</v>
          </cell>
        </row>
      </sheetData>
      <sheetData sheetId="1649">
        <row r="1">
          <cell r="D1">
            <v>0</v>
          </cell>
        </row>
      </sheetData>
      <sheetData sheetId="1650">
        <row r="1">
          <cell r="D1">
            <v>0</v>
          </cell>
        </row>
      </sheetData>
      <sheetData sheetId="1651">
        <row r="1">
          <cell r="D1">
            <v>0</v>
          </cell>
        </row>
      </sheetData>
      <sheetData sheetId="1652">
        <row r="1">
          <cell r="D1">
            <v>0</v>
          </cell>
        </row>
      </sheetData>
      <sheetData sheetId="1653">
        <row r="1">
          <cell r="D1">
            <v>0</v>
          </cell>
        </row>
      </sheetData>
      <sheetData sheetId="1654">
        <row r="1">
          <cell r="D1">
            <v>0</v>
          </cell>
        </row>
      </sheetData>
      <sheetData sheetId="1655">
        <row r="1">
          <cell r="D1">
            <v>0</v>
          </cell>
        </row>
      </sheetData>
      <sheetData sheetId="1656">
        <row r="1">
          <cell r="D1">
            <v>0</v>
          </cell>
        </row>
      </sheetData>
      <sheetData sheetId="1657">
        <row r="1">
          <cell r="D1">
            <v>0</v>
          </cell>
        </row>
      </sheetData>
      <sheetData sheetId="1658">
        <row r="1">
          <cell r="D1">
            <v>0</v>
          </cell>
        </row>
      </sheetData>
      <sheetData sheetId="1659">
        <row r="1">
          <cell r="D1">
            <v>0</v>
          </cell>
        </row>
      </sheetData>
      <sheetData sheetId="1660">
        <row r="1">
          <cell r="D1">
            <v>0</v>
          </cell>
        </row>
      </sheetData>
      <sheetData sheetId="1661">
        <row r="1">
          <cell r="D1">
            <v>0</v>
          </cell>
        </row>
      </sheetData>
      <sheetData sheetId="1662">
        <row r="1">
          <cell r="D1">
            <v>0</v>
          </cell>
        </row>
      </sheetData>
      <sheetData sheetId="1663">
        <row r="1">
          <cell r="D1">
            <v>0</v>
          </cell>
        </row>
      </sheetData>
      <sheetData sheetId="1664">
        <row r="1">
          <cell r="D1">
            <v>0</v>
          </cell>
        </row>
      </sheetData>
      <sheetData sheetId="1665">
        <row r="1">
          <cell r="D1">
            <v>0</v>
          </cell>
        </row>
      </sheetData>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sheetData sheetId="1787">
        <row r="10">
          <cell r="D10">
            <v>1500</v>
          </cell>
        </row>
      </sheetData>
      <sheetData sheetId="1788">
        <row r="10">
          <cell r="D10">
            <v>1500</v>
          </cell>
        </row>
      </sheetData>
      <sheetData sheetId="1789">
        <row r="10">
          <cell r="D10">
            <v>1500</v>
          </cell>
        </row>
      </sheetData>
      <sheetData sheetId="1790">
        <row r="10">
          <cell r="D10">
            <v>1500</v>
          </cell>
        </row>
      </sheetData>
      <sheetData sheetId="1791">
        <row r="10">
          <cell r="D10">
            <v>1500</v>
          </cell>
        </row>
      </sheetData>
      <sheetData sheetId="1792">
        <row r="10">
          <cell r="D10">
            <v>1500</v>
          </cell>
        </row>
      </sheetData>
      <sheetData sheetId="1793">
        <row r="10">
          <cell r="D10">
            <v>1500</v>
          </cell>
        </row>
      </sheetData>
      <sheetData sheetId="1794">
        <row r="10">
          <cell r="D10">
            <v>1500</v>
          </cell>
        </row>
      </sheetData>
      <sheetData sheetId="1795">
        <row r="10">
          <cell r="D10">
            <v>1500</v>
          </cell>
        </row>
      </sheetData>
      <sheetData sheetId="1796">
        <row r="10">
          <cell r="D10">
            <v>1500</v>
          </cell>
        </row>
      </sheetData>
      <sheetData sheetId="1797"/>
      <sheetData sheetId="1798"/>
      <sheetData sheetId="1799"/>
      <sheetData sheetId="1800"/>
      <sheetData sheetId="1801"/>
      <sheetData sheetId="1802">
        <row r="10">
          <cell r="D10">
            <v>1500</v>
          </cell>
        </row>
      </sheetData>
      <sheetData sheetId="1803">
        <row r="10">
          <cell r="D10">
            <v>1500</v>
          </cell>
        </row>
      </sheetData>
      <sheetData sheetId="1804">
        <row r="10">
          <cell r="D10">
            <v>1500</v>
          </cell>
        </row>
      </sheetData>
      <sheetData sheetId="1805">
        <row r="10">
          <cell r="D10">
            <v>1500</v>
          </cell>
        </row>
      </sheetData>
      <sheetData sheetId="1806">
        <row r="10">
          <cell r="D10">
            <v>1500</v>
          </cell>
        </row>
      </sheetData>
      <sheetData sheetId="1807">
        <row r="10">
          <cell r="D10">
            <v>1500</v>
          </cell>
        </row>
      </sheetData>
      <sheetData sheetId="1808">
        <row r="10">
          <cell r="D10">
            <v>1500</v>
          </cell>
        </row>
      </sheetData>
      <sheetData sheetId="1809">
        <row r="10">
          <cell r="D10">
            <v>1500</v>
          </cell>
        </row>
      </sheetData>
      <sheetData sheetId="1810">
        <row r="10">
          <cell r="D10">
            <v>1500</v>
          </cell>
        </row>
      </sheetData>
      <sheetData sheetId="1811">
        <row r="10">
          <cell r="D10">
            <v>1500</v>
          </cell>
        </row>
      </sheetData>
      <sheetData sheetId="1812"/>
      <sheetData sheetId="1813"/>
      <sheetData sheetId="1814">
        <row r="10">
          <cell r="D10">
            <v>1500</v>
          </cell>
        </row>
      </sheetData>
      <sheetData sheetId="1815">
        <row r="10">
          <cell r="D10">
            <v>1500</v>
          </cell>
        </row>
      </sheetData>
      <sheetData sheetId="1816"/>
      <sheetData sheetId="1817">
        <row r="10">
          <cell r="D10">
            <v>1500</v>
          </cell>
        </row>
      </sheetData>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row r="10">
          <cell r="D10">
            <v>1500</v>
          </cell>
        </row>
      </sheetData>
      <sheetData sheetId="1843">
        <row r="10">
          <cell r="D10">
            <v>1500</v>
          </cell>
        </row>
      </sheetData>
      <sheetData sheetId="1844"/>
      <sheetData sheetId="1845">
        <row r="10">
          <cell r="D10">
            <v>1500</v>
          </cell>
        </row>
      </sheetData>
      <sheetData sheetId="1846"/>
      <sheetData sheetId="1847"/>
      <sheetData sheetId="1848"/>
      <sheetData sheetId="1849"/>
      <sheetData sheetId="1850"/>
      <sheetData sheetId="1851"/>
      <sheetData sheetId="1852">
        <row r="10">
          <cell r="D10">
            <v>1500</v>
          </cell>
        </row>
      </sheetData>
      <sheetData sheetId="1853">
        <row r="10">
          <cell r="D10">
            <v>1500</v>
          </cell>
        </row>
      </sheetData>
      <sheetData sheetId="1854">
        <row r="10">
          <cell r="D10">
            <v>1500</v>
          </cell>
        </row>
      </sheetData>
      <sheetData sheetId="1855">
        <row r="10">
          <cell r="D10">
            <v>1500</v>
          </cell>
        </row>
      </sheetData>
      <sheetData sheetId="1856">
        <row r="10">
          <cell r="D10">
            <v>1500</v>
          </cell>
        </row>
      </sheetData>
      <sheetData sheetId="1857">
        <row r="10">
          <cell r="D10">
            <v>1500</v>
          </cell>
        </row>
      </sheetData>
      <sheetData sheetId="1858">
        <row r="10">
          <cell r="D10">
            <v>1500</v>
          </cell>
        </row>
      </sheetData>
      <sheetData sheetId="1859">
        <row r="10">
          <cell r="D10">
            <v>1500</v>
          </cell>
        </row>
      </sheetData>
      <sheetData sheetId="1860">
        <row r="10">
          <cell r="D10">
            <v>1500</v>
          </cell>
        </row>
      </sheetData>
      <sheetData sheetId="1861"/>
      <sheetData sheetId="1862"/>
      <sheetData sheetId="1863"/>
      <sheetData sheetId="1864"/>
      <sheetData sheetId="1865"/>
      <sheetData sheetId="1866"/>
      <sheetData sheetId="1867">
        <row r="10">
          <cell r="D10">
            <v>1500</v>
          </cell>
        </row>
      </sheetData>
      <sheetData sheetId="1868"/>
      <sheetData sheetId="1869"/>
      <sheetData sheetId="1870">
        <row r="10">
          <cell r="D10">
            <v>1500</v>
          </cell>
        </row>
      </sheetData>
      <sheetData sheetId="1871"/>
      <sheetData sheetId="1872">
        <row r="10">
          <cell r="D10">
            <v>1500</v>
          </cell>
        </row>
      </sheetData>
      <sheetData sheetId="1873">
        <row r="10">
          <cell r="D10">
            <v>1500</v>
          </cell>
        </row>
      </sheetData>
      <sheetData sheetId="1874">
        <row r="10">
          <cell r="D10">
            <v>1500</v>
          </cell>
        </row>
      </sheetData>
      <sheetData sheetId="1875">
        <row r="10">
          <cell r="D10">
            <v>1500</v>
          </cell>
        </row>
      </sheetData>
      <sheetData sheetId="1876">
        <row r="10">
          <cell r="D10">
            <v>1500</v>
          </cell>
        </row>
      </sheetData>
      <sheetData sheetId="1877">
        <row r="10">
          <cell r="D10">
            <v>1500</v>
          </cell>
        </row>
      </sheetData>
      <sheetData sheetId="1878">
        <row r="10">
          <cell r="D10">
            <v>1500</v>
          </cell>
        </row>
      </sheetData>
      <sheetData sheetId="1879">
        <row r="10">
          <cell r="D10">
            <v>1500</v>
          </cell>
        </row>
      </sheetData>
      <sheetData sheetId="1880">
        <row r="10">
          <cell r="D10">
            <v>1500</v>
          </cell>
        </row>
      </sheetData>
      <sheetData sheetId="1881">
        <row r="10">
          <cell r="D10">
            <v>1500</v>
          </cell>
        </row>
      </sheetData>
      <sheetData sheetId="1882">
        <row r="10">
          <cell r="D10">
            <v>1500</v>
          </cell>
        </row>
      </sheetData>
      <sheetData sheetId="1883">
        <row r="10">
          <cell r="D10">
            <v>1500</v>
          </cell>
        </row>
      </sheetData>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row r="10">
          <cell r="D10">
            <v>1500</v>
          </cell>
        </row>
      </sheetData>
      <sheetData sheetId="1925">
        <row r="10">
          <cell r="D10">
            <v>1500</v>
          </cell>
        </row>
      </sheetData>
      <sheetData sheetId="1926">
        <row r="10">
          <cell r="D10">
            <v>1500</v>
          </cell>
        </row>
      </sheetData>
      <sheetData sheetId="1927">
        <row r="10">
          <cell r="D10">
            <v>1500</v>
          </cell>
        </row>
      </sheetData>
      <sheetData sheetId="1928">
        <row r="10">
          <cell r="D10">
            <v>1500</v>
          </cell>
        </row>
      </sheetData>
      <sheetData sheetId="1929">
        <row r="10">
          <cell r="D10">
            <v>1500</v>
          </cell>
        </row>
      </sheetData>
      <sheetData sheetId="1930">
        <row r="10">
          <cell r="D10">
            <v>1500</v>
          </cell>
        </row>
      </sheetData>
      <sheetData sheetId="1931">
        <row r="10">
          <cell r="D10">
            <v>1500</v>
          </cell>
        </row>
      </sheetData>
      <sheetData sheetId="1932">
        <row r="10">
          <cell r="D10">
            <v>1500</v>
          </cell>
        </row>
      </sheetData>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row r="10">
          <cell r="D10">
            <v>1500</v>
          </cell>
        </row>
      </sheetData>
      <sheetData sheetId="1947">
        <row r="10">
          <cell r="D10">
            <v>1500</v>
          </cell>
        </row>
      </sheetData>
      <sheetData sheetId="1948">
        <row r="10">
          <cell r="D10">
            <v>1500</v>
          </cell>
        </row>
      </sheetData>
      <sheetData sheetId="1949">
        <row r="10">
          <cell r="D10">
            <v>1500</v>
          </cell>
        </row>
      </sheetData>
      <sheetData sheetId="1950">
        <row r="10">
          <cell r="D10">
            <v>1500</v>
          </cell>
        </row>
      </sheetData>
      <sheetData sheetId="1951">
        <row r="10">
          <cell r="D10">
            <v>1500</v>
          </cell>
        </row>
      </sheetData>
      <sheetData sheetId="1952">
        <row r="10">
          <cell r="D10">
            <v>1500</v>
          </cell>
        </row>
      </sheetData>
      <sheetData sheetId="1953">
        <row r="10">
          <cell r="D10">
            <v>1500</v>
          </cell>
        </row>
      </sheetData>
      <sheetData sheetId="1954">
        <row r="10">
          <cell r="D10">
            <v>1500</v>
          </cell>
        </row>
      </sheetData>
      <sheetData sheetId="1955"/>
      <sheetData sheetId="1956"/>
      <sheetData sheetId="1957"/>
      <sheetData sheetId="1958"/>
      <sheetData sheetId="1959"/>
      <sheetData sheetId="1960">
        <row r="10">
          <cell r="D10">
            <v>1500</v>
          </cell>
        </row>
      </sheetData>
      <sheetData sheetId="1961">
        <row r="10">
          <cell r="D10">
            <v>1500</v>
          </cell>
        </row>
      </sheetData>
      <sheetData sheetId="1962">
        <row r="10">
          <cell r="D10">
            <v>1500</v>
          </cell>
        </row>
      </sheetData>
      <sheetData sheetId="1963">
        <row r="10">
          <cell r="D10">
            <v>1500</v>
          </cell>
        </row>
      </sheetData>
      <sheetData sheetId="1964">
        <row r="10">
          <cell r="D10">
            <v>1500</v>
          </cell>
        </row>
      </sheetData>
      <sheetData sheetId="1965">
        <row r="10">
          <cell r="D10">
            <v>1500</v>
          </cell>
        </row>
      </sheetData>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row r="10">
          <cell r="D10">
            <v>1500</v>
          </cell>
        </row>
      </sheetData>
      <sheetData sheetId="1989">
        <row r="10">
          <cell r="D10">
            <v>1500</v>
          </cell>
        </row>
      </sheetData>
      <sheetData sheetId="1990">
        <row r="10">
          <cell r="D10">
            <v>1500</v>
          </cell>
        </row>
      </sheetData>
      <sheetData sheetId="1991">
        <row r="10">
          <cell r="D10">
            <v>1500</v>
          </cell>
        </row>
      </sheetData>
      <sheetData sheetId="1992">
        <row r="10">
          <cell r="D10">
            <v>1500</v>
          </cell>
        </row>
      </sheetData>
      <sheetData sheetId="1993">
        <row r="10">
          <cell r="D10">
            <v>1500</v>
          </cell>
        </row>
      </sheetData>
      <sheetData sheetId="1994">
        <row r="10">
          <cell r="D10">
            <v>1500</v>
          </cell>
        </row>
      </sheetData>
      <sheetData sheetId="1995">
        <row r="10">
          <cell r="D10">
            <v>1500</v>
          </cell>
        </row>
      </sheetData>
      <sheetData sheetId="1996">
        <row r="10">
          <cell r="D10">
            <v>1500</v>
          </cell>
        </row>
      </sheetData>
      <sheetData sheetId="1997">
        <row r="10">
          <cell r="D10">
            <v>1500</v>
          </cell>
        </row>
      </sheetData>
      <sheetData sheetId="1998">
        <row r="10">
          <cell r="D10">
            <v>1500</v>
          </cell>
        </row>
      </sheetData>
      <sheetData sheetId="1999">
        <row r="10">
          <cell r="D10">
            <v>1500</v>
          </cell>
        </row>
      </sheetData>
      <sheetData sheetId="2000">
        <row r="10">
          <cell r="D10">
            <v>1500</v>
          </cell>
        </row>
      </sheetData>
      <sheetData sheetId="2001">
        <row r="10">
          <cell r="D10">
            <v>1500</v>
          </cell>
        </row>
      </sheetData>
      <sheetData sheetId="2002">
        <row r="10">
          <cell r="D10">
            <v>1500</v>
          </cell>
        </row>
      </sheetData>
      <sheetData sheetId="2003">
        <row r="10">
          <cell r="D10">
            <v>1500</v>
          </cell>
        </row>
      </sheetData>
      <sheetData sheetId="2004">
        <row r="10">
          <cell r="D10">
            <v>1500</v>
          </cell>
        </row>
      </sheetData>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row r="10">
          <cell r="D10">
            <v>1500</v>
          </cell>
        </row>
      </sheetData>
      <sheetData sheetId="2019">
        <row r="10">
          <cell r="D10">
            <v>1500</v>
          </cell>
        </row>
      </sheetData>
      <sheetData sheetId="2020">
        <row r="10">
          <cell r="D10">
            <v>1500</v>
          </cell>
        </row>
      </sheetData>
      <sheetData sheetId="2021">
        <row r="10">
          <cell r="D10">
            <v>1500</v>
          </cell>
        </row>
      </sheetData>
      <sheetData sheetId="2022">
        <row r="10">
          <cell r="D10">
            <v>1500</v>
          </cell>
        </row>
      </sheetData>
      <sheetData sheetId="2023">
        <row r="10">
          <cell r="D10">
            <v>1500</v>
          </cell>
        </row>
      </sheetData>
      <sheetData sheetId="2024">
        <row r="10">
          <cell r="D10">
            <v>1500</v>
          </cell>
        </row>
      </sheetData>
      <sheetData sheetId="2025">
        <row r="10">
          <cell r="D10">
            <v>1500</v>
          </cell>
        </row>
      </sheetData>
      <sheetData sheetId="2026">
        <row r="10">
          <cell r="D10">
            <v>1500</v>
          </cell>
        </row>
      </sheetData>
      <sheetData sheetId="2027">
        <row r="10">
          <cell r="D10">
            <v>1500</v>
          </cell>
        </row>
      </sheetData>
      <sheetData sheetId="2028">
        <row r="10">
          <cell r="D10">
            <v>1500</v>
          </cell>
        </row>
      </sheetData>
      <sheetData sheetId="2029">
        <row r="10">
          <cell r="D10">
            <v>1500</v>
          </cell>
        </row>
      </sheetData>
      <sheetData sheetId="2030">
        <row r="10">
          <cell r="D10">
            <v>1500</v>
          </cell>
        </row>
      </sheetData>
      <sheetData sheetId="2031">
        <row r="10">
          <cell r="D10">
            <v>1500</v>
          </cell>
        </row>
      </sheetData>
      <sheetData sheetId="2032">
        <row r="10">
          <cell r="D10">
            <v>1500</v>
          </cell>
        </row>
      </sheetData>
      <sheetData sheetId="2033">
        <row r="10">
          <cell r="D10">
            <v>1500</v>
          </cell>
        </row>
      </sheetData>
      <sheetData sheetId="2034">
        <row r="10">
          <cell r="D10">
            <v>1500</v>
          </cell>
        </row>
      </sheetData>
      <sheetData sheetId="2035">
        <row r="10">
          <cell r="D10">
            <v>1500</v>
          </cell>
        </row>
      </sheetData>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row r="10">
          <cell r="D10">
            <v>1500</v>
          </cell>
        </row>
      </sheetData>
      <sheetData sheetId="2058">
        <row r="10">
          <cell r="D10">
            <v>1500</v>
          </cell>
        </row>
      </sheetData>
      <sheetData sheetId="2059">
        <row r="10">
          <cell r="D10">
            <v>1500</v>
          </cell>
        </row>
      </sheetData>
      <sheetData sheetId="2060">
        <row r="10">
          <cell r="D10">
            <v>1500</v>
          </cell>
        </row>
      </sheetData>
      <sheetData sheetId="2061">
        <row r="10">
          <cell r="D10">
            <v>1500</v>
          </cell>
        </row>
      </sheetData>
      <sheetData sheetId="2062">
        <row r="10">
          <cell r="D10">
            <v>1500</v>
          </cell>
        </row>
      </sheetData>
      <sheetData sheetId="2063">
        <row r="10">
          <cell r="D10">
            <v>1500</v>
          </cell>
        </row>
      </sheetData>
      <sheetData sheetId="2064">
        <row r="10">
          <cell r="D10">
            <v>1500</v>
          </cell>
        </row>
      </sheetData>
      <sheetData sheetId="2065">
        <row r="10">
          <cell r="D10">
            <v>1500</v>
          </cell>
        </row>
      </sheetData>
      <sheetData sheetId="2066">
        <row r="10">
          <cell r="D10">
            <v>1500</v>
          </cell>
        </row>
      </sheetData>
      <sheetData sheetId="2067">
        <row r="10">
          <cell r="D10">
            <v>1500</v>
          </cell>
        </row>
      </sheetData>
      <sheetData sheetId="2068">
        <row r="10">
          <cell r="D10">
            <v>1500</v>
          </cell>
        </row>
      </sheetData>
      <sheetData sheetId="2069">
        <row r="10">
          <cell r="D10">
            <v>1500</v>
          </cell>
        </row>
      </sheetData>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row r="10">
          <cell r="D10">
            <v>1500</v>
          </cell>
        </row>
      </sheetData>
      <sheetData sheetId="2084">
        <row r="10">
          <cell r="D10">
            <v>1500</v>
          </cell>
        </row>
      </sheetData>
      <sheetData sheetId="2085">
        <row r="10">
          <cell r="D10">
            <v>1500</v>
          </cell>
        </row>
      </sheetData>
      <sheetData sheetId="2086">
        <row r="10">
          <cell r="D10">
            <v>1500</v>
          </cell>
        </row>
      </sheetData>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ow r="10">
          <cell r="D10">
            <v>1500</v>
          </cell>
        </row>
      </sheetData>
      <sheetData sheetId="2101">
        <row r="10">
          <cell r="D10">
            <v>1500</v>
          </cell>
        </row>
      </sheetData>
      <sheetData sheetId="2102">
        <row r="10">
          <cell r="D10">
            <v>1500</v>
          </cell>
        </row>
      </sheetData>
      <sheetData sheetId="2103">
        <row r="10">
          <cell r="D10">
            <v>1500</v>
          </cell>
        </row>
      </sheetData>
      <sheetData sheetId="2104">
        <row r="10">
          <cell r="D10">
            <v>1500</v>
          </cell>
        </row>
      </sheetData>
      <sheetData sheetId="2105">
        <row r="10">
          <cell r="D10">
            <v>1500</v>
          </cell>
        </row>
      </sheetData>
      <sheetData sheetId="2106">
        <row r="10">
          <cell r="D10">
            <v>1500</v>
          </cell>
        </row>
      </sheetData>
      <sheetData sheetId="2107" refreshError="1"/>
      <sheetData sheetId="2108" refreshError="1"/>
      <sheetData sheetId="2109" refreshError="1"/>
      <sheetData sheetId="2110" refreshError="1"/>
      <sheetData sheetId="2111"/>
      <sheetData sheetId="2112" refreshError="1"/>
      <sheetData sheetId="2113" refreshError="1"/>
      <sheetData sheetId="2114"/>
      <sheetData sheetId="2115" refreshError="1"/>
      <sheetData sheetId="2116" refreshError="1"/>
      <sheetData sheetId="2117" refreshError="1"/>
      <sheetData sheetId="2118" refreshError="1"/>
      <sheetData sheetId="2119" refreshError="1"/>
      <sheetData sheetId="2120" refreshError="1"/>
      <sheetData sheetId="2121"/>
      <sheetData sheetId="2122"/>
      <sheetData sheetId="2123"/>
      <sheetData sheetId="2124"/>
      <sheetData sheetId="2125"/>
      <sheetData sheetId="2126"/>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sheetData sheetId="2149"/>
      <sheetData sheetId="2150"/>
      <sheetData sheetId="2151"/>
      <sheetData sheetId="2152" refreshError="1"/>
      <sheetData sheetId="2153" refreshError="1"/>
      <sheetData sheetId="2154" refreshError="1"/>
      <sheetData sheetId="2155" refreshError="1"/>
      <sheetData sheetId="2156" refreshError="1"/>
      <sheetData sheetId="2157" refreshError="1"/>
      <sheetData sheetId="2158"/>
      <sheetData sheetId="2159"/>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sheetData sheetId="2190"/>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refreshError="1"/>
      <sheetData sheetId="2216" refreshError="1"/>
      <sheetData sheetId="2217"/>
      <sheetData sheetId="2218" refreshError="1"/>
      <sheetData sheetId="2219" refreshError="1"/>
      <sheetData sheetId="2220" refreshError="1"/>
      <sheetData sheetId="2221" refreshError="1"/>
      <sheetData sheetId="2222"/>
      <sheetData sheetId="2223">
        <row r="10">
          <cell r="D10">
            <v>1500</v>
          </cell>
        </row>
      </sheetData>
      <sheetData sheetId="2224">
        <row r="10">
          <cell r="D10">
            <v>1500</v>
          </cell>
        </row>
      </sheetData>
      <sheetData sheetId="2225">
        <row r="10">
          <cell r="D10">
            <v>1500</v>
          </cell>
        </row>
      </sheetData>
      <sheetData sheetId="2226">
        <row r="10">
          <cell r="D10">
            <v>1500</v>
          </cell>
        </row>
      </sheetData>
      <sheetData sheetId="2227">
        <row r="10">
          <cell r="D10">
            <v>1500</v>
          </cell>
        </row>
      </sheetData>
      <sheetData sheetId="2228">
        <row r="10">
          <cell r="D10">
            <v>1500</v>
          </cell>
        </row>
      </sheetData>
      <sheetData sheetId="2229">
        <row r="10">
          <cell r="D10">
            <v>1500</v>
          </cell>
        </row>
      </sheetData>
      <sheetData sheetId="2230">
        <row r="10">
          <cell r="D10">
            <v>1500</v>
          </cell>
        </row>
      </sheetData>
      <sheetData sheetId="2231">
        <row r="10">
          <cell r="D10">
            <v>1500</v>
          </cell>
        </row>
      </sheetData>
      <sheetData sheetId="2232">
        <row r="10">
          <cell r="D10">
            <v>1500</v>
          </cell>
        </row>
      </sheetData>
      <sheetData sheetId="2233">
        <row r="10">
          <cell r="D10">
            <v>1500</v>
          </cell>
        </row>
      </sheetData>
      <sheetData sheetId="2234">
        <row r="10">
          <cell r="D10">
            <v>1500</v>
          </cell>
        </row>
      </sheetData>
      <sheetData sheetId="2235">
        <row r="10">
          <cell r="D10">
            <v>1500</v>
          </cell>
        </row>
      </sheetData>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row r="10">
          <cell r="D10">
            <v>1500</v>
          </cell>
        </row>
      </sheetData>
      <sheetData sheetId="2278">
        <row r="10">
          <cell r="D10">
            <v>1500</v>
          </cell>
        </row>
      </sheetData>
      <sheetData sheetId="2279">
        <row r="10">
          <cell r="D10">
            <v>1500</v>
          </cell>
        </row>
      </sheetData>
      <sheetData sheetId="2280">
        <row r="10">
          <cell r="D10">
            <v>1500</v>
          </cell>
        </row>
      </sheetData>
      <sheetData sheetId="2281">
        <row r="10">
          <cell r="D10">
            <v>1500</v>
          </cell>
        </row>
      </sheetData>
      <sheetData sheetId="2282">
        <row r="10">
          <cell r="D10">
            <v>1500</v>
          </cell>
        </row>
      </sheetData>
      <sheetData sheetId="2283">
        <row r="10">
          <cell r="D10">
            <v>1500</v>
          </cell>
        </row>
      </sheetData>
      <sheetData sheetId="2284">
        <row r="10">
          <cell r="D10">
            <v>1500</v>
          </cell>
        </row>
      </sheetData>
      <sheetData sheetId="2285">
        <row r="10">
          <cell r="D10">
            <v>1500</v>
          </cell>
        </row>
      </sheetData>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row r="10">
          <cell r="D10">
            <v>1500</v>
          </cell>
        </row>
      </sheetData>
      <sheetData sheetId="2331">
        <row r="10">
          <cell r="D10">
            <v>1500</v>
          </cell>
        </row>
      </sheetData>
      <sheetData sheetId="2332"/>
      <sheetData sheetId="2333">
        <row r="10">
          <cell r="D10">
            <v>1500</v>
          </cell>
        </row>
      </sheetData>
      <sheetData sheetId="2334">
        <row r="10">
          <cell r="D10">
            <v>1500</v>
          </cell>
        </row>
      </sheetData>
      <sheetData sheetId="2335">
        <row r="10">
          <cell r="D10">
            <v>1500</v>
          </cell>
        </row>
      </sheetData>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row r="10">
          <cell r="D10">
            <v>1500</v>
          </cell>
        </row>
      </sheetData>
      <sheetData sheetId="2361">
        <row r="10">
          <cell r="D10">
            <v>1500</v>
          </cell>
        </row>
      </sheetData>
      <sheetData sheetId="2362">
        <row r="10">
          <cell r="D10">
            <v>1500</v>
          </cell>
        </row>
      </sheetData>
      <sheetData sheetId="2363">
        <row r="10">
          <cell r="D10">
            <v>1500</v>
          </cell>
        </row>
      </sheetData>
      <sheetData sheetId="2364">
        <row r="10">
          <cell r="D10">
            <v>1500</v>
          </cell>
        </row>
      </sheetData>
      <sheetData sheetId="2365"/>
      <sheetData sheetId="2366"/>
      <sheetData sheetId="2367"/>
      <sheetData sheetId="2368"/>
      <sheetData sheetId="2369"/>
      <sheetData sheetId="2370"/>
      <sheetData sheetId="2371"/>
      <sheetData sheetId="2372"/>
      <sheetData sheetId="2373"/>
      <sheetData sheetId="2374"/>
      <sheetData sheetId="2375">
        <row r="1">
          <cell r="D1">
            <v>0</v>
          </cell>
        </row>
      </sheetData>
      <sheetData sheetId="2376">
        <row r="1">
          <cell r="D1">
            <v>0</v>
          </cell>
        </row>
      </sheetData>
      <sheetData sheetId="2377">
        <row r="1">
          <cell r="D1">
            <v>0</v>
          </cell>
        </row>
      </sheetData>
      <sheetData sheetId="2378">
        <row r="1">
          <cell r="D1">
            <v>0</v>
          </cell>
        </row>
      </sheetData>
      <sheetData sheetId="2379">
        <row r="1">
          <cell r="D1">
            <v>0</v>
          </cell>
        </row>
      </sheetData>
      <sheetData sheetId="2380">
        <row r="1">
          <cell r="D1">
            <v>0</v>
          </cell>
        </row>
      </sheetData>
      <sheetData sheetId="2381">
        <row r="1">
          <cell r="D1">
            <v>0</v>
          </cell>
        </row>
      </sheetData>
      <sheetData sheetId="2382">
        <row r="1">
          <cell r="D1">
            <v>0</v>
          </cell>
        </row>
      </sheetData>
      <sheetData sheetId="2383">
        <row r="1">
          <cell r="D1">
            <v>0</v>
          </cell>
        </row>
      </sheetData>
      <sheetData sheetId="2384">
        <row r="1">
          <cell r="D1">
            <v>0</v>
          </cell>
        </row>
      </sheetData>
      <sheetData sheetId="2385">
        <row r="1">
          <cell r="D1">
            <v>0</v>
          </cell>
        </row>
      </sheetData>
      <sheetData sheetId="2386">
        <row r="1">
          <cell r="D1">
            <v>0</v>
          </cell>
        </row>
      </sheetData>
      <sheetData sheetId="2387">
        <row r="1">
          <cell r="D1">
            <v>0</v>
          </cell>
        </row>
      </sheetData>
      <sheetData sheetId="2388">
        <row r="1">
          <cell r="D1">
            <v>0</v>
          </cell>
        </row>
      </sheetData>
      <sheetData sheetId="2389">
        <row r="1">
          <cell r="D1">
            <v>0</v>
          </cell>
        </row>
      </sheetData>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row r="10">
          <cell r="D10">
            <v>1500</v>
          </cell>
        </row>
      </sheetData>
      <sheetData sheetId="2410">
        <row r="1">
          <cell r="D1">
            <v>0</v>
          </cell>
        </row>
      </sheetData>
      <sheetData sheetId="2411">
        <row r="1">
          <cell r="D1">
            <v>0</v>
          </cell>
        </row>
      </sheetData>
      <sheetData sheetId="2412">
        <row r="1">
          <cell r="D1">
            <v>0</v>
          </cell>
        </row>
      </sheetData>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ow r="1">
          <cell r="D1">
            <v>0</v>
          </cell>
        </row>
      </sheetData>
      <sheetData sheetId="2445"/>
      <sheetData sheetId="2446"/>
      <sheetData sheetId="2447"/>
      <sheetData sheetId="2448"/>
      <sheetData sheetId="2449"/>
      <sheetData sheetId="2450"/>
      <sheetData sheetId="2451"/>
      <sheetData sheetId="2452"/>
      <sheetData sheetId="2453"/>
      <sheetData sheetId="2454"/>
      <sheetData sheetId="2455">
        <row r="1">
          <cell r="D1">
            <v>0</v>
          </cell>
        </row>
      </sheetData>
      <sheetData sheetId="2456"/>
      <sheetData sheetId="2457">
        <row r="1">
          <cell r="D1">
            <v>0</v>
          </cell>
        </row>
      </sheetData>
      <sheetData sheetId="2458">
        <row r="1">
          <cell r="D1">
            <v>0</v>
          </cell>
        </row>
      </sheetData>
      <sheetData sheetId="2459">
        <row r="10">
          <cell r="D10">
            <v>1500</v>
          </cell>
        </row>
      </sheetData>
      <sheetData sheetId="2460">
        <row r="10">
          <cell r="D10">
            <v>1500</v>
          </cell>
        </row>
      </sheetData>
      <sheetData sheetId="2461"/>
      <sheetData sheetId="2462"/>
      <sheetData sheetId="2463">
        <row r="10">
          <cell r="D10">
            <v>1500</v>
          </cell>
        </row>
      </sheetData>
      <sheetData sheetId="2464">
        <row r="10">
          <cell r="D10">
            <v>1500</v>
          </cell>
        </row>
      </sheetData>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sheetData sheetId="2589"/>
      <sheetData sheetId="2590"/>
      <sheetData sheetId="2591" refreshError="1"/>
      <sheetData sheetId="2592"/>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row r="10">
          <cell r="D10">
            <v>1500</v>
          </cell>
        </row>
      </sheetData>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refreshError="1"/>
      <sheetData sheetId="2687" refreshError="1"/>
      <sheetData sheetId="2688">
        <row r="10">
          <cell r="D10">
            <v>1500</v>
          </cell>
        </row>
      </sheetData>
      <sheetData sheetId="2689">
        <row r="10">
          <cell r="D10">
            <v>1500</v>
          </cell>
        </row>
      </sheetData>
      <sheetData sheetId="2690">
        <row r="10">
          <cell r="D10">
            <v>1500</v>
          </cell>
        </row>
      </sheetData>
      <sheetData sheetId="2691">
        <row r="10">
          <cell r="D10">
            <v>1500</v>
          </cell>
        </row>
      </sheetData>
      <sheetData sheetId="2692">
        <row r="10">
          <cell r="D10">
            <v>1500</v>
          </cell>
        </row>
      </sheetData>
      <sheetData sheetId="2693">
        <row r="10">
          <cell r="D10">
            <v>1500</v>
          </cell>
        </row>
      </sheetData>
      <sheetData sheetId="2694">
        <row r="10">
          <cell r="D10">
            <v>1500</v>
          </cell>
        </row>
      </sheetData>
      <sheetData sheetId="2695">
        <row r="10">
          <cell r="D10">
            <v>1500</v>
          </cell>
        </row>
      </sheetData>
      <sheetData sheetId="2696">
        <row r="10">
          <cell r="D10">
            <v>1500</v>
          </cell>
        </row>
      </sheetData>
      <sheetData sheetId="2697">
        <row r="10">
          <cell r="D10">
            <v>1500</v>
          </cell>
        </row>
      </sheetData>
      <sheetData sheetId="2698">
        <row r="10">
          <cell r="D10">
            <v>1500</v>
          </cell>
        </row>
      </sheetData>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row r="10">
          <cell r="D10">
            <v>1500</v>
          </cell>
        </row>
      </sheetData>
      <sheetData sheetId="2713">
        <row r="10">
          <cell r="D10">
            <v>1500</v>
          </cell>
        </row>
      </sheetData>
      <sheetData sheetId="2714">
        <row r="10">
          <cell r="D10">
            <v>1500</v>
          </cell>
        </row>
      </sheetData>
      <sheetData sheetId="2715">
        <row r="10">
          <cell r="D10">
            <v>1500</v>
          </cell>
        </row>
      </sheetData>
      <sheetData sheetId="2716">
        <row r="10">
          <cell r="D10">
            <v>1500</v>
          </cell>
        </row>
      </sheetData>
      <sheetData sheetId="2717">
        <row r="10">
          <cell r="D10">
            <v>1500</v>
          </cell>
        </row>
      </sheetData>
      <sheetData sheetId="2718">
        <row r="10">
          <cell r="D10">
            <v>1500</v>
          </cell>
        </row>
      </sheetData>
      <sheetData sheetId="2719">
        <row r="10">
          <cell r="D10">
            <v>1500</v>
          </cell>
        </row>
      </sheetData>
      <sheetData sheetId="2720">
        <row r="10">
          <cell r="D10">
            <v>1500</v>
          </cell>
        </row>
      </sheetData>
      <sheetData sheetId="2721">
        <row r="10">
          <cell r="D10">
            <v>1500</v>
          </cell>
        </row>
      </sheetData>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row r="10">
          <cell r="D10">
            <v>1500</v>
          </cell>
        </row>
      </sheetData>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row r="10">
          <cell r="D10">
            <v>1500</v>
          </cell>
        </row>
      </sheetData>
      <sheetData sheetId="2791">
        <row r="10">
          <cell r="D10">
            <v>1500</v>
          </cell>
        </row>
      </sheetData>
      <sheetData sheetId="2792">
        <row r="10">
          <cell r="D10">
            <v>1500</v>
          </cell>
        </row>
      </sheetData>
      <sheetData sheetId="2793">
        <row r="10">
          <cell r="D10">
            <v>1500</v>
          </cell>
        </row>
      </sheetData>
      <sheetData sheetId="2794">
        <row r="10">
          <cell r="D10">
            <v>1500</v>
          </cell>
        </row>
      </sheetData>
      <sheetData sheetId="2795">
        <row r="10">
          <cell r="D10">
            <v>1500</v>
          </cell>
        </row>
      </sheetData>
      <sheetData sheetId="2796">
        <row r="10">
          <cell r="D10">
            <v>1500</v>
          </cell>
        </row>
      </sheetData>
      <sheetData sheetId="2797">
        <row r="10">
          <cell r="D10">
            <v>1500</v>
          </cell>
        </row>
      </sheetData>
      <sheetData sheetId="2798">
        <row r="10">
          <cell r="D10">
            <v>1500</v>
          </cell>
        </row>
      </sheetData>
      <sheetData sheetId="2799">
        <row r="10">
          <cell r="D10">
            <v>1500</v>
          </cell>
        </row>
      </sheetData>
      <sheetData sheetId="2800">
        <row r="10">
          <cell r="D10">
            <v>1500</v>
          </cell>
        </row>
      </sheetData>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row r="10">
          <cell r="D10">
            <v>1500</v>
          </cell>
        </row>
      </sheetData>
      <sheetData sheetId="2861">
        <row r="10">
          <cell r="D10">
            <v>1500</v>
          </cell>
        </row>
      </sheetData>
      <sheetData sheetId="2862">
        <row r="10">
          <cell r="D10">
            <v>1500</v>
          </cell>
        </row>
      </sheetData>
      <sheetData sheetId="2863">
        <row r="10">
          <cell r="D10">
            <v>1500</v>
          </cell>
        </row>
      </sheetData>
      <sheetData sheetId="2864">
        <row r="10">
          <cell r="D10">
            <v>1500</v>
          </cell>
        </row>
      </sheetData>
      <sheetData sheetId="2865">
        <row r="10">
          <cell r="D10">
            <v>1500</v>
          </cell>
        </row>
      </sheetData>
      <sheetData sheetId="2866">
        <row r="10">
          <cell r="D10">
            <v>1500</v>
          </cell>
        </row>
      </sheetData>
      <sheetData sheetId="2867">
        <row r="10">
          <cell r="D10">
            <v>1500</v>
          </cell>
        </row>
      </sheetData>
      <sheetData sheetId="2868">
        <row r="10">
          <cell r="D10">
            <v>1500</v>
          </cell>
        </row>
      </sheetData>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refreshError="1"/>
      <sheetData sheetId="3191" refreshError="1"/>
      <sheetData sheetId="3192" refreshError="1"/>
      <sheetData sheetId="3193" refreshError="1"/>
      <sheetData sheetId="3194"/>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OC (2)"/>
      <sheetName val="01"/>
      <sheetName val="02"/>
      <sheetName val="03"/>
      <sheetName val="04"/>
      <sheetName val="5"/>
      <sheetName val="6"/>
      <sheetName val="07"/>
      <sheetName val="8"/>
      <sheetName val="09 (2)"/>
      <sheetName val="Land Acquistion"/>
      <sheetName val="Cash2"/>
      <sheetName val="Z"/>
      <sheetName val="Rate Analysis"/>
      <sheetName val="A"/>
      <sheetName val="LTG-STG"/>
      <sheetName val="1"/>
      <sheetName val="VARIABLE"/>
      <sheetName val="Steel-Circular"/>
      <sheetName val="Material "/>
      <sheetName val="india f&amp;s template"/>
      <sheetName val="Labour &amp; Plant"/>
      <sheetName val="Data"/>
      <sheetName val="AOC_(2)"/>
      <sheetName val="09_(2)"/>
      <sheetName val="Land_Acquistion"/>
      <sheetName val="Rate_Analysis"/>
      <sheetName val="Material_"/>
      <sheetName val="india_f&amp;s_template"/>
      <sheetName val="Labour_&amp;_Plant"/>
      <sheetName val="AOC_(2)1"/>
      <sheetName val="09_(2)1"/>
      <sheetName val="Land_Acquistion1"/>
      <sheetName val="Rate_Analysis1"/>
      <sheetName val="Material_1"/>
      <sheetName val="india_f&amp;s_template1"/>
      <sheetName val="Labour_&amp;_Plant1"/>
      <sheetName val="11-hsd"/>
      <sheetName val="13-septic"/>
      <sheetName val="7-ug"/>
      <sheetName val="2-utility"/>
      <sheetName val="18-misc"/>
      <sheetName val="5-pipe"/>
      <sheetName val="Table 4"/>
      <sheetName val="Table 2"/>
      <sheetName val="Table 27"/>
      <sheetName val="Table 5"/>
      <sheetName val="Labour"/>
      <sheetName val="Material"/>
      <sheetName val="Plant &amp;  Machinery"/>
    </sheetNames>
    <sheetDataSet>
      <sheetData sheetId="0"/>
      <sheetData sheetId="1">
        <row r="31">
          <cell r="I31">
            <v>25782383.2245</v>
          </cell>
        </row>
      </sheetData>
      <sheetData sheetId="2">
        <row r="21">
          <cell r="I21">
            <v>163036643.73360002</v>
          </cell>
        </row>
      </sheetData>
      <sheetData sheetId="3">
        <row r="21">
          <cell r="I21">
            <v>131973844.59533399</v>
          </cell>
        </row>
      </sheetData>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refreshError="1"/>
      <sheetData sheetId="48" refreshError="1"/>
      <sheetData sheetId="4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W4"/>
      <sheetName val="XXXXXX"/>
      <sheetName val="000000"/>
      <sheetName val="phasing"/>
      <sheetName val="extra"/>
      <sheetName val="Sheet1"/>
      <sheetName val="Alternatives"/>
      <sheetName val="Partwane(final)"/>
      <sheetName val="n"/>
      <sheetName val="Toran &amp; Fish(final)"/>
      <sheetName val="Billing"/>
      <sheetName val="Bedding(mmt final)"/>
      <sheetName val="Bedding(mmt final) (2)"/>
      <sheetName val="DSLP"/>
      <sheetName val="A1-Continuous"/>
      <sheetName val="Report"/>
      <sheetName val="TBAL9697 -group wise  sdpl"/>
      <sheetName val="Hardware"/>
      <sheetName val="Current Bill MB ref"/>
      <sheetName val="LIST OF MAKES"/>
      <sheetName val="Cost summary"/>
      <sheetName val="Headings"/>
      <sheetName val="concrete"/>
      <sheetName val="beam-slab shuttering"/>
      <sheetName val="col-shuttering"/>
      <sheetName val="beam-reinft"/>
      <sheetName val="slab-reinft1"/>
      <sheetName val="Slab-reinft2"/>
      <sheetName val="col-reinft"/>
      <sheetName val="col-reinft1"/>
      <sheetName val="summary"/>
      <sheetName val="Indices"/>
      <sheetName val="beam id's"/>
      <sheetName val="slab barnos"/>
      <sheetName val="Wall"/>
      <sheetName val="gen"/>
      <sheetName val="TBEAM"/>
      <sheetName val="Dimensions"/>
      <sheetName val="Input Rates"/>
      <sheetName val="Design"/>
      <sheetName val="Basic Rates"/>
      <sheetName val="Fin Sum"/>
      <sheetName val="labour rates"/>
      <sheetName val="BHANDUP"/>
      <sheetName val="Set"/>
      <sheetName val="FACTOR"/>
      <sheetName val="p1-costg"/>
      <sheetName val="Vehicles"/>
      <sheetName val="crews"/>
      <sheetName val="RCC,Ret. Wall"/>
      <sheetName val="Formulas"/>
      <sheetName val="qryClosedER"/>
      <sheetName val="estimate"/>
      <sheetName val="PRECAST lightconc-II"/>
      <sheetName val="FitOutConfCentre"/>
      <sheetName val="loadcal"/>
      <sheetName val="Milestone Bill"/>
      <sheetName val="집계표(OPTION)"/>
      <sheetName val="sheet6"/>
      <sheetName val="Basement Budget"/>
      <sheetName val="M-Book for Conc"/>
      <sheetName val="M-Book for FW"/>
      <sheetName val="SC Cost FEB 03"/>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refreshError="1"/>
      <sheetData sheetId="28" refreshError="1"/>
      <sheetData sheetId="29"/>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
      <sheetName val="ABSTRACT ESTIMATE"/>
      <sheetName val="Landsp"/>
      <sheetName val="SANITARY "/>
      <sheetName val="WATER SUPPLY"/>
      <sheetName val="FIRE FIGHTING"/>
      <sheetName val="CIVIL WORK"/>
      <sheetName val="Diff. cost (2)"/>
      <sheetName val="internal Road"/>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TABILITY"/>
      <sheetName val="DESIGN"/>
      <sheetName val="WEIGHT"/>
      <sheetName val="Diagrams"/>
      <sheetName val="Crackwidth"/>
      <sheetName val="Notes"/>
      <sheetName val="Module1"/>
      <sheetName val="Module2"/>
      <sheetName val="Module3"/>
    </sheetNames>
    <sheetDataSet>
      <sheetData sheetId="0" refreshError="1">
        <row r="23">
          <cell r="C23">
            <v>3200</v>
          </cell>
        </row>
        <row r="24">
          <cell r="C24">
            <v>100</v>
          </cell>
          <cell r="E24">
            <v>1000</v>
          </cell>
          <cell r="G24">
            <v>400</v>
          </cell>
        </row>
        <row r="25">
          <cell r="G25">
            <v>0</v>
          </cell>
        </row>
        <row r="26">
          <cell r="C26">
            <v>0</v>
          </cell>
        </row>
        <row r="28">
          <cell r="C28">
            <v>35</v>
          </cell>
          <cell r="F28">
            <v>1.5</v>
          </cell>
        </row>
        <row r="29">
          <cell r="C29">
            <v>460</v>
          </cell>
        </row>
        <row r="30">
          <cell r="F30">
            <v>50</v>
          </cell>
        </row>
        <row r="34">
          <cell r="F34">
            <v>30</v>
          </cell>
        </row>
        <row r="35">
          <cell r="F35">
            <v>0</v>
          </cell>
        </row>
        <row r="37">
          <cell r="F37">
            <v>13.333333333333332</v>
          </cell>
        </row>
        <row r="38">
          <cell r="F38">
            <v>20</v>
          </cell>
        </row>
        <row r="39">
          <cell r="F39">
            <v>10</v>
          </cell>
        </row>
        <row r="40">
          <cell r="F40">
            <v>10</v>
          </cell>
        </row>
        <row r="41">
          <cell r="F41">
            <v>200</v>
          </cell>
        </row>
        <row r="43">
          <cell r="F43">
            <v>10</v>
          </cell>
        </row>
        <row r="44">
          <cell r="F44">
            <v>10</v>
          </cell>
        </row>
        <row r="45">
          <cell r="F45">
            <v>15</v>
          </cell>
        </row>
        <row r="46">
          <cell r="F46">
            <v>20</v>
          </cell>
        </row>
        <row r="51">
          <cell r="F51">
            <v>2.8562984946187755</v>
          </cell>
        </row>
        <row r="52">
          <cell r="F52">
            <v>1.154698905844227</v>
          </cell>
        </row>
        <row r="56">
          <cell r="H56">
            <v>1.4</v>
          </cell>
        </row>
        <row r="57">
          <cell r="H57">
            <v>1.4</v>
          </cell>
        </row>
        <row r="58">
          <cell r="H58">
            <v>1.6</v>
          </cell>
        </row>
        <row r="59">
          <cell r="H59">
            <v>1.4</v>
          </cell>
        </row>
        <row r="60">
          <cell r="H60">
            <v>1.6</v>
          </cell>
        </row>
        <row r="61">
          <cell r="H61">
            <v>1.4</v>
          </cell>
        </row>
        <row r="62">
          <cell r="F62">
            <v>98.087046348147496</v>
          </cell>
        </row>
        <row r="63">
          <cell r="H63">
            <v>1</v>
          </cell>
        </row>
      </sheetData>
      <sheetData sheetId="1" refreshError="1">
        <row r="10">
          <cell r="J10">
            <v>1.5</v>
          </cell>
        </row>
        <row r="31">
          <cell r="D31">
            <v>192.2</v>
          </cell>
        </row>
        <row r="35">
          <cell r="J35">
            <v>1.5</v>
          </cell>
        </row>
        <row r="55">
          <cell r="G55">
            <v>-97.674999999999997</v>
          </cell>
        </row>
        <row r="61">
          <cell r="G61">
            <v>-1.0296025152284147E-3</v>
          </cell>
        </row>
      </sheetData>
      <sheetData sheetId="2" refreshError="1">
        <row r="26">
          <cell r="G26">
            <v>16</v>
          </cell>
        </row>
        <row r="34">
          <cell r="G34">
            <v>119.41605426039321</v>
          </cell>
        </row>
        <row r="38">
          <cell r="G38">
            <v>0.80073589618210872</v>
          </cell>
        </row>
        <row r="67">
          <cell r="D67">
            <v>1.458868268622086</v>
          </cell>
        </row>
        <row r="72">
          <cell r="G72">
            <v>12</v>
          </cell>
        </row>
        <row r="73">
          <cell r="G73">
            <v>200</v>
          </cell>
        </row>
        <row r="74">
          <cell r="G74">
            <v>565.48800000000006</v>
          </cell>
        </row>
        <row r="76">
          <cell r="G76">
            <v>344</v>
          </cell>
        </row>
        <row r="77">
          <cell r="G77">
            <v>326.8</v>
          </cell>
        </row>
        <row r="79">
          <cell r="G79">
            <v>80.960647680000022</v>
          </cell>
        </row>
        <row r="82">
          <cell r="G82">
            <v>0.4021829669516328</v>
          </cell>
        </row>
        <row r="94">
          <cell r="G94">
            <v>16</v>
          </cell>
        </row>
        <row r="95">
          <cell r="G95">
            <v>150</v>
          </cell>
        </row>
        <row r="96">
          <cell r="G96">
            <v>1340.4159999999999</v>
          </cell>
        </row>
        <row r="98">
          <cell r="G98">
            <v>342</v>
          </cell>
        </row>
        <row r="99">
          <cell r="G99">
            <v>323.21866098081023</v>
          </cell>
        </row>
        <row r="101">
          <cell r="G101">
            <v>189.80365119193968</v>
          </cell>
        </row>
        <row r="104">
          <cell r="G104">
            <v>0.53807086980666841</v>
          </cell>
        </row>
      </sheetData>
      <sheetData sheetId="3"/>
      <sheetData sheetId="4" refreshError="1">
        <row r="15">
          <cell r="C15">
            <v>1</v>
          </cell>
        </row>
        <row r="48">
          <cell r="I48">
            <v>70.047912412636222</v>
          </cell>
        </row>
        <row r="49">
          <cell r="I49">
            <v>70.047912412636222</v>
          </cell>
        </row>
        <row r="50">
          <cell r="I50">
            <v>70.047912412636222</v>
          </cell>
        </row>
        <row r="90">
          <cell r="F90">
            <v>24.391042142034355</v>
          </cell>
        </row>
        <row r="91">
          <cell r="F91">
            <v>13.07261361425514</v>
          </cell>
        </row>
        <row r="92">
          <cell r="F92">
            <v>9.8044602106913548</v>
          </cell>
        </row>
        <row r="93">
          <cell r="F93">
            <v>13.066629718946977</v>
          </cell>
        </row>
        <row r="94">
          <cell r="F94">
            <v>13.066629718946977</v>
          </cell>
        </row>
        <row r="95">
          <cell r="F95">
            <v>0</v>
          </cell>
        </row>
      </sheetData>
      <sheetData sheetId="5" refreshError="1">
        <row r="7">
          <cell r="F7">
            <v>219.77805249413439</v>
          </cell>
        </row>
        <row r="8">
          <cell r="F8">
            <v>762</v>
          </cell>
        </row>
        <row r="9">
          <cell r="F9">
            <v>766</v>
          </cell>
        </row>
        <row r="14">
          <cell r="C14">
            <v>77.265761006396929</v>
          </cell>
        </row>
        <row r="25">
          <cell r="C25">
            <v>108.61239025515522</v>
          </cell>
        </row>
      </sheetData>
      <sheetData sheetId="6"/>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sheetName val="Shape Codes"/>
      <sheetName val="Database"/>
      <sheetName val="Help"/>
      <sheetName val="Setup"/>
      <sheetName val="About"/>
      <sheetName val="More"/>
      <sheetName val="page"/>
      <sheetName val="Info"/>
      <sheetName val="check"/>
      <sheetName val="schedule nos"/>
      <sheetName val="LABOUR RATE"/>
      <sheetName val="Material Rate"/>
      <sheetName val="Detail"/>
      <sheetName val="assumption inputs"/>
      <sheetName val="analysis"/>
      <sheetName val="Shape_Codes"/>
      <sheetName val="schedule_nos"/>
      <sheetName val="LABOUR_RATE"/>
      <sheetName val="Material_Rate"/>
      <sheetName val="assumption_inputs"/>
      <sheetName val="B'Sheet"/>
      <sheetName val="Asmp"/>
      <sheetName val="SUMMARY"/>
      <sheetName val="RA-markate"/>
      <sheetName val="banilad"/>
      <sheetName val="Mactan"/>
      <sheetName val="Mandaue"/>
      <sheetName val="General"/>
      <sheetName val="SCHEDULE (9)"/>
      <sheetName val="SCHEDULE (8)"/>
      <sheetName val="SCHEDULE (7)"/>
      <sheetName val="SCHEDULE (6)"/>
      <sheetName val="SCHEDULE (5)"/>
      <sheetName val="SCHEDULE (4)"/>
      <sheetName val="SCHEDULE (3)"/>
      <sheetName val="SCHEDULE (2)"/>
      <sheetName val="Basement Budget"/>
      <sheetName val="GBW"/>
      <sheetName val="Extra Item"/>
      <sheetName val="IO LIST"/>
      <sheetName val="Fill this out first..."/>
      <sheetName val="Lead"/>
      <sheetName val="Pay_Sep06"/>
      <sheetName val="Data sheet"/>
      <sheetName val="F1a-Pile"/>
      <sheetName val="Project Budget Worksheet"/>
      <sheetName val="RCC,Ret. Wall"/>
      <sheetName val="Civil Boq"/>
      <sheetName val="INPUT SHEET"/>
      <sheetName val="RES-PLANNING"/>
      <sheetName val="Wordsdata"/>
      <sheetName val="item"/>
      <sheetName val="Labels"/>
      <sheetName val="BHANDUP"/>
      <sheetName val="ASS"/>
      <sheetName val="Cases"/>
      <sheetName val="RNT"/>
      <sheetName val="Combi"/>
      <sheetName val="Sheet3"/>
      <sheetName val="PRECAST lightconc-II"/>
      <sheetName val="sumary"/>
      <sheetName val="Qty Cal"/>
      <sheetName val="ANAL-PUMP HOUSE"/>
      <sheetName val="Pipe trench"/>
      <sheetName val="COST"/>
      <sheetName val="Inc.St.-Link"/>
      <sheetName val="Barsched 8666"/>
      <sheetName val="final abstract"/>
      <sheetName val="Internal Plaster-FTP-Block D4"/>
      <sheetName val="FORM7"/>
      <sheetName val="Code"/>
      <sheetName val="Cover sheet"/>
      <sheetName val="Assumptions"/>
      <sheetName val="LIST OF MAKES"/>
      <sheetName val="Material "/>
      <sheetName val="Intro"/>
      <sheetName val="Labour &amp; Plant"/>
      <sheetName val="p&amp;m"/>
      <sheetName val="Headings"/>
      <sheetName val="Sheet1"/>
      <sheetName val="MFG"/>
      <sheetName val="Sales &amp; Prod"/>
      <sheetName val="B1"/>
      <sheetName val="CSA"/>
      <sheetName val="Mechanical"/>
      <sheetName val="Indirects "/>
      <sheetName val="I&amp;C"/>
      <sheetName val="LSS"/>
      <sheetName val="Design"/>
      <sheetName val="Bill 1"/>
      <sheetName val="Bill 2"/>
      <sheetName val="Bill 3"/>
      <sheetName val="Bill 4"/>
      <sheetName val="Bill 5"/>
      <sheetName val="Bill 6"/>
      <sheetName val="Bill 7"/>
      <sheetName val="accom cash"/>
      <sheetName val="Compiled BOQ"/>
      <sheetName val="Costing"/>
      <sheetName val="FINOLEX"/>
      <sheetName val="Bill 3 - Site Works"/>
      <sheetName val="Project Details"/>
      <sheetName val="Basis"/>
      <sheetName val="BASIS -DEC 08"/>
      <sheetName val="Vehicles"/>
      <sheetName val="DSLP"/>
      <sheetName val="Codes"/>
      <sheetName val="D3665 template"/>
      <sheetName val="ultmom"/>
      <sheetName val=" rmr"/>
      <sheetName val=" f8-ndb"/>
      <sheetName val=" rtanal"/>
      <sheetName val="Basic"/>
    </sheetNames>
    <sheetDataSet>
      <sheetData sheetId="0">
        <row r="9">
          <cell r="BC9">
            <v>0</v>
          </cell>
          <cell r="BD9">
            <v>11</v>
          </cell>
          <cell r="BE9">
            <v>12</v>
          </cell>
          <cell r="BF9">
            <v>13</v>
          </cell>
          <cell r="BG9">
            <v>15</v>
          </cell>
          <cell r="BH9">
            <v>21</v>
          </cell>
          <cell r="BI9">
            <v>25</v>
          </cell>
          <cell r="BJ9">
            <v>26</v>
          </cell>
          <cell r="BK9">
            <v>31</v>
          </cell>
          <cell r="BL9">
            <v>33</v>
          </cell>
          <cell r="BM9">
            <v>41</v>
          </cell>
          <cell r="BN9">
            <v>44</v>
          </cell>
          <cell r="BO9">
            <v>46</v>
          </cell>
          <cell r="BP9">
            <v>51</v>
          </cell>
          <cell r="BQ9">
            <v>67</v>
          </cell>
          <cell r="BR9">
            <v>77</v>
          </cell>
          <cell r="BS9">
            <v>99</v>
          </cell>
        </row>
      </sheetData>
      <sheetData sheetId="1"/>
      <sheetData sheetId="2">
        <row r="7">
          <cell r="B7" t="str">
            <v>Example Job 1</v>
          </cell>
          <cell r="C7">
            <v>990001</v>
          </cell>
          <cell r="D7" t="str">
            <v>ABC</v>
          </cell>
        </row>
        <row r="8">
          <cell r="B8" t="str">
            <v>Example Job 2</v>
          </cell>
          <cell r="C8">
            <v>990002</v>
          </cell>
          <cell r="D8" t="str">
            <v>DEF</v>
          </cell>
        </row>
        <row r="9">
          <cell r="B9" t="str">
            <v>Example Job 3</v>
          </cell>
          <cell r="C9">
            <v>990003</v>
          </cell>
          <cell r="D9" t="str">
            <v>GHJ</v>
          </cell>
        </row>
      </sheetData>
      <sheetData sheetId="3"/>
      <sheetData sheetId="4"/>
      <sheetData sheetId="5"/>
      <sheetData sheetId="6"/>
      <sheetData sheetId="7"/>
      <sheetData sheetId="8"/>
      <sheetData sheetId="9"/>
      <sheetData sheetId="10">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sheetData>
      <sheetData sheetId="11" refreshError="1"/>
      <sheetData sheetId="12" refreshError="1"/>
      <sheetData sheetId="13" refreshError="1"/>
      <sheetData sheetId="14" refreshError="1"/>
      <sheetData sheetId="15" refreshError="1"/>
      <sheetData sheetId="16"/>
      <sheetData sheetId="17">
        <row r="1">
          <cell r="A1">
            <v>1</v>
          </cell>
        </row>
      </sheetData>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NP2 RCC"/>
      <sheetName val="NP2 RCC PIPE"/>
      <sheetName val="Data GI PIPE"/>
      <sheetName val="G.I. PIPE"/>
      <sheetName val="Air Valve Double Acting"/>
      <sheetName val="Costing Model"/>
      <sheetName val="Valves"/>
      <sheetName val="ButterFly Valves"/>
      <sheetName val="Air Valves"/>
      <sheetName val="Air Valve Single Acting"/>
      <sheetName val="Data air valve"/>
      <sheetName val="Double Flange B. F. Valve PN0.6"/>
      <sheetName val="Data Butterfly Valve"/>
      <sheetName val="Double Flange B. F. Valve PN1.0"/>
      <sheetName val="Wafer Butterfly Valve"/>
      <sheetName val="Sluice Valves"/>
      <sheetName val="Sluice Valves PN1.6"/>
      <sheetName val="Sluice Valves PN1.0"/>
      <sheetName val="Sluice Valves PN 0.6"/>
      <sheetName val="Data Sluice Valves"/>
      <sheetName val="Sluice Valves PN 0.4"/>
      <sheetName val="Pipe Cost"/>
      <sheetName val="Miscellaneous Data"/>
      <sheetName val="Material Rate"/>
      <sheetName val=" SW PIPE"/>
      <sheetName val="DATA SW"/>
      <sheetName val="RCC PIPE"/>
      <sheetName val="NP4 RCC PIPE"/>
      <sheetName val="DATA NP4 RCC"/>
      <sheetName val="NP3 RCC PIPE"/>
      <sheetName val="DATA NP3  RCC"/>
      <sheetName val="BOQ"/>
      <sheetName val="C.I. PIPE"/>
      <sheetName val="DATA C.I."/>
      <sheetName val="LABOUR RATE"/>
      <sheetName val="D.I. PIPE"/>
      <sheetName val="DATA D.I."/>
      <sheetName val="Detail"/>
      <sheetName val="assumption inputs"/>
      <sheetName val="51"/>
      <sheetName val="DATA_NP2_RCC"/>
      <sheetName val="NP2_RCC_PIPE"/>
      <sheetName val="Data_GI_PIPE"/>
      <sheetName val="G_I__PIPE"/>
      <sheetName val="Air_Valve_Double_Acting"/>
      <sheetName val="Costing_Model"/>
      <sheetName val="ButterFly_Valves"/>
      <sheetName val="Air_Valves"/>
      <sheetName val="Air_Valve_Single_Acting"/>
      <sheetName val="Data_air_valve"/>
      <sheetName val="Double_Flange_B__F__Valve_PN0_6"/>
      <sheetName val="Data_Butterfly_Valve"/>
      <sheetName val="Double_Flange_B__F__Valve_PN1_0"/>
      <sheetName val="Wafer_Butterfly_Valve"/>
      <sheetName val="Sluice_Valves"/>
      <sheetName val="Sluice_Valves_PN1_6"/>
      <sheetName val="Sluice_Valves_PN1_0"/>
      <sheetName val="Sluice_Valves_PN_0_6"/>
      <sheetName val="Data_Sluice_Valves"/>
      <sheetName val="Sluice_Valves_PN_0_4"/>
      <sheetName val="Pipe_Cost"/>
      <sheetName val="Miscellaneous_Data"/>
      <sheetName val="Material_Rate"/>
      <sheetName val="_SW_PIPE"/>
      <sheetName val="DATA_SW"/>
      <sheetName val="RCC_PIPE"/>
      <sheetName val="NP4_RCC_PIPE"/>
      <sheetName val="DATA_NP4_RCC"/>
      <sheetName val="NP3_RCC_PIPE"/>
      <sheetName val="DATA_NP3__RCC"/>
      <sheetName val="C_I__PIPE"/>
      <sheetName val="DATA_C_I_"/>
      <sheetName val="LABOUR_RATE"/>
      <sheetName val="D_I__PIPE"/>
      <sheetName val="DATA_D_I_"/>
      <sheetName val="assumption_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5">
          <cell r="B5" t="str">
            <v>Bricks</v>
          </cell>
        </row>
        <row r="6">
          <cell r="B6" t="str">
            <v>Cement</v>
          </cell>
        </row>
        <row r="7">
          <cell r="B7" t="str">
            <v>Coarse Sand</v>
          </cell>
        </row>
        <row r="8">
          <cell r="B8" t="str">
            <v>Fine Sand</v>
          </cell>
        </row>
        <row r="9">
          <cell r="B9" t="str">
            <v>Fuel Wood</v>
          </cell>
        </row>
        <row r="10">
          <cell r="B10" t="str">
            <v>Kerosine Oil</v>
          </cell>
        </row>
        <row r="11">
          <cell r="B11" t="str">
            <v>lead</v>
          </cell>
        </row>
        <row r="12">
          <cell r="B12" t="str">
            <v>Reinforcement steel</v>
          </cell>
        </row>
        <row r="13">
          <cell r="B13" t="str">
            <v>Spun Yarn</v>
          </cell>
        </row>
        <row r="14">
          <cell r="B14" t="str">
            <v>Stone Aggregate 10 mm nominal size</v>
          </cell>
        </row>
        <row r="15">
          <cell r="B15" t="str">
            <v>Stone Aggregate 20 mm nominal size</v>
          </cell>
        </row>
        <row r="16">
          <cell r="B16" t="str">
            <v>Stone Aggregate 40 mm nominal size</v>
          </cell>
        </row>
        <row r="17">
          <cell r="B17" t="str">
            <v>Structural Steel</v>
          </cell>
        </row>
      </sheetData>
      <sheetData sheetId="24"/>
      <sheetData sheetId="25"/>
      <sheetData sheetId="26"/>
      <sheetData sheetId="27"/>
      <sheetData sheetId="28"/>
      <sheetData sheetId="29"/>
      <sheetData sheetId="30"/>
      <sheetData sheetId="31"/>
      <sheetData sheetId="32"/>
      <sheetData sheetId="33"/>
      <sheetData sheetId="34">
        <row r="4">
          <cell r="B4" t="str">
            <v>Bandhani</v>
          </cell>
        </row>
      </sheetData>
      <sheetData sheetId="35"/>
      <sheetData sheetId="36"/>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ow r="5">
          <cell r="B5" t="str">
            <v>Bricks</v>
          </cell>
        </row>
      </sheetData>
      <sheetData sheetId="63"/>
      <sheetData sheetId="64"/>
      <sheetData sheetId="65"/>
      <sheetData sheetId="66"/>
      <sheetData sheetId="67"/>
      <sheetData sheetId="68"/>
      <sheetData sheetId="69"/>
      <sheetData sheetId="70"/>
      <sheetData sheetId="71"/>
      <sheetData sheetId="72">
        <row r="4">
          <cell r="B4" t="str">
            <v>Bandhani</v>
          </cell>
        </row>
      </sheetData>
      <sheetData sheetId="73"/>
      <sheetData sheetId="74"/>
      <sheetData sheetId="7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INORD"/>
      <sheetName val="Tunnelform"/>
      <sheetName val="mivan"/>
      <sheetName val="SHphase-1"/>
      <sheetName val="concrete"/>
      <sheetName val="analysis"/>
      <sheetName val="Civil-main building"/>
      <sheetName val="Civil-amenities buildings"/>
      <sheetName val="Roads-pavement-path ways"/>
      <sheetName val="C-Wall BOQ"/>
      <sheetName val="Sheet2"/>
      <sheetName val="GR.slab-reinft"/>
      <sheetName val="upa"/>
      <sheetName val="2gii"/>
      <sheetName val="Design"/>
      <sheetName val="detail'02"/>
      <sheetName val="PointNo.5"/>
      <sheetName val="Stress Calculation"/>
      <sheetName val="banilad"/>
      <sheetName val="Mactan"/>
      <sheetName val="Mandaue"/>
      <sheetName val="Detail"/>
      <sheetName val="GUT (2)"/>
      <sheetName val="ACE-OUT"/>
      <sheetName val="PRECAST lightconc-II"/>
      <sheetName val="Tender Summary"/>
      <sheetName val="p&amp;m"/>
      <sheetName val=" Net Break Down"/>
      <sheetName val="VCH-SLC"/>
      <sheetName val="Supplier"/>
      <sheetName val="공장별판관비배부"/>
      <sheetName val="Bill No 2 to 8 (Rev)"/>
      <sheetName val="BHANDUP"/>
      <sheetName val="Sheet1"/>
      <sheetName val="#REF"/>
      <sheetName val="Sheet3"/>
      <sheetName val="data"/>
      <sheetName val="SPT vs PHI"/>
      <sheetName val="BSH num"/>
      <sheetName val="Labels"/>
      <sheetName val="Boq"/>
      <sheetName val="Basic"/>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A-General"/>
      <sheetName val="Citrix"/>
      <sheetName val="IO List"/>
      <sheetName val="Bill 3 - Site Works"/>
      <sheetName val="Fill this out first..."/>
      <sheetName val="GF Columns"/>
      <sheetName val="Assumption Inputs"/>
      <sheetName val="K.Ajeet"/>
      <sheetName val="Costing"/>
      <sheetName val="SITE OVERHEADS"/>
      <sheetName val="FINOLEX"/>
      <sheetName val="Civil-main_building"/>
      <sheetName val="Civil-amenities_buildings"/>
      <sheetName val="Roads-pavement-path_ways"/>
      <sheetName val="C-Wall_BOQ"/>
      <sheetName val="GR_slab-reinft"/>
      <sheetName val="Civil-main_building2"/>
      <sheetName val="Civil-amenities_buildings2"/>
      <sheetName val="Roads-pavement-path_ways2"/>
      <sheetName val="C-Wall_BOQ2"/>
      <sheetName val="GR_slab-reinft2"/>
      <sheetName val="Civil-main_building1"/>
      <sheetName val="Civil-amenities_buildings1"/>
      <sheetName val="Roads-pavement-path_ways1"/>
      <sheetName val="C-Wall_BOQ1"/>
      <sheetName val="GR_slab-reinft1"/>
      <sheetName val="SILICATE"/>
      <sheetName val="Fin Sum"/>
      <sheetName val="4 Annex 1 Basic rate"/>
      <sheetName val="Build-up"/>
      <sheetName val="AutoOpen Stub Data"/>
      <sheetName val="Bridges RB"/>
      <sheetName val="Analysis Justi "/>
      <sheetName val="Qty Esti -TCS"/>
      <sheetName val="INPUT"/>
      <sheetName val="Abst Jo"/>
      <sheetName val="Debits as on 12.04.08"/>
      <sheetName val="Staff Acco."/>
      <sheetName val="Vind-BtB"/>
      <sheetName val="labour coeff"/>
      <sheetName val="Labour"/>
      <sheetName val="HPL"/>
      <sheetName val="Estimation"/>
      <sheetName val="INDIGINEOUS ITEMS "/>
      <sheetName val="07016, Master List-Major Minor"/>
      <sheetName val="PRECAST_lightconc-II"/>
      <sheetName val="PointNo_5"/>
      <sheetName val="PCC"/>
      <sheetName val="cidcoanalysis"/>
      <sheetName val="C Sum"/>
      <sheetName val="A Sum"/>
      <sheetName val="Flooring"/>
      <sheetName val="ELEC_BOQ"/>
      <sheetName val="VALMARAND436"/>
      <sheetName val="VALMARAND18"/>
      <sheetName val="BGIPLCEUR"/>
      <sheetName val="BGIUK"/>
      <sheetName val="BPBF4PDOB3"/>
      <sheetName val="BPBF4NORTHROC"/>
      <sheetName val="BPBF4PDOB2"/>
      <sheetName val="BPBF4PLCUSD2"/>
      <sheetName val="BPBF5PLCGBP"/>
      <sheetName val="BPBF6PLC"/>
      <sheetName val="BPBF6PLC2"/>
      <sheetName val="BPBFIN3INVS"/>
      <sheetName val="SUMMARY ALL CO'S"/>
      <sheetName val="BPBFINCOCOMM"/>
      <sheetName val="BPBFINCOPLCUSD50M"/>
      <sheetName val="BPBFINCOPLCUSD"/>
      <sheetName val="BPBGBVPLC"/>
      <sheetName val="BPBGBVPLC3"/>
      <sheetName val="BPBHLDGSPLC"/>
      <sheetName val="BPBINVPLC"/>
      <sheetName val="BPBUKPLCEUR"/>
      <sheetName val="COMMEUROPE"/>
      <sheetName val="COMMMIDEAST"/>
      <sheetName val="COMMPLCEUR"/>
      <sheetName val="COMMPLCUSD"/>
      <sheetName val="EUROPEFIN2"/>
      <sheetName val="FIN2SIMP"/>
      <sheetName val="FIN4BPBINDIA2"/>
      <sheetName val="FIN4BPBINDIA"/>
      <sheetName val="FIN4BPBLLCUSD"/>
      <sheetName val="FIN4INDIAGYPUSD2M"/>
      <sheetName val="FIN4MEXUSD12M"/>
      <sheetName val="FIN4MEXUSD2M"/>
      <sheetName val="FIN4MEXUSD6M"/>
      <sheetName val="FINANCE2PLC"/>
      <sheetName val="FORMPLCEUR"/>
      <sheetName val="FULMARGBPPLC"/>
      <sheetName val="GILEURPLC"/>
      <sheetName val="GYPABPLCSEK"/>
      <sheetName val="GYPBENCOMMEUR100M"/>
      <sheetName val="GYPIBBPBIB"/>
      <sheetName val="IBSWIBETEIL"/>
      <sheetName val="IBSWIPLACO2"/>
      <sheetName val="IBSWIPLACO"/>
      <sheetName val="IBSWIPLC"/>
      <sheetName val="IBSWIPOLSKA"/>
      <sheetName val="INDIA"/>
      <sheetName val="LUXGYPIB"/>
      <sheetName val="LUXPLACOEUR1M"/>
      <sheetName val="LUXPLACOST"/>
      <sheetName val="LUXSIMPEUR"/>
      <sheetName val="LUXSWIGYPIB"/>
      <sheetName val="LUXSWIPLACOEUR18M"/>
      <sheetName val="LUXSWIRIGAUSEUR"/>
      <sheetName val="PLCBPBGBV2"/>
      <sheetName val="PLCBPBGBV"/>
      <sheetName val="PLCBPBGBVROM"/>
      <sheetName val="PLCBPBGBVTHB"/>
      <sheetName val="PLCBPBIOGBP200M"/>
      <sheetName val="PLCBULGARIA"/>
      <sheetName val="PLCCOMMCHF5M"/>
      <sheetName val="PLCCOMMGBP2"/>
      <sheetName val="PLCCOMMGBP330M"/>
      <sheetName val="PLCCOMMGBP3"/>
      <sheetName val="PLCCOMMGBP"/>
      <sheetName val="PLCCOMMUSD5M"/>
      <sheetName val="PLCCOMMUSD"/>
      <sheetName val="PLCDAVEUR26M"/>
      <sheetName val="PLCDISTEUR50M"/>
      <sheetName val="PLCDISTPPL"/>
      <sheetName val="PLCFIN5"/>
      <sheetName val="PLCGYPSHANG"/>
      <sheetName val="PLCITALYEUR18-8M"/>
      <sheetName val="PLCMEXGBP"/>
      <sheetName val="PLCPHIGBP5M"/>
      <sheetName val="PLCPHIUSD"/>
      <sheetName val="PLCPOLSKA2"/>
      <sheetName val="PLCPOLSKA"/>
      <sheetName val="PLCSCANSEM"/>
      <sheetName val="PLCSLOVAKIA"/>
      <sheetName val="PLCSOGGBP"/>
      <sheetName val="PLCTHAIGIPSTHBIF"/>
      <sheetName val="PLCTHAIGIPSTHB"/>
      <sheetName val="PLCTHAIGIPSTHBSI"/>
      <sheetName val="PLCUKGBP300M"/>
      <sheetName val="RIGAGPLCCHF"/>
      <sheetName val="RIGAGPLCEUR2"/>
      <sheetName val="RIGAGPLCEUR"/>
      <sheetName val="RIGASPLCCZK2"/>
      <sheetName val="RIGASPLCCZK"/>
      <sheetName val="RIGHUNGPLCHUF"/>
      <sheetName val="SCONSPLC"/>
      <sheetName val="SIMPEURPLC"/>
      <sheetName val="SIMPPLC"/>
      <sheetName val="VALSIMPEUR"/>
      <sheetName val="Bank Guarantee"/>
      <sheetName val="Assumptions"/>
      <sheetName val="Requirements"/>
      <sheetName val="Storage"/>
      <sheetName val="Financial"/>
      <sheetName val="Deduction of assets"/>
      <sheetName val="GBW"/>
      <sheetName val="Ratio"/>
      <sheetName val="S &amp; A"/>
      <sheetName val="Rate analysis"/>
      <sheetName val="Detail In Door Stad"/>
      <sheetName val="Basis"/>
      <sheetName val="PL"/>
      <sheetName val="Civil-main_building3"/>
      <sheetName val="Civil-amenities_buildings3"/>
      <sheetName val="Roads-pavement-path_ways3"/>
      <sheetName val="C-Wall_BOQ3"/>
      <sheetName val="GR_slab-reinft3"/>
      <sheetName val="Stress_Calculation"/>
      <sheetName val="GUT_(2)"/>
      <sheetName val="_Net_Break_Down"/>
      <sheetName val="Tender_Summary"/>
      <sheetName val="Bill_No_2_to_8_(Rev)"/>
      <sheetName val="SPT_vs_PHI"/>
      <sheetName val="BSH_num"/>
      <sheetName val="11B_"/>
      <sheetName val="IO_List"/>
      <sheetName val="Bill_3_-_Site_Works"/>
      <sheetName val="Fill_this_out_first___"/>
      <sheetName val="GF_Columns"/>
      <sheetName val="Assumption_Inputs"/>
      <sheetName val="K_Ajeet"/>
      <sheetName val="SITE_OVERHEADS"/>
      <sheetName val="Debits_as_on_12_04_08"/>
      <sheetName val="Staff_Acco_"/>
      <sheetName val="labour_coeff"/>
      <sheetName val="macros"/>
      <sheetName val="CLAY"/>
      <sheetName val="FORM7"/>
      <sheetName val="PROGRAMME"/>
      <sheetName val="PROG SUMMARY"/>
      <sheetName val="매크로"/>
      <sheetName val="Groupings-final"/>
      <sheetName val="Sched"/>
      <sheetName val="Trial"/>
      <sheetName val="FA_Final"/>
      <sheetName val="Break up Sheet"/>
      <sheetName val="5 NOT REQUIRED"/>
      <sheetName val="Deckblatt"/>
      <sheetName val="Sludge Cal"/>
      <sheetName val="COLUMN"/>
      <sheetName val="Machinery"/>
      <sheetName val="s"/>
      <sheetName val="NLD - Assum"/>
      <sheetName val="Capex-fixed"/>
      <sheetName val="Material"/>
      <sheetName val="RA"/>
      <sheetName val="NC-CM"/>
      <sheetName val="Civil-main_building4"/>
      <sheetName val="Civil-amenities_buildings4"/>
      <sheetName val="Roads-pavement-path_ways4"/>
      <sheetName val="C-Wall_BOQ4"/>
      <sheetName val="GR_slab-reinft4"/>
      <sheetName val="PointNo_51"/>
      <sheetName val="Stress_Calculation1"/>
      <sheetName val="SITE_OVERHEADS1"/>
      <sheetName val="GUT_(2)1"/>
      <sheetName val="_Net_Break_Down1"/>
      <sheetName val="Bill_No_2_to_8_(Rev)1"/>
      <sheetName val="SPT_vs_PHI1"/>
      <sheetName val="PRECAST_lightconc-II1"/>
      <sheetName val="Fill_this_out_first___1"/>
      <sheetName val="GF_Columns1"/>
      <sheetName val="Assumption_Inputs1"/>
      <sheetName val="Bill_3_-_Site_Works1"/>
      <sheetName val="Tender_Summary1"/>
      <sheetName val="K_Ajeet1"/>
      <sheetName val="AutoOpen_Stub_Data"/>
      <sheetName val="Fin_Sum"/>
      <sheetName val="Bridges_RB"/>
      <sheetName val="Analysis_Justi_"/>
      <sheetName val="Qty_Esti_-TCS"/>
      <sheetName val="Abst_Jo"/>
      <sheetName val="BSH_num1"/>
      <sheetName val="11B_1"/>
      <sheetName val="Debits_as_on_12_04_081"/>
      <sheetName val="Staff_Acco_1"/>
      <sheetName val="labour_coeff1"/>
      <sheetName val="SUMMARY_ALL_CO'S"/>
      <sheetName val="INDIGINEOUS_ITEMS_"/>
      <sheetName val="07016,_Master_List-Major_Minor"/>
      <sheetName val="Break_up_Sheet"/>
      <sheetName val="3cd Annexure"/>
      <sheetName val="BLOCK-A (MEA.SHEET)"/>
      <sheetName val="INDEX"/>
      <sheetName val="AREAS"/>
      <sheetName val="strain"/>
      <sheetName val="Basement Budget"/>
      <sheetName val="keyword"/>
      <sheetName val="C-Wadl_BOQ2"/>
      <sheetName val="FITZ MORT 94"/>
      <sheetName val="IO_List1"/>
      <sheetName val="Deduction_of_assets"/>
      <sheetName val="C_Sum"/>
      <sheetName val="A_Sum"/>
      <sheetName val="S_&amp;_A"/>
      <sheetName val="Civil-main_building5"/>
      <sheetName val="Civil-amenities_buildings5"/>
      <sheetName val="Roads-pavement-path_ways5"/>
      <sheetName val="C-Wall_BOQ5"/>
      <sheetName val="GR_slab-reinft5"/>
      <sheetName val="PointNo_52"/>
      <sheetName val="_Net_Break_Down2"/>
      <sheetName val="GUT_(2)2"/>
      <sheetName val="Stress_Calculation2"/>
      <sheetName val="11B_2"/>
      <sheetName val="PRECAST_lightconc-II2"/>
      <sheetName val="IO_List2"/>
      <sheetName val="BSH_num2"/>
      <sheetName val="Bill_No_2_to_8_(Rev)2"/>
      <sheetName val="SPT_vs_PHI2"/>
      <sheetName val="Tender_Summary2"/>
      <sheetName val="K_Ajeet2"/>
      <sheetName val="SITE_OVERHEADS2"/>
      <sheetName val="Fill_this_out_first___2"/>
      <sheetName val="GF_Columns2"/>
      <sheetName val="Assumption_Inputs2"/>
      <sheetName val="Bill_3_-_Site_Works2"/>
      <sheetName val="Staff_Acco_2"/>
      <sheetName val="Debits_as_on_12_04_082"/>
      <sheetName val="INDIGINEOUS_ITEMS_1"/>
      <sheetName val="07016,_Master_List-Major_Minor1"/>
      <sheetName val="labour_coeff2"/>
      <sheetName val="Deduction_of_assets1"/>
      <sheetName val="AutoOpen_Stub_Data1"/>
      <sheetName val="Fin_Sum1"/>
      <sheetName val="Bridges_RB1"/>
      <sheetName val="Analysis_Justi_1"/>
      <sheetName val="Qty_Esti_-TCS1"/>
      <sheetName val="Abst_Jo1"/>
      <sheetName val="C_Sum1"/>
      <sheetName val="A_Sum1"/>
      <sheetName val="S_&amp;_A1"/>
      <sheetName val="Introduction"/>
      <sheetName val="Old"/>
      <sheetName val="Operating Statistics"/>
      <sheetName val="Financials"/>
      <sheetName val="Story Drift-Part 2"/>
      <sheetName val="SCHEDULE"/>
      <sheetName val="Database"/>
      <sheetName val="schedule nos"/>
      <sheetName val="hyperstatic"/>
      <sheetName val="RA-markate"/>
      <sheetName val="RCC,Ret. Wall"/>
      <sheetName val="factors"/>
      <sheetName val="INPUT SHEET"/>
      <sheetName val="RES-PLANNING"/>
      <sheetName val="IDCCALHYD-GOO"/>
      <sheetName val="Indices"/>
      <sheetName val="4_Annex_1_Basic_rate"/>
      <sheetName val="Detail_In_Door_Stad"/>
      <sheetName val="5_NOT_REQUIRED"/>
      <sheetName val="Bank_Guarantee"/>
      <sheetName val="Basic Rates"/>
      <sheetName val="PARAMETRES"/>
      <sheetName val="BOQ (2)"/>
      <sheetName val="A.O.R r1Str"/>
      <sheetName val="A.O.R r1"/>
      <sheetName val="A.O.R (2)"/>
      <sheetName val="SUMMARY_ALL_CO'S1"/>
      <sheetName val="Break_up_Sheet1"/>
      <sheetName val="4_Annex_1_Basic_rate1"/>
      <sheetName val="Detail_In_Door_Stad1"/>
      <sheetName val="5_NOT_REQUIRED1"/>
      <sheetName val="Bank_Guarantee1"/>
      <sheetName val="Civil-main_building6"/>
      <sheetName val="Civil-amenities_buildings6"/>
      <sheetName val="Roads-pavement-path_ways6"/>
      <sheetName val="C-Wall_BOQ6"/>
      <sheetName val="GR_slab-reinft6"/>
      <sheetName val="PointNo_53"/>
      <sheetName val="Stress_Calculation3"/>
      <sheetName val="GUT_(2)3"/>
      <sheetName val="SPT_vs_PHI3"/>
      <sheetName val="Bill_No_2_to_8_(Rev)3"/>
      <sheetName val="Bill_3_-_Site_Works3"/>
      <sheetName val="PRECAST_lightconc-II3"/>
      <sheetName val="Fill_this_out_first___3"/>
      <sheetName val="GF_Columns3"/>
      <sheetName val="Assumption_Inputs3"/>
      <sheetName val="_Net_Break_Down3"/>
      <sheetName val="BSH_num3"/>
      <sheetName val="11B_3"/>
      <sheetName val="Tender_Summary3"/>
      <sheetName val="Staff_Acco_3"/>
      <sheetName val="Debits_as_on_12_04_083"/>
      <sheetName val="SITE_OVERHEADS3"/>
      <sheetName val="labour_coeff3"/>
      <sheetName val="K_Ajeet3"/>
      <sheetName val="AutoOpen_Stub_Data2"/>
      <sheetName val="Fin_Sum2"/>
      <sheetName val="Bridges_RB2"/>
      <sheetName val="Analysis_Justi_2"/>
      <sheetName val="Qty_Esti_-TCS2"/>
      <sheetName val="Abst_Jo2"/>
      <sheetName val="INDIGINEOUS_ITEMS_2"/>
      <sheetName val="07016,_Master_List-Major_Minor2"/>
      <sheetName val="SUMMARY_ALL_CO'S2"/>
      <sheetName val="C_Sum2"/>
      <sheetName val="A_Sum2"/>
      <sheetName val="Break_up_Sheet2"/>
      <sheetName val="Deduction_of_assets2"/>
      <sheetName val="S_&amp;_A2"/>
      <sheetName val="4_Annex_1_Basic_rate2"/>
      <sheetName val="Detail_In_Door_Stad2"/>
      <sheetName val="5_NOT_REQUIRED2"/>
      <sheetName val="Bank_Guarantee2"/>
      <sheetName val="Civil-main_building7"/>
      <sheetName val="Civil-amenities_buildings7"/>
      <sheetName val="Roads-pavement-path_ways7"/>
      <sheetName val="C-Wall_BOQ7"/>
      <sheetName val="GR_slab-reinft7"/>
      <sheetName val="PointNo_54"/>
      <sheetName val="Stress_Calculation4"/>
      <sheetName val="GUT_(2)4"/>
      <sheetName val="SPT_vs_PHI4"/>
      <sheetName val="Bill_No_2_to_8_(Rev)4"/>
      <sheetName val="Bill_3_-_Site_Works4"/>
      <sheetName val="PRECAST_lightconc-II4"/>
      <sheetName val="Fill_this_out_first___4"/>
      <sheetName val="GF_Columns4"/>
      <sheetName val="Assumption_Inputs4"/>
      <sheetName val="_Net_Break_Down4"/>
      <sheetName val="BSH_num4"/>
      <sheetName val="11B_4"/>
      <sheetName val="Tender_Summary4"/>
      <sheetName val="Staff_Acco_4"/>
      <sheetName val="Debits_as_on_12_04_084"/>
      <sheetName val="SITE_OVERHEADS4"/>
      <sheetName val="labour_coeff4"/>
      <sheetName val="K_Ajeet4"/>
      <sheetName val="AutoOpen_Stub_Data3"/>
      <sheetName val="Fin_Sum3"/>
      <sheetName val="Bridges_RB3"/>
      <sheetName val="Analysis_Justi_3"/>
      <sheetName val="Qty_Esti_-TCS3"/>
      <sheetName val="Abst_Jo3"/>
      <sheetName val="INDIGINEOUS_ITEMS_3"/>
      <sheetName val="07016,_Master_List-Major_Minor3"/>
      <sheetName val="SUMMARY_ALL_CO'S3"/>
      <sheetName val="C_Sum3"/>
      <sheetName val="A_Sum3"/>
      <sheetName val="Break_up_Sheet3"/>
      <sheetName val="Deduction_of_assets3"/>
      <sheetName val="S_&amp;_A3"/>
      <sheetName val="4_Annex_1_Basic_rate3"/>
      <sheetName val="Detail_In_Door_Stad3"/>
      <sheetName val="5_NOT_REQUIRED3"/>
      <sheetName val="Bank_Guarantee3"/>
      <sheetName val="Basement_Budget"/>
      <sheetName val="PROG_SUMMARY"/>
      <sheetName val="INPUT_SHEET"/>
      <sheetName val="FITZ_MORT_94"/>
      <sheetName val="Civil-main_building8"/>
      <sheetName val="Civil-amenities_buildings8"/>
      <sheetName val="Roads-pavement-path_ways8"/>
      <sheetName val="C-Wall_BOQ8"/>
      <sheetName val="GR_slab-reinft8"/>
      <sheetName val="PointNo_55"/>
      <sheetName val="Stress_Calculation5"/>
      <sheetName val="GUT_(2)5"/>
      <sheetName val="SPT_vs_PHI5"/>
      <sheetName val="Bill_No_2_to_8_(Rev)5"/>
      <sheetName val="Bill_3_-_Site_Works5"/>
      <sheetName val="PRECAST_lightconc-II5"/>
      <sheetName val="Fill_this_out_first___5"/>
      <sheetName val="GF_Columns5"/>
      <sheetName val="Assumption_Inputs5"/>
      <sheetName val="_Net_Break_Down5"/>
      <sheetName val="BSH_num5"/>
      <sheetName val="11B_5"/>
      <sheetName val="Tender_Summary5"/>
      <sheetName val="Staff_Acco_5"/>
      <sheetName val="Debits_as_on_12_04_085"/>
      <sheetName val="SITE_OVERHEADS5"/>
      <sheetName val="labour_coeff5"/>
      <sheetName val="K_Ajeet5"/>
      <sheetName val="AutoOpen_Stub_Data4"/>
      <sheetName val="Fin_Sum4"/>
      <sheetName val="Bridges_RB4"/>
      <sheetName val="Analysis_Justi_4"/>
      <sheetName val="Qty_Esti_-TCS4"/>
      <sheetName val="Abst_Jo4"/>
      <sheetName val="INDIGINEOUS_ITEMS_4"/>
      <sheetName val="07016,_Master_List-Major_Minor4"/>
      <sheetName val="SUMMARY_ALL_CO'S4"/>
      <sheetName val="C_Sum4"/>
      <sheetName val="A_Sum4"/>
      <sheetName val="Break_up_Sheet4"/>
      <sheetName val="Deduction_of_assets4"/>
      <sheetName val="S_&amp;_A4"/>
      <sheetName val="4_Annex_1_Basic_rate4"/>
      <sheetName val="Detail_In_Door_Stad4"/>
      <sheetName val="5_NOT_REQUIRED4"/>
      <sheetName val="Bank_Guarantee4"/>
      <sheetName val="Basement_Budget1"/>
      <sheetName val="PROG_SUMMARY1"/>
      <sheetName val="INPUT_SHEET1"/>
      <sheetName val="FITZ_MORT_941"/>
      <sheetName val="Mat_Cost"/>
      <sheetName val="Ave.wtd.rates"/>
      <sheetName val="Material "/>
      <sheetName val="Labour &amp; Plant"/>
      <sheetName val="9. Package split - Cost "/>
      <sheetName val="strand"/>
      <sheetName val="Annex"/>
      <sheetName val="ecc_res"/>
      <sheetName val="Legend"/>
      <sheetName val="AoR Finishing"/>
      <sheetName val="DETAILED  BOQ"/>
      <sheetName val="Control"/>
      <sheetName val="HEAD"/>
      <sheetName val="CASHFLOWS"/>
      <sheetName val="Works - Quote Sheet"/>
      <sheetName val="LABOUR RATE"/>
      <sheetName val="Material Rate"/>
      <sheetName val="MASTER_RATE ANALYSIS"/>
      <sheetName val="PA- Consutant "/>
      <sheetName val="annx-1(Boq)"/>
      <sheetName val="IRP all H2s"/>
      <sheetName val="合成単価作成表-BLDG"/>
      <sheetName val="CABLERET"/>
      <sheetName val="Bill 1"/>
      <sheetName val="Bill 2"/>
      <sheetName val="Bill 3"/>
      <sheetName val="Bill 4"/>
      <sheetName val="Bill 5"/>
      <sheetName val="Bill 6"/>
      <sheetName val="Bill 7"/>
      <sheetName val="Makro1"/>
      <sheetName val="Balance sheet DCCDL Nov 06"/>
      <sheetName val=" COP 100%"/>
      <sheetName val="lookups"/>
      <sheetName val="ref"/>
      <sheetName val="Top sheet"/>
      <sheetName val="Certificate"/>
      <sheetName val="Abstract"/>
      <sheetName val="M-Book for Conc"/>
      <sheetName val="LEVELS"/>
      <sheetName val="Rein.Steel"/>
      <sheetName val="M-Book for FW"/>
      <sheetName val="M-Book others"/>
      <sheetName val="M-Book filling"/>
      <sheetName val="beam-reinft-machine rm"/>
      <sheetName val="jobhist"/>
      <sheetName val="A-Property"/>
      <sheetName val="Allg. Angaben"/>
      <sheetName val="Auswahl"/>
      <sheetName val="9-1차이내역"/>
      <sheetName val="@risk rents and incentives"/>
      <sheetName val="Car park lease"/>
      <sheetName val="Net rent analysis"/>
      <sheetName val="IO_List3"/>
      <sheetName val="BOQ_(2)"/>
      <sheetName val="BLOCK-A_(MEA_SHEET)"/>
      <sheetName val="A_O_R_r1Str"/>
      <sheetName val="A_O_R_r1"/>
      <sheetName val="A_O_R_(2)"/>
      <sheetName val="FitOutConfCentre"/>
      <sheetName val="SOA"/>
      <sheetName val="Podium Areas"/>
      <sheetName val="A.O.R."/>
      <sheetName val="Bechtel Norms"/>
      <sheetName val="CS PIPING"/>
      <sheetName val="TECH DATA"/>
      <sheetName val="ENCL9"/>
      <sheetName val="LMP"/>
      <sheetName val="old_serial no."/>
      <sheetName val="tot_ass_9697"/>
      <sheetName val="Structure Bills Qty"/>
      <sheetName val="beam-reinft-IIInd floor"/>
      <sheetName val="office"/>
      <sheetName val="Lab"/>
      <sheetName val="환율"/>
      <sheetName val="MAINBS1"/>
      <sheetName val="Ave_wtd_rates"/>
      <sheetName val="Material_"/>
      <sheetName val="Sludge_Cal"/>
      <sheetName val="NLD_-_Assum"/>
      <sheetName val="3cd_Annexure"/>
      <sheetName val="Operating_Statistics"/>
      <sheetName val="Bechtel_Norms"/>
      <sheetName val="CS_PIPING"/>
      <sheetName val="TECH_DATA"/>
      <sheetName val="Story_Drift-Part_2"/>
      <sheetName val="schedule_nos"/>
      <sheetName val="RCC,Ret__Wall"/>
      <sheetName val="final abstract"/>
      <sheetName val="LABOUR_RATE"/>
      <sheetName val="Material_Rate"/>
      <sheetName val="schedule_nos1"/>
      <sheetName val="LABOUR_RATE1"/>
      <sheetName val="Material_Rate1"/>
      <sheetName val="Dropdown list"/>
      <sheetName val="Allg__Angaben"/>
      <sheetName val="CFForecast detail"/>
      <sheetName val="TBAL9697 -group wise  sdpl"/>
      <sheetName val="Project Budget Worksheet"/>
      <sheetName val="Internet"/>
      <sheetName val="Estimate"/>
      <sheetName val="P&amp;LSum"/>
      <sheetName val="BaseWeight"/>
      <sheetName val="UPA(Part C,D,E,G,H)"/>
      <sheetName val="Materials"/>
      <sheetName val="Sec-I"/>
      <sheetName val="CEP99"/>
      <sheetName val="UNP-NCW "/>
      <sheetName val="Detail P&amp;L"/>
      <sheetName val="Assumption Sheet"/>
      <sheetName val="PriceSummary"/>
      <sheetName val="Set"/>
      <sheetName val="Headings"/>
      <sheetName val="SP Break Up"/>
      <sheetName val="MN T.B."/>
      <sheetName val="BS1"/>
      <sheetName val="Ground Floor"/>
      <sheetName val="Measurment"/>
      <sheetName val="Data sheet"/>
      <sheetName val="IO's"/>
      <sheetName val="Prices"/>
      <sheetName val="calcul"/>
      <sheetName val="Load Details(B2)"/>
      <sheetName val="DSLP"/>
      <sheetName val="Fin. Assumpt. - Sensitivities"/>
      <sheetName val="v"/>
      <sheetName val="Site Dev BOQ"/>
      <sheetName val="Sch"/>
      <sheetName val="Assump"/>
      <sheetName val="Inter Co Balances"/>
      <sheetName val="MFG"/>
      <sheetName val="water prop."/>
      <sheetName val="Transfer"/>
      <sheetName val="sheet6"/>
      <sheetName val="갑지"/>
      <sheetName val="MG"/>
      <sheetName val="Section 3_DPR"/>
      <sheetName val="inter"/>
      <sheetName val="SC Cost FEB 03"/>
      <sheetName val="Mahole"/>
      <sheetName val="Sales &amp; Prod"/>
      <sheetName val="Source Ref."/>
      <sheetName val="RESULT"/>
      <sheetName val="General"/>
      <sheetName val="Amort"/>
      <sheetName val="AmortRef"/>
      <sheetName val="accom cash"/>
      <sheetName val="para"/>
      <sheetName val="kppl pl"/>
      <sheetName val="MISBS"/>
      <sheetName val="BOD PL NEW"/>
      <sheetName val="Balance_sheet_DCCDL_Nov_06"/>
      <sheetName val="_COP_100%"/>
      <sheetName val="Rate_analysis"/>
      <sheetName val="Basic_Rates"/>
      <sheetName val="Det_Des"/>
      <sheetName val="Intro"/>
      <sheetName val="S1BOQ"/>
      <sheetName val="Flanged Beams"/>
      <sheetName val="Rectangular Beam"/>
      <sheetName val="TYPE-1"/>
      <sheetName val="TYPE-3"/>
      <sheetName val="BC &amp; MNB "/>
      <sheetName val="XREF"/>
      <sheetName val="Debtors analysis"/>
      <sheetName val="Total Debtors Ageing Sheet"/>
      <sheetName val="Consol"/>
      <sheetName val="Revised Summary"/>
      <sheetName val="Electrical"/>
      <sheetName val="Summary"/>
      <sheetName val="Debtors Service Tax"/>
      <sheetName val="Wastage"/>
      <sheetName val="Stru Labour rate"/>
      <sheetName val="Curing Analysis"/>
      <sheetName val="Formwork"/>
      <sheetName val="MS items"/>
      <sheetName val="Tunnel Fw"/>
      <sheetName val="precast"/>
      <sheetName val="Light fitt"/>
      <sheetName val="grid"/>
      <sheetName val="GN-ST-10"/>
      <sheetName val="Area Statement"/>
      <sheetName val="train cash"/>
      <sheetName val="FT-05-02IsoBOM"/>
      <sheetName val="(Do not delete)"/>
      <sheetName val="Voucher"/>
      <sheetName val="Cal"/>
      <sheetName val="hyperstatic-3"/>
      <sheetName val="Slope area"/>
      <sheetName val="TABLES"/>
      <sheetName val="Contractor-1-every floor 5%"/>
      <sheetName val="Modular"/>
      <sheetName val="目录"/>
      <sheetName val="STAFFSCHED "/>
      <sheetName val="Civil-main_building9"/>
      <sheetName val="Civil-amenities_buildings9"/>
      <sheetName val="Roads-pavement-path_ways9"/>
      <sheetName val="C-Wall_BOQ9"/>
      <sheetName val="GR_slab-reinft9"/>
      <sheetName val="GUT_(2)6"/>
      <sheetName val="PointNo_56"/>
      <sheetName val="Stress_Calculation6"/>
      <sheetName val="_Net_Break_Down6"/>
      <sheetName val="Bill_No_2_to_8_(Rev)6"/>
      <sheetName val="SPT_vs_PHI6"/>
      <sheetName val="PRECAST_lightconc-II6"/>
      <sheetName val="Fill_this_out_first___6"/>
      <sheetName val="GF_Columns6"/>
      <sheetName val="Assumption_Inputs6"/>
      <sheetName val="Bill_3_-_Site_Works6"/>
      <sheetName val="SITE_OVERHEADS6"/>
      <sheetName val="Tender_Summary6"/>
      <sheetName val="BSH_num6"/>
      <sheetName val="K_Ajeet6"/>
      <sheetName val="SUMMARY_ALL_CO'S5"/>
      <sheetName val="11B_6"/>
      <sheetName val="AutoOpen_Stub_Data5"/>
      <sheetName val="Bridges_RB5"/>
      <sheetName val="Analysis_Justi_5"/>
      <sheetName val="Qty_Esti_-TCS5"/>
      <sheetName val="Abst_Jo5"/>
      <sheetName val="Fin_Sum5"/>
      <sheetName val="Debits_as_on_12_04_086"/>
      <sheetName val="Staff_Acco_6"/>
      <sheetName val="labour_coeff6"/>
      <sheetName val="Break_up_Sheet5"/>
      <sheetName val="INDIGINEOUS_ITEMS_5"/>
      <sheetName val="07016,_Master_List-Major_Minor5"/>
      <sheetName val="C_Sum5"/>
      <sheetName val="A_Sum5"/>
      <sheetName val="Deduction_of_assets5"/>
      <sheetName val="S_&amp;_A5"/>
      <sheetName val="4_Annex_1_Basic_rate5"/>
      <sheetName val="Detail_In_Door_Stad5"/>
      <sheetName val="Bank_Guarantee5"/>
      <sheetName val="BOQ_(2)1"/>
      <sheetName val="BLOCK-A_(MEA_SHEET)1"/>
      <sheetName val="A_O_R_r1Str1"/>
      <sheetName val="A_O_R_r11"/>
      <sheetName val="A_O_R_(2)1"/>
      <sheetName val="PROG_SUMMARY2"/>
      <sheetName val="5_NOT_REQUIRED5"/>
      <sheetName val="A_O_R_"/>
      <sheetName val="Basement_Budget2"/>
      <sheetName val="INPUT_SHEET2"/>
      <sheetName val="FITZ_MORT_942"/>
      <sheetName val="AoR_Finishing"/>
      <sheetName val="Labour_&amp;_Plant"/>
      <sheetName val="Podium_Areas"/>
      <sheetName val="Bill_1"/>
      <sheetName val="Bill_2"/>
      <sheetName val="Bill_3"/>
      <sheetName val="Bill_4"/>
      <sheetName val="Bill_5"/>
      <sheetName val="Bill_6"/>
      <sheetName val="Bill_7"/>
      <sheetName val="9__Package_split_-_Cost_"/>
      <sheetName val="DETAILED__BOQ"/>
      <sheetName val="Area"/>
      <sheetName val="DETAIL SHEET"/>
      <sheetName val="Civil Boq"/>
      <sheetName val="Core Data"/>
      <sheetName val="A"/>
      <sheetName val="Boq- Civil"/>
      <sheetName val="Input &amp; Calculations"/>
      <sheetName val="Values"/>
      <sheetName val="Conc"/>
      <sheetName val="Excv-Qty&amp;Rate"/>
      <sheetName val="Administrative Prices"/>
      <sheetName val="galfareqp"/>
      <sheetName val="Interest"/>
      <sheetName val="Project Master"/>
      <sheetName val="Staff"/>
      <sheetName val="Phasing"/>
      <sheetName val="Extra Item"/>
      <sheetName val="d-safe specs"/>
      <sheetName val="Valves"/>
      <sheetName val="MS Rates"/>
      <sheetName val="Array"/>
      <sheetName val="Array (2)"/>
      <sheetName val="Validation sheet"/>
      <sheetName val="col-reinft1"/>
      <sheetName val="basdat"/>
      <sheetName val="B'Sheet"/>
      <sheetName val="Asmp"/>
      <sheetName val="BBH"/>
      <sheetName val="raw"/>
      <sheetName val="MASTER"/>
      <sheetName val="CROSS-SECTION"/>
      <sheetName val="Mechanical"/>
      <sheetName val="Indirects "/>
      <sheetName val="I&amp;C"/>
      <sheetName val="LSS"/>
      <sheetName val="Segment Report working"/>
      <sheetName val="Fixed Assets &amp; Depreciation"/>
      <sheetName val="CAT_5"/>
      <sheetName val="std.wt."/>
      <sheetName val="IT-Fri Base"/>
      <sheetName val="CMISFA"/>
      <sheetName val="00acttbl"/>
      <sheetName val="PSrpt25"/>
      <sheetName val="00budtbl"/>
      <sheetName val="B1"/>
      <sheetName val="Back_Cal_for OMC"/>
      <sheetName val="ACE-IN"/>
      <sheetName val="NANJING"/>
      <sheetName val="AILC004"/>
      <sheetName val="SOR"/>
      <sheetName val="STK"/>
      <sheetName val="CSA"/>
      <sheetName val="Setup Variables"/>
      <sheetName val="BSheet"/>
      <sheetName val="P&amp;L"/>
      <sheetName val="Schedule (2)"/>
      <sheetName val="RA-14"/>
      <sheetName val="RA-13"/>
      <sheetName val="Covering letter"/>
      <sheetName val=" CERTIFICATE   PAYMENT Vendor"/>
      <sheetName val="Payment Abstract Vendor"/>
      <sheetName val="Cummulative Steel &amp; RMC Vendor "/>
      <sheetName val="Vendor Wise Cu. Steel &amp; RMC"/>
      <sheetName val="Ultratech"/>
      <sheetName val="ACC"/>
      <sheetName val="Nuvoco"/>
      <sheetName val="JP"/>
      <sheetName val="Prism johnson"/>
      <sheetName val="RMC Qty. Cumulative vendor wise"/>
      <sheetName val="RMC Backup"/>
      <sheetName val="RMC Invoice"/>
      <sheetName val="Material Rates"/>
      <sheetName val="Reinforcement Steel"/>
      <sheetName val="Feb'19 Tax Invoice"/>
      <sheetName val="Structural Steel"/>
      <sheetName val="Feb'19 Tax Invoice (2)"/>
      <sheetName val="Qty. Cumulative Abstract"/>
      <sheetName val="Bed Class"/>
      <sheetName val="Cd"/>
      <sheetName val="D2_CO"/>
      <sheetName val="CPA_EQP"/>
      <sheetName val="ESCON"/>
      <sheetName val="BALAN1"/>
      <sheetName val="405"/>
      <sheetName val="427"/>
      <sheetName val="403"/>
      <sheetName val="Legal Risk Analysis"/>
      <sheetName val="Lists"/>
      <sheetName val="M.S."/>
      <sheetName val="Actuals_by_Job"/>
      <sheetName val="Outlook"/>
      <sheetName val="CIP Summary 0012"/>
      <sheetName val="CIP Detail 0011"/>
      <sheetName val="VLOOK"/>
      <sheetName val="99 to 00 blns"/>
      <sheetName val="SCHEDULE OF RATES"/>
      <sheetName val="Inc.St.-Link"/>
      <sheetName val="Settings"/>
      <sheetName val="FINA"/>
      <sheetName val="Area Analysis"/>
      <sheetName val="Sensitivity"/>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REF!"/>
      <sheetName val="Lead"/>
      <sheetName val="PPA Summary"/>
      <sheetName val="Cover"/>
      <sheetName val="L (4)"/>
      <sheetName val="NOT FULL RESTRAINT"/>
      <sheetName val="BEARING &amp; BUCKLING"/>
      <sheetName val="PFC"/>
      <sheetName val="UC"/>
      <sheetName val="RSJ"/>
      <sheetName val="purpose&amp;input"/>
      <sheetName val="Detail 1A"/>
      <sheetName val="Rate"/>
      <sheetName val="TRIAL BALANCE"/>
      <sheetName val="info"/>
      <sheetName val="Door"/>
      <sheetName val="Sheet3 (2)"/>
      <sheetName val="Materials Cost(PCC)"/>
      <sheetName val="Analisa STR"/>
      <sheetName val="wordsdata"/>
      <sheetName val="BRP&amp;L"/>
      <sheetName val="FILIALE"/>
      <sheetName val="BUDGET"/>
      <sheetName val="ESI &amp; PF DELHI"/>
      <sheetName val="Basic Rate"/>
      <sheetName val="NLD_-_Assum1"/>
      <sheetName val="3cd_Annexure1"/>
      <sheetName val="Sludge_Cal1"/>
      <sheetName val="Operating_Statistics1"/>
      <sheetName val="Story_Drift-Part_21"/>
      <sheetName val="RCC,Ret__Wall1"/>
      <sheetName val="Ave_wtd_rates1"/>
      <sheetName val="Material_1"/>
      <sheetName val="beam-reinft-IIInd_floor"/>
      <sheetName val="Works_-_Quote_Sheet"/>
      <sheetName val="MASTER_RATE_ANALYSIS"/>
      <sheetName val="PA-_Consutant_"/>
      <sheetName val="Bechtel_Norms1"/>
      <sheetName val="CS_PIPING1"/>
      <sheetName val="TECH_DATA1"/>
      <sheetName val="Top_sheet"/>
      <sheetName val="M-Book_for_Conc"/>
      <sheetName val="Rein_Steel"/>
      <sheetName val="M-Book_for_FW"/>
      <sheetName val="M-Book_others"/>
      <sheetName val="M-Book_filling"/>
      <sheetName val="beam-reinft-machine_rm"/>
      <sheetName val="Structure_Bills_Qty"/>
      <sheetName val="IRP_all_H2s"/>
      <sheetName val="@risk_rents_and_incentives"/>
      <sheetName val="Car_park_lease"/>
      <sheetName val="Net_rent_analysis"/>
      <sheetName val="old_serial_no_"/>
      <sheetName val="SP_Break_Up"/>
      <sheetName val="Inter_Co_Balances"/>
      <sheetName val="water_prop_"/>
      <sheetName val="Plant Used in CATS "/>
      <sheetName val="Data Tables"/>
      <sheetName val="MERGED CODES &amp; NAMES"/>
      <sheetName val="TYPES"/>
      <sheetName val="MPC"/>
      <sheetName val="cost summary"/>
      <sheetName val="Elec Summ"/>
      <sheetName val="ELEC BOQ"/>
      <sheetName val="TRACK BUSWAY"/>
      <sheetName val="BBT"/>
      <sheetName val="LIGHTING"/>
      <sheetName val="LMS"/>
      <sheetName val="DontDelete"/>
      <sheetName val="Costcal"/>
      <sheetName val="1.01 (a)"/>
      <sheetName val="Khalifa Parkf"/>
      <sheetName val="C3"/>
      <sheetName val="3.9 Tension Crash Barrier"/>
      <sheetName val="3.12 Stone Pitching"/>
      <sheetName val="1.Prelims"/>
      <sheetName val="3.10 Misc. Concrete"/>
      <sheetName val="3.13 14 Protection"/>
      <sheetName val="3.8 ROAD signs"/>
      <sheetName val="Sump_cal"/>
      <sheetName val="dlvoid"/>
      <sheetName val="Z1_DATA"/>
      <sheetName val="MHNO_LEV"/>
      <sheetName val="compu(format)"/>
      <sheetName val="Pile cap"/>
      <sheetName val="Cash2"/>
      <sheetName val="Z"/>
      <sheetName val="기계내역서"/>
      <sheetName val="discounts_XP140"/>
      <sheetName val="fco"/>
      <sheetName val="AV"/>
      <sheetName val="Gen Info"/>
      <sheetName val="Elect."/>
      <sheetName val=" COP"/>
      <sheetName val="Basic_Rates1"/>
      <sheetName val="Rate_analysis1"/>
      <sheetName val="Balance_sheet_DCCDL_Nov_061"/>
      <sheetName val="_COP_100%1"/>
      <sheetName val="Allg__Angaben1"/>
      <sheetName val="Sales_&amp;_Prod"/>
      <sheetName val="Revised_Summary"/>
      <sheetName val="BOD_PL_NEW"/>
      <sheetName val="final_abstract"/>
      <sheetName val="UNP-NCW_"/>
      <sheetName val="Section_3_DPR"/>
      <sheetName val="Flanged_Beams"/>
      <sheetName val="Rectangular_Beam"/>
      <sheetName val="BC_&amp;_MNB_"/>
      <sheetName val="Debtors_analysis"/>
      <sheetName val="Total_Debtors_Ageing_Sheet"/>
      <sheetName val="CFForecast_detail"/>
      <sheetName val="TBAL9697_-group_wise__sdpl"/>
      <sheetName val="Project_Budget_Worksheet"/>
      <sheetName val="Detail_P&amp;L"/>
      <sheetName val="Assumption_Sheet"/>
      <sheetName val="kppl_pl"/>
      <sheetName val="R.A."/>
      <sheetName val="외화금융(97-03)"/>
      <sheetName val="연돌일위집계"/>
      <sheetName val="Revenue-Invoicewise"/>
      <sheetName val="1010"/>
      <sheetName val="1020"/>
      <sheetName val="1090"/>
      <sheetName val="Westin FOH &amp; BOH Split"/>
      <sheetName val="COST"/>
      <sheetName val="girder"/>
      <sheetName val="Rocker"/>
      <sheetName val="L&amp;T formwork system"/>
      <sheetName val="Pile load test-Rock anchor"/>
      <sheetName val="Design (singly reinforced beam)"/>
      <sheetName val="Foundation"/>
      <sheetName val="Hoop stress"/>
      <sheetName val="strongback"/>
      <sheetName val="D-Shackle"/>
      <sheetName val="ISA"/>
      <sheetName val="ISMB"/>
      <sheetName val="shoring using plates"/>
      <sheetName val="ISMC"/>
      <sheetName val="Gantry track"/>
      <sheetName val="DESIGN-abut-pile fdn.-11"/>
      <sheetName val="-ve Variation-Annx-1-Page-1"/>
      <sheetName val="Annexure-1-Page-2"/>
      <sheetName val="Summary of variations-Anx-2"/>
      <sheetName val="CTP-13-Abstract-On Account Bill"/>
      <sheetName val="Abstract-including GST"/>
      <sheetName val="Abstract-Annexure-1"/>
      <sheetName val="Civil-main_building10"/>
      <sheetName val="Civil-amenities_buildings10"/>
      <sheetName val="Roads-pavement-path_ways10"/>
      <sheetName val="C-Wall_BOQ10"/>
      <sheetName val="GR_slab-reinft10"/>
      <sheetName val="PointNo_57"/>
      <sheetName val="_Net_Break_Down7"/>
      <sheetName val="GUT_(2)7"/>
      <sheetName val="Stress_Calculation7"/>
      <sheetName val="11B_7"/>
      <sheetName val="Assumption_Inputs7"/>
      <sheetName val="PRECAST_lightconc-II7"/>
      <sheetName val="SPT_vs_PHI7"/>
      <sheetName val="Bill_No_2_to_8_(Rev)7"/>
      <sheetName val="Bill_3_-_Site_Works7"/>
      <sheetName val="Fill_this_out_first___7"/>
      <sheetName val="GF_Columns7"/>
      <sheetName val="BSH_num7"/>
      <sheetName val="Tender_Summary7"/>
      <sheetName val="K_Ajeet7"/>
      <sheetName val="SITE_OVERHEADS7"/>
      <sheetName val="C_Sum6"/>
      <sheetName val="A_Sum6"/>
      <sheetName val="Fin_Sum6"/>
      <sheetName val="INDIGINEOUS_ITEMS_6"/>
      <sheetName val="07016,_Master_List-Major_Minor6"/>
      <sheetName val="Staff_Acco_7"/>
      <sheetName val="labour_coeff7"/>
      <sheetName val="Debits_as_on_12_04_087"/>
      <sheetName val="AutoOpen_Stub_Data6"/>
      <sheetName val="Bridges_RB6"/>
      <sheetName val="Analysis_Justi_6"/>
      <sheetName val="Qty_Esti_-TCS6"/>
      <sheetName val="Abst_Jo6"/>
      <sheetName val="4_Annex_1_Basic_rate6"/>
      <sheetName val="SUMMARY_ALL_CO'S6"/>
      <sheetName val="Break_up_Sheet6"/>
      <sheetName val="Detail_In_Door_Stad6"/>
      <sheetName val="Deduction_of_assets6"/>
      <sheetName val="S_&amp;_A6"/>
      <sheetName val="Bank_Guarantee6"/>
      <sheetName val="NLD_-_Assum2"/>
      <sheetName val="5_NOT_REQUIRED6"/>
      <sheetName val="3cd_Annexure2"/>
      <sheetName val="PROG_SUMMARY3"/>
      <sheetName val="Basement_Budget3"/>
      <sheetName val="INPUT_SHEET3"/>
      <sheetName val="FITZ_MORT_943"/>
      <sheetName val="A_O_R_r1Str2"/>
      <sheetName val="A_O_R_r12"/>
      <sheetName val="A_O_R_(2)2"/>
      <sheetName val="Sludge_Cal2"/>
      <sheetName val="BLOCK-A_(MEA_SHEET)2"/>
      <sheetName val="Operating_Statistics2"/>
      <sheetName val="Story_Drift-Part_22"/>
      <sheetName val="schedule_nos2"/>
      <sheetName val="RCC,Ret__Wall2"/>
      <sheetName val="Ave_wtd_rates2"/>
      <sheetName val="Material_2"/>
      <sheetName val="BOQ_(2)2"/>
      <sheetName val="AoR_Finishing1"/>
      <sheetName val="9__Package_split_-_Cost_1"/>
      <sheetName val="Labour_&amp;_Plant1"/>
      <sheetName val="DETAILED__BOQ1"/>
      <sheetName val="Bill_11"/>
      <sheetName val="Bill_21"/>
      <sheetName val="Bill_31"/>
      <sheetName val="Bill_41"/>
      <sheetName val="Bill_51"/>
      <sheetName val="Bill_61"/>
      <sheetName val="Bill_71"/>
      <sheetName val="Bechtel_Norms2"/>
      <sheetName val="CS_PIPING2"/>
      <sheetName val="TECH_DATA2"/>
      <sheetName val="MASTER_RATE_ANALYSIS1"/>
      <sheetName val="PA-_Consutant_1"/>
      <sheetName val="Works_-_Quote_Sheet1"/>
      <sheetName val="Top_sheet1"/>
      <sheetName val="M-Book_for_Conc1"/>
      <sheetName val="Rein_Steel1"/>
      <sheetName val="M-Book_for_FW1"/>
      <sheetName val="M-Book_others1"/>
      <sheetName val="M-Book_filling1"/>
      <sheetName val="beam-reinft-machine_rm1"/>
      <sheetName val="Podium_Areas1"/>
      <sheetName val="Structure_Bills_Qty1"/>
      <sheetName val="water_prop_1"/>
      <sheetName val="beam-reinft-IIInd_floor1"/>
      <sheetName val="IRP_all_H2s1"/>
      <sheetName val="old_serial_no_1"/>
      <sheetName val="@risk_rents_and_incentives1"/>
      <sheetName val="Car_park_lease1"/>
      <sheetName val="Net_rent_analysis1"/>
      <sheetName val="A_O_R_1"/>
      <sheetName val="Inter_Co_Balances1"/>
      <sheetName val="SP_Break_Up1"/>
      <sheetName val="Debtors_Service_Tax"/>
      <sheetName val="Stru_Labour_rate"/>
      <sheetName val="Curing_Analysis"/>
      <sheetName val="MS_items"/>
      <sheetName val="Tunnel_Fw"/>
      <sheetName val="Segment_Report_working"/>
      <sheetName val="Fixed_Assets_&amp;_Depreciation"/>
      <sheetName val="(Do_not_delete)"/>
      <sheetName val="SC_Cost_FEB_03"/>
      <sheetName val="Slope_area"/>
      <sheetName val="MS_Rates"/>
      <sheetName val="Array_(2)"/>
      <sheetName val="accom_cash"/>
      <sheetName val="Light_fitt"/>
      <sheetName val="Load_Details(B2)"/>
      <sheetName val="Boq-_Civil"/>
      <sheetName val="Input_&amp;_Calculations"/>
      <sheetName val="Back_Cal_for_OMC"/>
      <sheetName val="MN_T_B_"/>
      <sheetName val="Administrative_Prices"/>
      <sheetName val="Civil_Boq"/>
      <sheetName val="d-safe_specs"/>
      <sheetName val="IT-Fri_Base"/>
      <sheetName val="std_wt_"/>
      <sheetName val="Extra_Item"/>
      <sheetName val="UPA(Part_C,D,E,G,H)"/>
      <sheetName val="Inc_St_-Link"/>
      <sheetName val="Area_Statement"/>
      <sheetName val="Source_Ref_"/>
      <sheetName val="Plant_Used_in_CATS_"/>
      <sheetName val="Project_Master"/>
      <sheetName val="Fin__Assumpt__-_Sensitivities"/>
      <sheetName val="train_cash"/>
      <sheetName val="ESI_&amp;_PF_DELHI"/>
      <sheetName val="Basic_Rate"/>
      <sheetName val="Site_Dev_BOQ"/>
      <sheetName val="R_A_"/>
      <sheetName val="BULook"/>
      <sheetName val="SEW4"/>
      <sheetName val="FORM-16"/>
      <sheetName val="SCHEDULE (3)"/>
      <sheetName val="Power &amp; Fuel(SMS)"/>
      <sheetName val="Indirects_"/>
      <sheetName val="사진"/>
      <sheetName val="BASIS -DEC 08"/>
      <sheetName val="QTY-CRUST-SR"/>
      <sheetName val="Torque"/>
      <sheetName val="DOKA shutter design"/>
      <sheetName val="Steel shutter design"/>
      <sheetName val="Trestle"/>
      <sheetName val="gantry cranes"/>
      <sheetName val="bolted splice"/>
      <sheetName val="Bolts"/>
      <sheetName val="piercap truss"/>
      <sheetName val="pipe"/>
      <sheetName val="Table 19"/>
      <sheetName val="Top Sheet (PZ)"/>
      <sheetName val="Daywise Summary"/>
      <sheetName val="Road wise summary"/>
      <sheetName val="Amit Singh"/>
      <sheetName val="RP Pal"/>
      <sheetName val="Debender"/>
      <sheetName val="SWD Road WISE Total Qty"/>
      <sheetName val="Done Qty. FTM"/>
      <sheetName val="Precast Scope"/>
      <sheetName val="KPN"/>
      <sheetName val="AS (PZ)"/>
      <sheetName val="KPN (PZ)"/>
      <sheetName val="Oracle Upload"/>
      <sheetName val="base"/>
      <sheetName val="qty schedule"/>
      <sheetName val=""/>
      <sheetName val="VALUE2_5"/>
      <sheetName val="GRSummary"/>
      <sheetName val="Beamsked"/>
      <sheetName val="Columnsked"/>
      <sheetName val="PC"/>
      <sheetName val="Material Advance"/>
      <sheetName val="MB"/>
      <sheetName val="Tax-Invoice.(Interior &amp; Civil)"/>
      <sheetName val="Appendix - 1"/>
      <sheetName val="BOQ ID"/>
      <sheetName val="MB ID"/>
      <sheetName val="Appendix - 10"/>
      <sheetName val="Nt Items"/>
      <sheetName val="A,TL,Toi"/>
      <sheetName val="Swati RA"/>
      <sheetName val="Neyo RA"/>
      <sheetName val="Sheet18"/>
      <sheetName val="basic-data"/>
      <sheetName val="mem-property"/>
      <sheetName val="stub Column"/>
      <sheetName val="BTI"/>
      <sheetName val="CHR"/>
      <sheetName val="HML"/>
      <sheetName val="HSR"/>
      <sheetName val="JPR"/>
      <sheetName val="KRNL"/>
      <sheetName val="LKNW"/>
      <sheetName val="LDH"/>
      <sheetName val="ORI"/>
      <sheetName val="WB"/>
      <sheetName val="NotesRelatedParties_1"/>
      <sheetName val="NotesSubsidiaryInformation_1"/>
      <sheetName val="Summ"/>
      <sheetName val="SubAnlysis"/>
      <sheetName val="Name Lists"/>
      <sheetName val="Rate Analysis "/>
      <sheetName val="Final MEASUREMENT RA - 04"/>
      <sheetName val="foot-slab reinft"/>
      <sheetName val="Summary of Abst."/>
      <sheetName val="Civil Works"/>
      <sheetName val="???? ??? ??"/>
      <sheetName val="Shape of Bars"/>
      <sheetName val="PtList Above (300x300)"/>
      <sheetName val="PtList Below (300x300)"/>
      <sheetName val="CONNECT"/>
      <sheetName val="April Analysts"/>
      <sheetName val="DETAIL_SHEET"/>
      <sheetName val="Core_Data"/>
      <sheetName val="Analisa_STR"/>
      <sheetName val="cost_summary"/>
      <sheetName val="Elec_Summ"/>
      <sheetName val="ELEC_BOQ1"/>
      <sheetName val="TRACK_BUSWAY"/>
      <sheetName val="rent_&amp;_value_assumptions"/>
      <sheetName val="PSDA_detailed_cashflow_for_debt"/>
      <sheetName val="Financing_Assumptions"/>
      <sheetName val="Equity_shares_analysis"/>
      <sheetName val="Loan_B_interest"/>
      <sheetName val="Loan_covenant_tests"/>
      <sheetName val="Rents_committed"/>
      <sheetName val="LCC_profit_share_calculation"/>
      <sheetName val="Loan_A_interest_guarantee"/>
      <sheetName val="Area_Analysis"/>
      <sheetName val="L_(4)"/>
      <sheetName val="Oracle_Upload"/>
      <sheetName val="qty_schedule"/>
      <sheetName val="Westin_FOH_&amp;_BOH_Split"/>
      <sheetName val="Validation_sheet"/>
      <sheetName val="Boq Block A"/>
      <sheetName val="Item- Compact"/>
      <sheetName val="ASS"/>
      <sheetName val="Cases"/>
      <sheetName val="Labour &amp; Material"/>
      <sheetName val="IO_List4"/>
      <sheetName val="Ground_Floor"/>
      <sheetName val="BASIS_-DEC_08"/>
      <sheetName val="STAFFSCHED_"/>
      <sheetName val="WPR-IV"/>
      <sheetName val="Analysis-Pav"/>
      <sheetName val="Final Bill of Material"/>
      <sheetName val="Unit.prices"/>
      <sheetName val="工程月報彙總表"/>
      <sheetName val="pri-com"/>
      <sheetName val="Sum_Mech"/>
      <sheetName val="Valves Erec. -IV"/>
      <sheetName val="3. Elemental Summary"/>
      <sheetName val="Income Statement-OCPL Projects"/>
      <sheetName val="N-Amritsar 135"/>
      <sheetName val="CF Input"/>
      <sheetName val="Certificates"/>
      <sheetName val="DATA INPUT"/>
      <sheetName val="Col-Schedule"/>
      <sheetName val="1 BED "/>
      <sheetName val="Dropdowns"/>
      <sheetName val="C (3)"/>
      <sheetName val="입찰내역 발주처 양식"/>
      <sheetName val="LMB Forecast plan"/>
      <sheetName val="Process"/>
      <sheetName val="Road Detail Est."/>
      <sheetName val="Road data"/>
      <sheetName val="IO_List5"/>
      <sheetName val="b.s.chalam"/>
      <sheetName val="vamsi"/>
      <sheetName val="Meas.-Hotel Part"/>
      <sheetName val="Concrete_11_14"/>
      <sheetName val="Concrete_20_23"/>
      <sheetName val="Concrete_25"/>
      <sheetName val="Measurement 26"/>
      <sheetName val="Measurement 27"/>
      <sheetName val="Concrete_28"/>
      <sheetName val="Concrete 30"/>
      <sheetName val="Concrete_31"/>
      <sheetName val="Concrete_32"/>
      <sheetName val="Measurement utility"/>
      <sheetName val="Concrete_34"/>
      <sheetName val="measurement_1_2_3_5_6_8_1"/>
      <sheetName val="Measurement sump"/>
      <sheetName val="Filling_final "/>
      <sheetName val="Additional Items"/>
      <sheetName val="Measur Storm"/>
      <sheetName val="Concrete_10"/>
      <sheetName val="Concrete 26"/>
      <sheetName val="Concrete_27"/>
      <sheetName val="Concrete_33"/>
      <sheetName val="Concrete_1_2_3_5_6_8_1"/>
      <sheetName val="Concrete_37"/>
      <sheetName val="Road work"/>
      <sheetName val="Storm water"/>
      <sheetName val="dBase"/>
      <sheetName val="Approaches"/>
      <sheetName val="Vertical profile"/>
      <sheetName val="Abstract "/>
      <sheetName val="Calendar"/>
      <sheetName val="Earthwork"/>
      <sheetName val="MECH-1"/>
      <sheetName val="Quantity"/>
      <sheetName val="Rate Breakdowns (Civil)"/>
      <sheetName val="Materials "/>
      <sheetName val="MAchinery(R1)"/>
      <sheetName val="5 Analysis"/>
      <sheetName val="PNM"/>
      <sheetName val="TUNE"/>
      <sheetName val="4.BOQ_air"/>
      <sheetName val="BOQ_GEN"/>
      <sheetName val="BOQ_DES"/>
      <sheetName val="MLR"/>
      <sheetName val="Salaries"/>
      <sheetName val="ENG"/>
      <sheetName val="BUD-8306"/>
      <sheetName val="List_ratios"/>
      <sheetName val="Materials Cost"/>
      <sheetName val="Basisdaten"/>
      <sheetName val="Vordruck-Nr. 7.1.3_D"/>
      <sheetName val="Ersatzteile"/>
      <sheetName val="B"/>
      <sheetName val="C"/>
      <sheetName val="D"/>
      <sheetName val="E"/>
      <sheetName val="G"/>
      <sheetName val="H"/>
      <sheetName val="I"/>
      <sheetName val="K"/>
      <sheetName val="L"/>
      <sheetName val="M"/>
      <sheetName val="N"/>
      <sheetName val="O"/>
      <sheetName val="T"/>
      <sheetName val="U"/>
      <sheetName val="M&amp;A D"/>
      <sheetName val="M&amp;A E"/>
      <sheetName val="M&amp;A G"/>
      <sheetName val="FINANCIAL (FLR)"/>
      <sheetName val="Boq (Main Building)"/>
      <sheetName val="Summary output"/>
      <sheetName val="FA-BOQ"/>
      <sheetName val="Pulses"/>
      <sheetName val="o’£Òˆê——i–ˆ“úŠm”F‚Ì‚±‚Æj"/>
      <sheetName val="PCost"/>
      <sheetName val="DSCR"/>
      <sheetName val="CF - WW"/>
      <sheetName val="M.B.T-16"/>
      <sheetName val="party"/>
      <sheetName val="MA"/>
      <sheetName val="Definitions"/>
      <sheetName val="SRC-B3U2"/>
      <sheetName val="Details"/>
      <sheetName val="cables"/>
      <sheetName val="Validation_Data"/>
      <sheetName val="Sens"/>
      <sheetName val="外気負荷"/>
      <sheetName val="Material&amp;equipment"/>
      <sheetName val="ONE TIME"/>
      <sheetName val="S.BAHAN"/>
      <sheetName val="S.UPAH"/>
      <sheetName val="Seide Customer wise "/>
      <sheetName val="Consl LS"/>
      <sheetName val="Filati Customer wise"/>
      <sheetName val="Reco"/>
      <sheetName val="Seide LS"/>
      <sheetName val="Filati LS"/>
      <sheetName val="Spec"/>
      <sheetName val="Bar.Sched"/>
      <sheetName val="Bill-12"/>
      <sheetName val="Camp Power Cost"/>
      <sheetName val="Struct"/>
      <sheetName val="Materials_Cost(PCC)"/>
      <sheetName val="L&amp;T_formwork_system"/>
      <sheetName val="Pile_load_test-Rock_anchor"/>
      <sheetName val="Design_(singly_reinforced_beam)"/>
      <sheetName val="Hoop_stress"/>
      <sheetName val="shoring_using_plates"/>
      <sheetName val="Gantry_track"/>
      <sheetName val="DESIGN-abut-pile_fdn_-11"/>
      <sheetName val="Khalifa_Parkf"/>
      <sheetName val="Top_Sheet_(PZ)"/>
      <sheetName val="Daywise_Summary"/>
      <sheetName val="Road_wise_summary"/>
      <sheetName val="Amit_Singh"/>
      <sheetName val="RP_Pal"/>
      <sheetName val="SWD_Road_WISE_Total_Qty"/>
      <sheetName val="Done_Qty__FTM"/>
      <sheetName val="Precast_Scope"/>
      <sheetName val="AS_(PZ)"/>
      <sheetName val="KPN_(PZ)"/>
      <sheetName val="DOKA_shutter_design"/>
      <sheetName val="Steel_shutter_design"/>
      <sheetName val="gantry_cranes"/>
      <sheetName val="bolted_splice"/>
      <sheetName val="piercap_truss"/>
      <sheetName val="Table_19"/>
      <sheetName val="Vertical_profile"/>
      <sheetName val="Pile_cap"/>
      <sheetName val="-ve_Variation-Annx-1-Page-1"/>
      <sheetName val="Summary_of_variations-Anx-2"/>
      <sheetName val="CTP-13-Abstract-On_Account_Bill"/>
      <sheetName val="Abstract-including_GST"/>
      <sheetName val="Abstract_"/>
      <sheetName val="Rate_Breakdowns_(Civil)"/>
      <sheetName val="Materials_"/>
      <sheetName val="5_Analysis"/>
      <sheetName val="4_BOQ_air"/>
      <sheetName val="Civil-main_building11"/>
      <sheetName val="Civil-amenities_buildings11"/>
      <sheetName val="Roads-pavement-path_ways11"/>
      <sheetName val="C-Wall_BOQ11"/>
      <sheetName val="GR_slab-reinft11"/>
      <sheetName val="4_Annex_1_Basic_rate7"/>
      <sheetName val="PointNo_58"/>
      <sheetName val="Stress_Calculation8"/>
      <sheetName val="GUT_(2)8"/>
      <sheetName val="PRECAST_lightconc-II8"/>
      <sheetName val="Tender_Summary8"/>
      <sheetName val="_Net_Break_Down8"/>
      <sheetName val="PROG_SUMMARY4"/>
      <sheetName val="SPT_vs_PHI8"/>
      <sheetName val="K_Ajeet8"/>
      <sheetName val="SITE_OVERHEADS8"/>
      <sheetName val="Bill_No_2_to_8_(Rev)8"/>
      <sheetName val="Fill_this_out_first___8"/>
      <sheetName val="GF_Columns8"/>
      <sheetName val="Assumption_Inputs8"/>
      <sheetName val="Bill_3_-_Site_Works8"/>
      <sheetName val="BSH_num8"/>
      <sheetName val="11B_8"/>
      <sheetName val="Fin_Sum7"/>
      <sheetName val="AutoOpen_Stub_Data7"/>
      <sheetName val="INDIGINEOUS_ITEMS_7"/>
      <sheetName val="07016,_Master_List-Major_Minor7"/>
      <sheetName val="Staff_Acco_8"/>
      <sheetName val="C_Sum7"/>
      <sheetName val="A_Sum7"/>
      <sheetName val="labour_coeff8"/>
      <sheetName val="Bank_Guarantee7"/>
      <sheetName val="Debits_as_on_12_04_088"/>
      <sheetName val="Bridges_RB7"/>
      <sheetName val="Analysis_Justi_7"/>
      <sheetName val="Qty_Esti_-TCS7"/>
      <sheetName val="Abst_Jo7"/>
      <sheetName val="Detail_In_Door_Stad7"/>
      <sheetName val="SUMMARY_ALL_CO'S7"/>
      <sheetName val="Ave_wtd_rates3"/>
      <sheetName val="Material_3"/>
      <sheetName val="Sludge_Cal3"/>
      <sheetName val="Break_up_Sheet7"/>
      <sheetName val="S_&amp;_A7"/>
      <sheetName val="NLD_-_Assum3"/>
      <sheetName val="5_NOT_REQUIRED7"/>
      <sheetName val="Deduction_of_assets7"/>
      <sheetName val="A_O_R_r1Str3"/>
      <sheetName val="A_O_R_r13"/>
      <sheetName val="A_O_R_(2)3"/>
      <sheetName val="3cd_Annexure3"/>
      <sheetName val="Operating_Statistics3"/>
      <sheetName val="BLOCK-A_(MEA_SHEET)3"/>
      <sheetName val="Basement_Budget4"/>
      <sheetName val="INPUT_SHEET4"/>
      <sheetName val="FITZ_MORT_944"/>
      <sheetName val="Bechtel_Norms3"/>
      <sheetName val="CS_PIPING3"/>
      <sheetName val="TECH_DATA3"/>
      <sheetName val="BOQ_(2)3"/>
      <sheetName val="Story_Drift-Part_23"/>
      <sheetName val="schedule_nos3"/>
      <sheetName val="RCC,Ret__Wall3"/>
      <sheetName val="Balance_sheet_DCCDL_Nov_062"/>
      <sheetName val="_COP_100%2"/>
      <sheetName val="Rate_analysis2"/>
      <sheetName val="Basic_Rates2"/>
      <sheetName val="Top_sheet2"/>
      <sheetName val="M-Book_for_Conc2"/>
      <sheetName val="Rein_Steel2"/>
      <sheetName val="M-Book_for_FW2"/>
      <sheetName val="M-Book_others2"/>
      <sheetName val="M-Book_filling2"/>
      <sheetName val="beam-reinft-machine_rm2"/>
      <sheetName val="Bill_12"/>
      <sheetName val="Bill_22"/>
      <sheetName val="Bill_32"/>
      <sheetName val="Bill_42"/>
      <sheetName val="Bill_52"/>
      <sheetName val="Bill_62"/>
      <sheetName val="Bill_72"/>
      <sheetName val="AoR_Finishing2"/>
      <sheetName val="water_prop_2"/>
      <sheetName val="9__Package_split_-_Cost_2"/>
      <sheetName val="Labour_&amp;_Plant2"/>
      <sheetName val="DETAILED__BOQ2"/>
      <sheetName val="LABOUR_RATE2"/>
      <sheetName val="Material_Rate2"/>
      <sheetName val="MASTER_RATE_ANALYSIS2"/>
      <sheetName val="PA-_Consutant_2"/>
      <sheetName val="Works_-_Quote_Sheet2"/>
      <sheetName val="Allg__Angaben2"/>
      <sheetName val="Section_3_DPR1"/>
      <sheetName val="IRP_all_H2s2"/>
      <sheetName val="@risk_rents_and_incentives2"/>
      <sheetName val="Car_park_lease2"/>
      <sheetName val="Net_rent_analysis2"/>
      <sheetName val="UNP-NCW_1"/>
      <sheetName val="beam-reinft-IIInd_floor2"/>
      <sheetName val="(Do_not_delete)1"/>
      <sheetName val="Podium_Areas2"/>
      <sheetName val="old_serial_no_2"/>
      <sheetName val="Structure_Bills_Qty2"/>
      <sheetName val="A_O_R_2"/>
      <sheetName val="SC_Cost_FEB_031"/>
      <sheetName val="Slope_area1"/>
      <sheetName val="MS_Rates1"/>
      <sheetName val="Array_(2)1"/>
      <sheetName val="Flanged_Beams1"/>
      <sheetName val="Rectangular_Beam1"/>
      <sheetName val="BC_&amp;_MNB_1"/>
      <sheetName val="final_abstract1"/>
      <sheetName val="Back_Cal_for_OMC1"/>
      <sheetName val="BOD_PL_NEW1"/>
      <sheetName val="Boq-_Civil1"/>
      <sheetName val="Input_&amp;_Calculations1"/>
      <sheetName val="R_A_1"/>
      <sheetName val="Westin_FOH_&amp;_BOH_Split1"/>
      <sheetName val="L&amp;T_formwork_system1"/>
      <sheetName val="Pile_load_test-Rock_anchor1"/>
      <sheetName val="Design_(singly_reinforced_beam1"/>
      <sheetName val="Hoop_stress1"/>
      <sheetName val="shoring_using_plates1"/>
      <sheetName val="Gantry_track1"/>
      <sheetName val="Materials_Cost(PCC)1"/>
      <sheetName val="Inter_Co_Balances2"/>
      <sheetName val="Fin__Assumpt__-_Sensitivities1"/>
      <sheetName val="SP_Break_Up2"/>
      <sheetName val="Load_Details(B2)1"/>
      <sheetName val="Validation_sheet1"/>
      <sheetName val="DESIGN-abut-pile_fdn_-111"/>
      <sheetName val="DOKA_shutter_design1"/>
      <sheetName val="Steel_shutter_design1"/>
      <sheetName val="gantry_cranes1"/>
      <sheetName val="bolted_splice1"/>
      <sheetName val="piercap_truss1"/>
      <sheetName val="Table_191"/>
      <sheetName val="Khalifa_Parkf1"/>
      <sheetName val="Debtors_analysis1"/>
      <sheetName val="Total_Debtors_Ageing_Sheet1"/>
      <sheetName val="Debtors_Service_Tax1"/>
      <sheetName val="rent_&amp;_value_assumptions1"/>
      <sheetName val="PSDA_detailed_cashflow_for_deb1"/>
      <sheetName val="Financing_Assumptions1"/>
      <sheetName val="Equity_shares_analysis1"/>
      <sheetName val="Loan_B_interest1"/>
      <sheetName val="Loan_covenant_tests1"/>
      <sheetName val="Rents_committed1"/>
      <sheetName val="LCC_profit_share_calculation1"/>
      <sheetName val="Loan_A_interest_guarantee1"/>
      <sheetName val="Top_Sheet_(PZ)1"/>
      <sheetName val="Daywise_Summary1"/>
      <sheetName val="Road_wise_summary1"/>
      <sheetName val="Amit_Singh1"/>
      <sheetName val="RP_Pal1"/>
      <sheetName val="SWD_Road_WISE_Total_Qty1"/>
      <sheetName val="Done_Qty__FTM1"/>
      <sheetName val="Precast_Scope1"/>
      <sheetName val="AS_(PZ)1"/>
      <sheetName val="KPN_(PZ)1"/>
      <sheetName val="Vertical_profile1"/>
      <sheetName val="Pile_cap1"/>
      <sheetName val="IT-Fri_Base1"/>
      <sheetName val="TBAL9697_-group_wise__sdpl1"/>
      <sheetName val="MN_T_B_1"/>
      <sheetName val="CFForecast_detail1"/>
      <sheetName val="Project_Budget_Worksheet1"/>
      <sheetName val="Sales_&amp;_Prod1"/>
      <sheetName val="kppl_pl1"/>
      <sheetName val="Light_fitt1"/>
      <sheetName val="Inc_St_-Link1"/>
      <sheetName val="Area_Statement1"/>
      <sheetName val="UPA(Part_C,D,E,G,H)1"/>
      <sheetName val="Detail_P&amp;L1"/>
      <sheetName val="Assumption_Sheet1"/>
      <sheetName val="Segment_Report_working1"/>
      <sheetName val="Fixed_Assets_&amp;_Depreciation1"/>
      <sheetName val="Stru_Labour_rate1"/>
      <sheetName val="Curing_Analysis1"/>
      <sheetName val="MS_items1"/>
      <sheetName val="Tunnel_Fw1"/>
      <sheetName val="Revised_Summary1"/>
      <sheetName val="accom_cash1"/>
      <sheetName val="std_wt_1"/>
      <sheetName val="-ve_Variation-Annx-1-Page-11"/>
      <sheetName val="Summary_of_variations-Anx-21"/>
      <sheetName val="CTP-13-Abstract-On_Account_Bil1"/>
      <sheetName val="Abstract-including_GST1"/>
      <sheetName val="Administrative_Prices1"/>
      <sheetName val="Civil_Boq1"/>
      <sheetName val="d-safe_specs1"/>
      <sheetName val="Site_Dev_BOQ1"/>
      <sheetName val="Extra_Item1"/>
      <sheetName val="Source_Ref_1"/>
      <sheetName val="ESI_&amp;_PF_DELHI1"/>
      <sheetName val="Core_Data1"/>
      <sheetName val="train_cash1"/>
      <sheetName val="Abstract_1"/>
      <sheetName val="Project_Master1"/>
      <sheetName val="Rate_Breakdowns_(Civil)1"/>
      <sheetName val="Materials_1"/>
      <sheetName val="5_Analysis1"/>
      <sheetName val="4_BOQ_air1"/>
      <sheetName val="RAte analyis"/>
      <sheetName val="Quotation"/>
      <sheetName val="Ply"/>
      <sheetName val="3"/>
      <sheetName val="Bed_Class"/>
      <sheetName val="bba"/>
      <sheetName val="Actual 2010-11"/>
      <sheetName val="Actual 2009-10"/>
      <sheetName val="Budget 2010-11"/>
      <sheetName val="Bar Chart - FHL (M)"/>
      <sheetName val="Sqn (Main) Abs"/>
      <sheetName val="Indirects_1"/>
      <sheetName val="Area_Analysis1"/>
      <sheetName val="Ground_Floor1"/>
      <sheetName val="BASIS_-DEC_081"/>
      <sheetName val="STAFFSCHED_1"/>
      <sheetName val="DETAIL_SHEET1"/>
      <sheetName val="NOT_FULL_RESTRAINT"/>
      <sheetName val="BEARING_&amp;_BUCKLING"/>
      <sheetName val="Detail_1A"/>
      <sheetName val="TRIAL_BALANCE"/>
      <sheetName val="Data_sheet"/>
      <sheetName val="Sheet3_(2)"/>
      <sheetName val="Legal_Risk_Analysis"/>
      <sheetName val="M_S_"/>
      <sheetName val="CIP_Summary_0012"/>
      <sheetName val="CIP_Detail_0011"/>
      <sheetName val="99_to_00_blns"/>
      <sheetName val="PPA_Summary"/>
      <sheetName val="Data_Tables"/>
      <sheetName val="SCHEDULE_OF_RATES"/>
      <sheetName val="1_01_(a)"/>
      <sheetName val="MERGED_CODES_&amp;_NAMES"/>
      <sheetName val="precast RC element"/>
      <sheetName val="Civil-main_building12"/>
      <sheetName val="Civil-amenities_buildings12"/>
      <sheetName val="Roads-pavement-path_ways12"/>
      <sheetName val="C-Wall_BOQ12"/>
      <sheetName val="GR_slab-reinft12"/>
      <sheetName val="PointNo_59"/>
      <sheetName val="Stress_Calculation9"/>
      <sheetName val="GUT_(2)9"/>
      <sheetName val="SPT_vs_PHI9"/>
      <sheetName val="Bill_No_2_to_8_(Rev)9"/>
      <sheetName val="Bill_3_-_Site_Works9"/>
      <sheetName val="PRECAST_lightconc-II9"/>
      <sheetName val="Fill_this_out_first___9"/>
      <sheetName val="GF_Columns9"/>
      <sheetName val="Assumption_Inputs9"/>
      <sheetName val="Staff_Acco_9"/>
      <sheetName val="_Net_Break_Down9"/>
      <sheetName val="BSH_num9"/>
      <sheetName val="11B_9"/>
      <sheetName val="Tender_Summary9"/>
      <sheetName val="Debits_as_on_12_04_089"/>
      <sheetName val="labour_coeff9"/>
      <sheetName val="SITE_OVERHEADS9"/>
      <sheetName val="K_Ajeet9"/>
      <sheetName val="AutoOpen_Stub_Data8"/>
      <sheetName val="Fin_Sum8"/>
      <sheetName val="Bridges_RB8"/>
      <sheetName val="Analysis_Justi_8"/>
      <sheetName val="Qty_Esti_-TCS8"/>
      <sheetName val="Abst_Jo8"/>
      <sheetName val="INDIGINEOUS_ITEMS_8"/>
      <sheetName val="07016,_Master_List-Major_Minor8"/>
      <sheetName val="C_Sum8"/>
      <sheetName val="A_Sum8"/>
      <sheetName val="SUMMARY_ALL_CO'S8"/>
      <sheetName val="5_NOT_REQUIRED8"/>
      <sheetName val="Break_up_Sheet8"/>
      <sheetName val="Deduction_of_assets8"/>
      <sheetName val="S_&amp;_A8"/>
      <sheetName val="4_Annex_1_Basic_rate8"/>
      <sheetName val="Detail_In_Door_Stad8"/>
      <sheetName val="Bank_Guarantee8"/>
      <sheetName val="PROG_SUMMARY5"/>
      <sheetName val="Basement_Budget5"/>
      <sheetName val="INPUT_SHEET5"/>
      <sheetName val="FITZ_MORT_945"/>
      <sheetName val="Rate_analysis3"/>
      <sheetName val="BLOCK-A_(MEA_SHEET)4"/>
      <sheetName val="BOQ_(2)4"/>
      <sheetName val="A_O_R_r1Str4"/>
      <sheetName val="A_O_R_r14"/>
      <sheetName val="A_O_R_(2)4"/>
      <sheetName val="Basic_Rates3"/>
      <sheetName val="Labour_&amp;_Plant3"/>
      <sheetName val="9__Package_split_-_Cost_3"/>
      <sheetName val="DETAILED__BOQ3"/>
      <sheetName val="AoR_Finishing3"/>
      <sheetName val="LABOUR_RATE3"/>
      <sheetName val="Material_Rate3"/>
      <sheetName val="Allg__Angaben3"/>
      <sheetName val="Bill_13"/>
      <sheetName val="Bill_23"/>
      <sheetName val="Bill_33"/>
      <sheetName val="Bill_43"/>
      <sheetName val="Bill_53"/>
      <sheetName val="Bill_63"/>
      <sheetName val="Bill_73"/>
      <sheetName val="Balance_sheet_DCCDL_Nov_063"/>
      <sheetName val="_COP_100%3"/>
      <sheetName val="Podium_Areas3"/>
      <sheetName val="Load_Details(B2)2"/>
      <sheetName val="A_O_R_3"/>
      <sheetName val="CFForecast_detail2"/>
      <sheetName val="TBAL9697_-group_wise__sdpl2"/>
      <sheetName val="Project_Budget_Worksheet2"/>
      <sheetName val="UNP-NCW_2"/>
      <sheetName val="Detail_P&amp;L2"/>
      <sheetName val="Assumption_Sheet2"/>
      <sheetName val="final_abstract2"/>
      <sheetName val="Source_Ref_2"/>
      <sheetName val="Site_Dev_BOQ2"/>
      <sheetName val="MN_T_B_2"/>
      <sheetName val="Sales_&amp;_Prod2"/>
      <sheetName val="Section_3_DPR2"/>
      <sheetName val="SC_Cost_FEB_032"/>
      <sheetName val="Fin__Assumpt__-_Sensitivities2"/>
      <sheetName val="Civil_Boq2"/>
      <sheetName val="BOD_PL_NEW2"/>
      <sheetName val="Flanged_Beams2"/>
      <sheetName val="Rectangular_Beam2"/>
      <sheetName val="BC_&amp;_MNB_2"/>
      <sheetName val="Debtors_analysis2"/>
      <sheetName val="Total_Debtors_Ageing_Sheet2"/>
      <sheetName val="Revised_Summary2"/>
      <sheetName val="Administrative_Prices2"/>
      <sheetName val="d-safe_specs2"/>
      <sheetName val="UPA(Part_C,D,E,G,H)2"/>
      <sheetName val="accom_cash2"/>
      <sheetName val="train_cash2"/>
      <sheetName val="Indirects_2"/>
      <sheetName val="Area_Analysis2"/>
      <sheetName val="rent_&amp;_value_assumptions2"/>
      <sheetName val="PSDA_detailed_cashflow_for_deb2"/>
      <sheetName val="Financing_Assumptions2"/>
      <sheetName val="Equity_shares_analysis2"/>
      <sheetName val="Loan_B_interest2"/>
      <sheetName val="Loan_covenant_tests2"/>
      <sheetName val="Rents_committed2"/>
      <sheetName val="LCC_profit_share_calculation2"/>
      <sheetName val="Loan_A_interest_guarantee2"/>
      <sheetName val="Ground_Floor2"/>
      <sheetName val="(Do_not_delete)2"/>
      <sheetName val="Slope_area2"/>
      <sheetName val="BASIS_-DEC_082"/>
      <sheetName val="Light_fitt2"/>
      <sheetName val="Core_Data2"/>
      <sheetName val="kppl_pl2"/>
      <sheetName val="DETAIL_SHEET2"/>
      <sheetName val="Basic_Rate1"/>
      <sheetName val="PPA_Summary1"/>
      <sheetName val="Inc_St_-Link2"/>
      <sheetName val="Data_Tables1"/>
      <sheetName val="STAFFSCHED_2"/>
      <sheetName val="L_(4)1"/>
      <sheetName val="NOT_FULL_RESTRAINT1"/>
      <sheetName val="BEARING_&amp;_BUCKLING1"/>
      <sheetName val="Detail_1A1"/>
      <sheetName val="TRIAL_BALANCE1"/>
      <sheetName val="Legal_Risk_Analysis1"/>
      <sheetName val="M_S_1"/>
      <sheetName val="CIP_Summary_00121"/>
      <sheetName val="CIP_Detail_00111"/>
      <sheetName val="99_to_00_blns1"/>
      <sheetName val="Data_sheet1"/>
      <sheetName val="Sheet3_(2)1"/>
      <sheetName val="Analisa_STR1"/>
      <sheetName val="cost_summary1"/>
      <sheetName val="Elec_Summ1"/>
      <sheetName val="ELEC_BOQ2"/>
      <sheetName val="TRACK_BUSWAY1"/>
      <sheetName val="SCHEDULE_OF_RATES1"/>
      <sheetName val="1_01_(a)1"/>
      <sheetName val="MERGED_CODES_&amp;_NAMES1"/>
      <sheetName val="Bed_Class1"/>
      <sheetName val="Oracle_Upload1"/>
      <sheetName val="qty_schedule1"/>
      <sheetName val="Plant_Used_in_CATS_1"/>
      <sheetName val="precast_RC_element"/>
      <sheetName val="Contractor-1-every_floor_5%"/>
      <sheetName val="Balustrade"/>
      <sheetName val="IO_List6"/>
      <sheetName val="Ave_wtd_rates4"/>
      <sheetName val="Material_4"/>
      <sheetName val="Sludge_Cal4"/>
      <sheetName val="NLD_-_Assum4"/>
      <sheetName val="3cd_Annexure4"/>
      <sheetName val="Operating_Statistics4"/>
      <sheetName val="Bechtel_Norms4"/>
      <sheetName val="CS_PIPING4"/>
      <sheetName val="TECH_DATA4"/>
      <sheetName val="Story_Drift-Part_24"/>
      <sheetName val="schedule_nos4"/>
      <sheetName val="RCC,Ret__Wall4"/>
      <sheetName val="Top_sheet3"/>
      <sheetName val="M-Book_for_Conc3"/>
      <sheetName val="Rein_Steel3"/>
      <sheetName val="M-Book_for_FW3"/>
      <sheetName val="M-Book_others3"/>
      <sheetName val="M-Book_filling3"/>
      <sheetName val="beam-reinft-machine_rm3"/>
      <sheetName val="water_prop_3"/>
      <sheetName val="Works_-_Quote_Sheet3"/>
      <sheetName val="MASTER_RATE_ANALYSIS3"/>
      <sheetName val="PA-_Consutant_3"/>
      <sheetName val="IRP_all_H2s3"/>
      <sheetName val="@risk_rents_and_incentives3"/>
      <sheetName val="Car_park_lease3"/>
      <sheetName val="Net_rent_analysis3"/>
      <sheetName val="beam-reinft-IIInd_floor3"/>
      <sheetName val="old_serial_no_3"/>
      <sheetName val="Structure_Bills_Qty3"/>
      <sheetName val="MS_Rates2"/>
      <sheetName val="Array_(2)2"/>
      <sheetName val="Back_Cal_for_OMC2"/>
      <sheetName val="Boq-_Civil2"/>
      <sheetName val="Input_&amp;_Calculations2"/>
      <sheetName val="Westin_FOH_&amp;_BOH_Split2"/>
      <sheetName val="R_A_2"/>
      <sheetName val="Inter_Co_Balances3"/>
      <sheetName val="SP_Break_Up3"/>
      <sheetName val="Materials_Cost(PCC)2"/>
      <sheetName val="Validation_sheet2"/>
      <sheetName val="L&amp;T_formwork_system2"/>
      <sheetName val="Pile_load_test-Rock_anchor2"/>
      <sheetName val="Design_(singly_reinforced_beam2"/>
      <sheetName val="Hoop_stress2"/>
      <sheetName val="shoring_using_plates2"/>
      <sheetName val="Gantry_track2"/>
      <sheetName val="DESIGN-abut-pile_fdn_-112"/>
      <sheetName val="Khalifa_Parkf2"/>
      <sheetName val="Debtors_Service_Tax2"/>
      <sheetName val="Top_Sheet_(PZ)2"/>
      <sheetName val="Daywise_Summary2"/>
      <sheetName val="Road_wise_summary2"/>
      <sheetName val="Amit_Singh2"/>
      <sheetName val="RP_Pal2"/>
      <sheetName val="SWD_Road_WISE_Total_Qty2"/>
      <sheetName val="Done_Qty__FTM2"/>
      <sheetName val="Precast_Scope2"/>
      <sheetName val="AS_(PZ)2"/>
      <sheetName val="KPN_(PZ)2"/>
      <sheetName val="DOKA_shutter_design2"/>
      <sheetName val="Steel_shutter_design2"/>
      <sheetName val="gantry_cranes2"/>
      <sheetName val="bolted_splice2"/>
      <sheetName val="piercap_truss2"/>
      <sheetName val="Table_192"/>
      <sheetName val="Vertical_profile2"/>
      <sheetName val="Pile_cap2"/>
      <sheetName val="IT-Fri_Base2"/>
      <sheetName val="Area_Statement2"/>
      <sheetName val="Segment_Report_working2"/>
      <sheetName val="Fixed_Assets_&amp;_Depreciation2"/>
      <sheetName val="Stru_Labour_rate2"/>
      <sheetName val="Curing_Analysis2"/>
      <sheetName val="MS_items2"/>
      <sheetName val="Tunnel_Fw2"/>
      <sheetName val="std_wt_2"/>
      <sheetName val="-ve_Variation-Annx-1-Page-12"/>
      <sheetName val="Summary_of_variations-Anx-22"/>
      <sheetName val="CTP-13-Abstract-On_Account_Bil2"/>
      <sheetName val="Abstract-including_GST2"/>
      <sheetName val="Extra_Item2"/>
      <sheetName val="ESI_&amp;_PF_DELHI2"/>
      <sheetName val="Abstract_2"/>
      <sheetName val="Project_Master2"/>
      <sheetName val="Rate_Breakdowns_(Civil)2"/>
      <sheetName val="Materials_2"/>
      <sheetName val="5_Analysis2"/>
      <sheetName val="4_BOQ_air2"/>
      <sheetName val="Plant &amp;  Machinery"/>
      <sheetName val="AvgRMR"/>
      <sheetName val="LABOR T&amp;P"/>
      <sheetName val="slab"/>
      <sheetName val="PRICE-COMP"/>
      <sheetName val="Beam-design exp"/>
      <sheetName val="Project Sheet"/>
      <sheetName val="Drop-down data's"/>
      <sheetName val="Change Order Log"/>
      <sheetName val="KP1590_E"/>
      <sheetName val="Exc"/>
      <sheetName val="Equipment List (Process)"/>
      <sheetName val="Material List "/>
      <sheetName val="TOT"/>
      <sheetName val="FOH D&amp;L"/>
      <sheetName val="TABLE"/>
      <sheetName val="refer"/>
      <sheetName val="KAR"/>
      <sheetName val="MAJOR QTYS"/>
      <sheetName val="BOXCULVERT"/>
      <sheetName val="FORM5"/>
      <sheetName val="대비표"/>
      <sheetName val="SCHEDULE_(3)"/>
      <sheetName val="SCHEDULE_(3)1"/>
      <sheetName val="Contractor-1-every_floor_5%1"/>
      <sheetName val="Variables"/>
      <sheetName val="Bar_Sched"/>
      <sheetName val="b_s_chalam"/>
      <sheetName val="Camp_Power_Cost"/>
      <sheetName val="Sta. Alex-Direct Cost"/>
      <sheetName val="Sta. Alex-GROSS AMT"/>
      <sheetName val="Rebar _Take off"/>
      <sheetName val="TB"/>
      <sheetName val="SCEL Funding"/>
      <sheetName val="Debt"/>
      <sheetName val="EQUIP LIST"/>
      <sheetName val="H2"/>
      <sheetName val="pro.stat-q"/>
      <sheetName val="Q3"/>
      <sheetName val="cclist"/>
      <sheetName val="Working"/>
      <sheetName val="FA SCHEDULE"/>
      <sheetName val="Master Data Sheet"/>
      <sheetName val="Mat.Cost"/>
      <sheetName val="COMPLEXALL"/>
      <sheetName val="Setup_Variables"/>
      <sheetName val="Schedule_(2)"/>
      <sheetName val="Covering_letter"/>
      <sheetName val="_CERTIFICATE___PAYMENT_Vendor"/>
      <sheetName val="Payment_Abstract_Vendor"/>
      <sheetName val="Cummulative_Steel_&amp;_RMC_Vendor_"/>
      <sheetName val="Vendor_Wise_Cu__Steel_&amp;_RMC"/>
      <sheetName val="Prism_johnson"/>
      <sheetName val="RMC_Qty__Cumulative_vendor_wise"/>
      <sheetName val="RMC_Backup"/>
      <sheetName val="RMC_Invoice"/>
      <sheetName val="Material_Rates"/>
      <sheetName val="Reinforcement_Steel"/>
      <sheetName val="Feb'19_Tax_Invoice"/>
      <sheetName val="Structural_Steel"/>
      <sheetName val="Feb'19_Tax_Invoice_(2)"/>
      <sheetName val="Qty__Cumulative_Abstract"/>
      <sheetName val="Gen_Info"/>
      <sheetName val="Name_Lists"/>
      <sheetName val="OVER HEADS"/>
      <sheetName val="CostXSummary"/>
      <sheetName val="Financials Forecast"/>
      <sheetName val="Admin &amp; Assumptions"/>
      <sheetName val="Print Tables - Financials"/>
      <sheetName val="Recast of Comparable P&amp;L's "/>
      <sheetName val="Market Demand Forecast"/>
      <sheetName val="Market Print Tables"/>
      <sheetName val="15"/>
      <sheetName val="ACCOUNT SUMMARY"/>
      <sheetName val="IVF"/>
      <sheetName val="Vendors"/>
      <sheetName val="Bill 5 - Carpark"/>
      <sheetName val="GAE8'97"/>
      <sheetName val="JOB COSTING SHEET ELEC"/>
      <sheetName val="Civil-main_building13"/>
      <sheetName val="Civil-amenities_buildings13"/>
      <sheetName val="Roads-pavement-path_ways13"/>
      <sheetName val="C-Wall_BOQ13"/>
      <sheetName val="GR_slab-reinft13"/>
      <sheetName val="PointNo_510"/>
      <sheetName val="Stress_Calculation10"/>
      <sheetName val="PRECAST_lightconc-II10"/>
      <sheetName val="GUT_(2)10"/>
      <sheetName val="_Net_Break_Down10"/>
      <sheetName val="Tender_Summary10"/>
      <sheetName val="Bill_No_2_to_8_(Rev)10"/>
      <sheetName val="SPT_vs_PHI10"/>
      <sheetName val="11B_10"/>
      <sheetName val="BSH_num10"/>
      <sheetName val="K_Ajeet10"/>
      <sheetName val="SITE_OVERHEADS10"/>
      <sheetName val="Fill_this_out_first___10"/>
      <sheetName val="GF_Columns10"/>
      <sheetName val="Assumption_Inputs10"/>
      <sheetName val="Bill_3_-_Site_Works10"/>
      <sheetName val="4_Annex_1_Basic_rate9"/>
      <sheetName val="Staff_Acco_10"/>
      <sheetName val="Debits_as_on_12_04_0810"/>
      <sheetName val="labour_coeff10"/>
      <sheetName val="AutoOpen_Stub_Data9"/>
      <sheetName val="Fin_Sum9"/>
      <sheetName val="Bridges_RB9"/>
      <sheetName val="Analysis_Justi_9"/>
      <sheetName val="Qty_Esti_-TCS9"/>
      <sheetName val="Abst_Jo9"/>
      <sheetName val="INDIGINEOUS_ITEMS_9"/>
      <sheetName val="07016,_Master_List-Major_Minor9"/>
      <sheetName val="C_Sum9"/>
      <sheetName val="A_Sum9"/>
      <sheetName val="SUMMARY_ALL_CO'S9"/>
      <sheetName val="Detail_In_Door_Stad9"/>
      <sheetName val="S_&amp;_A9"/>
      <sheetName val="Bank_Guarantee9"/>
      <sheetName val="Deduction_of_assets9"/>
      <sheetName val="PROG_SUMMARY6"/>
      <sheetName val="Break_up_Sheet9"/>
      <sheetName val="5_NOT_REQUIRED9"/>
      <sheetName val="INPUT_SHEET6"/>
      <sheetName val="Basement_Budget6"/>
      <sheetName val="FITZ_MORT_946"/>
      <sheetName val="Basic_Rates4"/>
      <sheetName val="Rate_analysis4"/>
      <sheetName val="BLOCK-A_(MEA_SHEET)5"/>
      <sheetName val="A_O_R_r1Str5"/>
      <sheetName val="A_O_R_r15"/>
      <sheetName val="A_O_R_(2)5"/>
      <sheetName val="BOQ_(2)5"/>
      <sheetName val="Bill_14"/>
      <sheetName val="Bill_24"/>
      <sheetName val="Bill_34"/>
      <sheetName val="Bill_44"/>
      <sheetName val="Bill_54"/>
      <sheetName val="Bill_64"/>
      <sheetName val="Bill_74"/>
      <sheetName val="Balance_sheet_DCCDL_Nov_064"/>
      <sheetName val="_COP_100%4"/>
      <sheetName val="AoR_Finishing4"/>
      <sheetName val="9__Package_split_-_Cost_4"/>
      <sheetName val="Labour_&amp;_Plant4"/>
      <sheetName val="Allg__Angaben4"/>
      <sheetName val="DETAILED__BOQ4"/>
      <sheetName val="LABOUR_RATE4"/>
      <sheetName val="Material_Rate4"/>
      <sheetName val="Podium_Areas4"/>
      <sheetName val="Light_fitt3"/>
      <sheetName val="Load_Details(B2)3"/>
      <sheetName val="kppl_pl3"/>
      <sheetName val="A_O_R_4"/>
      <sheetName val="BOD_PL_NEW3"/>
      <sheetName val="final_abstract3"/>
      <sheetName val="UNP-NCW_3"/>
      <sheetName val="Section_3_DPR3"/>
      <sheetName val="TBAL9697_-group_wise__sdpl3"/>
      <sheetName val="Sales_&amp;_Prod3"/>
      <sheetName val="Flanged_Beams3"/>
      <sheetName val="Rectangular_Beam3"/>
      <sheetName val="BC_&amp;_MNB_3"/>
      <sheetName val="Debtors_analysis3"/>
      <sheetName val="Total_Debtors_Ageing_Sheet3"/>
      <sheetName val="Revised_Summary3"/>
      <sheetName val="CFForecast_detail3"/>
      <sheetName val="Project_Budget_Worksheet3"/>
      <sheetName val="Detail_P&amp;L3"/>
      <sheetName val="Assumption_Sheet3"/>
      <sheetName val="(Do_not_delete)3"/>
      <sheetName val="SC_Cost_FEB_033"/>
      <sheetName val="Slope_area3"/>
      <sheetName val="accom_cash3"/>
      <sheetName val="Inc_St_-Link3"/>
      <sheetName val="UPA(Part_C,D,E,G,H)3"/>
      <sheetName val="Dropdown_list"/>
      <sheetName val="MN_T_B_3"/>
      <sheetName val="Administrative_Prices3"/>
      <sheetName val="Civil_Boq3"/>
      <sheetName val="Data_Tables2"/>
      <sheetName val="Source_Ref_3"/>
      <sheetName val="Fin__Assumpt__-_Sensitivities3"/>
      <sheetName val="Core_Data3"/>
      <sheetName val="train_cash3"/>
      <sheetName val="d-safe_specs3"/>
      <sheetName val="Indirects_3"/>
      <sheetName val="Site_Dev_BOQ3"/>
      <sheetName val="Basic_Rate2"/>
      <sheetName val="STAFFSCHED_3"/>
      <sheetName val="rent_&amp;_value_assumptions3"/>
      <sheetName val="PSDA_detailed_cashflow_for_deb3"/>
      <sheetName val="Financing_Assumptions3"/>
      <sheetName val="Equity_shares_analysis3"/>
      <sheetName val="Loan_B_interest3"/>
      <sheetName val="Loan_covenant_tests3"/>
      <sheetName val="Rents_committed3"/>
      <sheetName val="LCC_profit_share_calculation3"/>
      <sheetName val="Loan_A_interest_guarantee3"/>
      <sheetName val="L_(4)2"/>
      <sheetName val="Area_Analysis3"/>
      <sheetName val="Elect_"/>
      <sheetName val="_COP"/>
      <sheetName val="DETAIL_SHEET3"/>
      <sheetName val="Oracle_Upload2"/>
      <sheetName val="qty_schedule2"/>
      <sheetName val="Analisa_STR2"/>
      <sheetName val="cost_summary2"/>
      <sheetName val="Elec_Summ2"/>
      <sheetName val="ELEC_BOQ3"/>
      <sheetName val="TRACK_BUSWAY2"/>
      <sheetName val="BASIS_-DEC_083"/>
      <sheetName val="Labour_&amp;_Material"/>
      <sheetName val="MERGED_CODES_&amp;_NAMES2"/>
      <sheetName val="Bed_Class2"/>
      <sheetName val="Power_&amp;_Fuel(SMS)"/>
      <sheetName val="Ground_Floor3"/>
      <sheetName val="Legal_Risk_Analysis2"/>
      <sheetName val="M_S_2"/>
      <sheetName val="CIP_Summary_00122"/>
      <sheetName val="CIP_Detail_00112"/>
      <sheetName val="99_to_00_blns2"/>
      <sheetName val="Plant_Used_in_CATS_2"/>
      <sheetName val="1_01_(a)2"/>
      <sheetName val="SCHEDULE_OF_RATES2"/>
      <sheetName val="PPA_Summary2"/>
      <sheetName val="NOT_FULL_RESTRAINT2"/>
      <sheetName val="BEARING_&amp;_BUCKLING2"/>
      <sheetName val="Detail_1A2"/>
      <sheetName val="TRIAL_BALANCE2"/>
      <sheetName val="Data_sheet2"/>
      <sheetName val="Sheet3_(2)2"/>
      <sheetName val="Meas_-Hotel_Part"/>
      <sheetName val="stub_Column"/>
      <sheetName val="PtList_Above_(300x300)"/>
      <sheetName val="PtList_Below_(300x300)"/>
      <sheetName val="April_Analysts"/>
      <sheetName val="3_9_Tension_Crash_Barrier"/>
      <sheetName val="3_12_Stone_Pitching"/>
      <sheetName val="1_Prelims"/>
      <sheetName val="3_10_Misc__Concrete"/>
      <sheetName val="3_13_14_Protection"/>
      <sheetName val="3_8_ROAD_signs"/>
      <sheetName val="Valves_Erec__-IV"/>
      <sheetName val="3__Elemental_Summary"/>
      <sheetName val="Road_Detail_Est_"/>
      <sheetName val="Road_data"/>
      <sheetName val="Final_Bill_of_Material"/>
      <sheetName val="1_BED_"/>
      <sheetName val="C_(3)"/>
      <sheetName val="입찰내역_발주처_양식"/>
      <sheetName val="LMB_Forecast_plan"/>
      <sheetName val="Shape_of_Bars"/>
      <sheetName val="Income_Statement-OCPL_Projects"/>
      <sheetName val="N-Amritsar_135"/>
      <sheetName val="CF_Input"/>
      <sheetName val="DATA_INPUT"/>
      <sheetName val="Item-_Compact"/>
      <sheetName val="Material_Advance"/>
      <sheetName val="Tax-Invoice_(Interior_&amp;_Civil)"/>
      <sheetName val="Appendix_-_1"/>
      <sheetName val="BOQ_ID"/>
      <sheetName val="MB_ID"/>
      <sheetName val="Appendix_-_10"/>
      <sheetName val="Nt_Items"/>
      <sheetName val="Swati_RA"/>
      <sheetName val="Neyo_RA"/>
      <sheetName val="Rate_Analysis_"/>
      <sheetName val="RAte_analyis"/>
      <sheetName val="????_???_??"/>
      <sheetName val="Final_MEASUREMENT_RA_-_04"/>
      <sheetName val="foot-slab_reinft"/>
      <sheetName val="Summary_of_Abst_"/>
      <sheetName val="Civil_Works"/>
      <sheetName val="Summary_output"/>
      <sheetName val="Boq_Block_A"/>
      <sheetName val="Measurement_26"/>
      <sheetName val="Measurement_27"/>
      <sheetName val="Concrete_30"/>
      <sheetName val="Measurement_utility"/>
      <sheetName val="Measurement_sump"/>
      <sheetName val="Filling_final_"/>
      <sheetName val="Additional_Items"/>
      <sheetName val="Measur_Storm"/>
      <sheetName val="Concrete_26"/>
      <sheetName val="Road_work"/>
      <sheetName val="Storm_water"/>
      <sheetName val="Materials_Cost"/>
      <sheetName val="Vordruck-Nr__7_1_3_D"/>
      <sheetName val="M&amp;A_D"/>
      <sheetName val="M&amp;A_E"/>
      <sheetName val="M&amp;A_G"/>
      <sheetName val="FINANCIAL_(FLR)"/>
      <sheetName val="Unit_prices"/>
      <sheetName val="precast_RC_element1"/>
      <sheetName val="CF_-_WW"/>
      <sheetName val="Actual_2010-11"/>
      <sheetName val="Actual_2009-10"/>
      <sheetName val="Budget_2010-11"/>
      <sheetName val="Bar_Chart_-_FHL_(M)"/>
      <sheetName val="ONE_TIME"/>
      <sheetName val="Boq_(Main_Building)"/>
      <sheetName val="S_BAHAN"/>
      <sheetName val="S_UPAH"/>
      <sheetName val="Seide_Customer_wise_"/>
      <sheetName val="Consl_LS"/>
      <sheetName val="Filati_Customer_wise"/>
      <sheetName val="Seide_LS"/>
      <sheetName val="Filati_LS"/>
      <sheetName val="Beam-design_exp"/>
      <sheetName val="M_B_T-16"/>
      <sheetName val="Break_Up"/>
      <sheetName val="ARCH"/>
      <sheetName val="Config"/>
      <sheetName val="Break Dw"/>
      <sheetName val="gen"/>
      <sheetName val="key dates"/>
      <sheetName val="Actuals"/>
      <sheetName val="PLT-SUM"/>
      <sheetName val="RBD ATS Inst-F"/>
      <sheetName val="Cable Comparison"/>
      <sheetName val="RBD DB-F"/>
      <sheetName val="RBD ATS-R"/>
      <sheetName val="RBD DB-R"/>
      <sheetName val="RBD MCC-F"/>
      <sheetName val="RBD MCC-R"/>
      <sheetName val="RBD SM-F"/>
      <sheetName val="RBD SM-R"/>
      <sheetName val="RBD HV-F"/>
      <sheetName val="RBD HV-R"/>
      <sheetName val="RBD ACB-F"/>
      <sheetName val="RBD ACB-R"/>
      <sheetName val="RBD ATS-F"/>
      <sheetName val="RBD LVs-F"/>
      <sheetName val="RBD LVs -R"/>
      <sheetName val="2C 10mm FP Cable"/>
      <sheetName val="2C 16mm Cable  "/>
      <sheetName val="2C 35mm Cable"/>
      <sheetName val="2C 50mm Cable"/>
      <sheetName val="2C 6mm Cable"/>
      <sheetName val="4C 240mm FP Cable "/>
      <sheetName val="4C 300mm FP Cable"/>
      <sheetName val="4C 50mm FP Cable"/>
      <sheetName val="tie beam(not used)"/>
      <sheetName val="pilecap"/>
      <sheetName val="wall"/>
      <sheetName val="raft,grade slab"/>
      <sheetName val="parapet"/>
      <sheetName val="stairs"/>
      <sheetName val="core wall"/>
      <sheetName val="pilecap(w.lap)"/>
      <sheetName val="raft slab"/>
      <sheetName val="B31.1"/>
      <sheetName val="PSIZE"/>
      <sheetName val="MOS"/>
      <sheetName val="MD REVIEW"/>
      <sheetName val="B&amp;C-REPORT"/>
      <sheetName val="B&amp;C-TILE QUANTITIES"/>
      <sheetName val="Valuation"/>
      <sheetName val="VA_code"/>
      <sheetName val="Hilfstab"/>
      <sheetName val="EC(Rev)"/>
      <sheetName val="Sheet9"/>
      <sheetName val="SECTION R"/>
      <sheetName val="EE SUM"/>
      <sheetName val="LLEGADA"/>
      <sheetName val="MEXICO-C"/>
      <sheetName val="D17-CL-C (2)"/>
      <sheetName val="IO_List7"/>
      <sheetName val="Sludge_Cal5"/>
      <sheetName val="NLD_-_Assum5"/>
      <sheetName val="3cd_Annexure5"/>
      <sheetName val="Operating_Statistics5"/>
      <sheetName val="Story_Drift-Part_25"/>
      <sheetName val="schedule_nos5"/>
      <sheetName val="RCC,Ret__Wall5"/>
      <sheetName val="Top_sheet4"/>
      <sheetName val="M-Book_for_Conc4"/>
      <sheetName val="Rein_Steel4"/>
      <sheetName val="M-Book_for_FW4"/>
      <sheetName val="M-Book_others4"/>
      <sheetName val="M-Book_filling4"/>
      <sheetName val="beam-reinft-machine_rm4"/>
      <sheetName val="Ave_wtd_rates5"/>
      <sheetName val="Material_5"/>
      <sheetName val="Bechtel_Norms5"/>
      <sheetName val="CS_PIPING5"/>
      <sheetName val="TECH_DATA5"/>
      <sheetName val="Works_-_Quote_Sheet4"/>
      <sheetName val="MASTER_RATE_ANALYSIS4"/>
      <sheetName val="PA-_Consutant_4"/>
      <sheetName val="IRP_all_H2s4"/>
      <sheetName val="@risk_rents_and_incentives4"/>
      <sheetName val="Car_park_lease4"/>
      <sheetName val="Net_rent_analysis4"/>
      <sheetName val="Structure_Bills_Qty4"/>
      <sheetName val="beam-reinft-IIInd_floor4"/>
      <sheetName val="old_serial_no_4"/>
      <sheetName val="water_prop_4"/>
      <sheetName val="Inter_Co_Balances4"/>
      <sheetName val="SP_Break_Up4"/>
      <sheetName val="Extra_Item3"/>
      <sheetName val="MS_Rates3"/>
      <sheetName val="Array_(2)3"/>
      <sheetName val="Boq-_Civil3"/>
      <sheetName val="Input_&amp;_Calculations3"/>
      <sheetName val="Project_Master3"/>
      <sheetName val="ESI_&amp;_PF_DELHI3"/>
      <sheetName val="Area_Statement3"/>
      <sheetName val="Debtors_Service_Tax3"/>
      <sheetName val="Stru_Labour_rate3"/>
      <sheetName val="Curing_Analysis3"/>
      <sheetName val="MS_items3"/>
      <sheetName val="Tunnel_Fw3"/>
      <sheetName val="Segment_Report_working3"/>
      <sheetName val="Fixed_Assets_&amp;_Depreciation3"/>
      <sheetName val="IT-Fri_Base3"/>
      <sheetName val="Materials_Cost(PCC)3"/>
      <sheetName val="Validation_sheet3"/>
      <sheetName val="Pile_cap3"/>
      <sheetName val="Back_Cal_for_OMC3"/>
      <sheetName val="std_wt_3"/>
      <sheetName val="Khalifa_Parkf3"/>
      <sheetName val="Westin_FOH_&amp;_BOH_Split3"/>
      <sheetName val="R_A_3"/>
      <sheetName val="L&amp;T_formwork_system3"/>
      <sheetName val="Pile_load_test-Rock_anchor3"/>
      <sheetName val="Design_(singly_reinforced_beam3"/>
      <sheetName val="Hoop_stress3"/>
      <sheetName val="shoring_using_plates3"/>
      <sheetName val="Gantry_track3"/>
      <sheetName val="DESIGN-abut-pile_fdn_-113"/>
      <sheetName val="Top_Sheet_(PZ)3"/>
      <sheetName val="Daywise_Summary3"/>
      <sheetName val="Road_wise_summary3"/>
      <sheetName val="Amit_Singh3"/>
      <sheetName val="RP_Pal3"/>
      <sheetName val="SWD_Road_WISE_Total_Qty3"/>
      <sheetName val="Done_Qty__FTM3"/>
      <sheetName val="Precast_Scope3"/>
      <sheetName val="AS_(PZ)3"/>
      <sheetName val="KPN_(PZ)3"/>
      <sheetName val="DOKA_shutter_design3"/>
      <sheetName val="Steel_shutter_design3"/>
      <sheetName val="gantry_cranes3"/>
      <sheetName val="bolted_splice3"/>
      <sheetName val="piercap_truss3"/>
      <sheetName val="Table_193"/>
      <sheetName val="Vertical_profile3"/>
      <sheetName val="-ve_Variation-Annx-1-Page-13"/>
      <sheetName val="Summary_of_variations-Anx-23"/>
      <sheetName val="CTP-13-Abstract-On_Account_Bil3"/>
      <sheetName val="Abstract-including_GST3"/>
      <sheetName val="Abstract_3"/>
      <sheetName val="Rate_Breakdowns_(Civil)3"/>
      <sheetName val="Materials_3"/>
      <sheetName val="5_Analysis3"/>
      <sheetName val="4_BOQ_air3"/>
      <sheetName val="Material_List_"/>
      <sheetName val="Equipment_List_(Process)"/>
      <sheetName val="Break_Dw"/>
      <sheetName val="key_dates"/>
      <sheetName val="FOH_D&amp;L"/>
      <sheetName val="Master_Data_Sheet"/>
      <sheetName val="Msht 5F"/>
      <sheetName val="Footings"/>
      <sheetName val="Driveway Beams"/>
      <sheetName val="Bill07"/>
      <sheetName val="Indirect"/>
      <sheetName val="take-off"/>
      <sheetName val="SITE WORK"/>
      <sheetName val="Recon Template"/>
      <sheetName val="Scatter"/>
      <sheetName val="Controls"/>
      <sheetName val="Project Info"/>
      <sheetName val="PriceList"/>
      <sheetName val="Sqn_(Main)_Abs"/>
      <sheetName val="Bill_5_-_Carpark"/>
      <sheetName val="JOB_COSTING_SHEET_ELEC"/>
      <sheetName val="Change_Order_Log"/>
      <sheetName val="EST-CIVIL"/>
      <sheetName val="Cashflow projection"/>
      <sheetName val="BoQ-1"/>
      <sheetName val="BoQ-2"/>
      <sheetName val="TBEAM"/>
      <sheetName val="BS"/>
      <sheetName val="labour rates"/>
      <sheetName val="NEW FILE CREATION SLIP(REGULAR)"/>
      <sheetName val="doq br."/>
      <sheetName val="Beam at Ground flr lvl(Steel)"/>
      <sheetName val="pt-cw"/>
      <sheetName val="SCHEDULE_(3)2"/>
      <sheetName val="Contractor-1-every_floor_5%2"/>
      <sheetName val="Wearing Course"/>
      <sheetName val="Road TCS Wise Details"/>
      <sheetName val="C &amp; G RHS"/>
      <sheetName val="Mechanical BOQ - BOQ Working"/>
      <sheetName val="TPL-Pipe Acc"/>
      <sheetName val="TPL-Foundation"/>
      <sheetName val="TPL-Pipe Fitting"/>
      <sheetName val="TPL-Plumbing Fix"/>
      <sheetName val="FIX_1-16"/>
      <sheetName val="Plumbing Fixture Schedule_DH"/>
      <sheetName val="PF_HX"/>
      <sheetName val="Plumbing Fixture Schedule_OB"/>
      <sheetName val="PS_1-16"/>
      <sheetName val="Pipe Schedule_DH"/>
      <sheetName val="Pipe Schedule_OB"/>
      <sheetName val="TPL-Pipe"/>
      <sheetName val="PS_HX"/>
      <sheetName val="PMV Data"/>
    </sheetNames>
    <sheetDataSet>
      <sheetData sheetId="0">
        <row r="81">
          <cell r="H81">
            <v>222.566</v>
          </cell>
        </row>
      </sheetData>
      <sheetData sheetId="1">
        <row r="81">
          <cell r="H81">
            <v>222.566</v>
          </cell>
        </row>
      </sheetData>
      <sheetData sheetId="2">
        <row r="81">
          <cell r="H81">
            <v>222.566</v>
          </cell>
        </row>
      </sheetData>
      <sheetData sheetId="3">
        <row r="81">
          <cell r="H81">
            <v>222.566</v>
          </cell>
        </row>
      </sheetData>
      <sheetData sheetId="4">
        <row r="81">
          <cell r="H81">
            <v>222.566</v>
          </cell>
        </row>
      </sheetData>
      <sheetData sheetId="5">
        <row r="81">
          <cell r="H81">
            <v>222.566</v>
          </cell>
        </row>
      </sheetData>
      <sheetData sheetId="6"/>
      <sheetData sheetId="7">
        <row r="81">
          <cell r="H81">
            <v>222.566</v>
          </cell>
        </row>
      </sheetData>
      <sheetData sheetId="8">
        <row r="81">
          <cell r="H81">
            <v>222.566</v>
          </cell>
        </row>
      </sheetData>
      <sheetData sheetId="9">
        <row r="81">
          <cell r="H81">
            <v>222.566</v>
          </cell>
        </row>
      </sheetData>
      <sheetData sheetId="10">
        <row r="81">
          <cell r="H81">
            <v>222.566</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81">
          <cell r="H81">
            <v>222.566</v>
          </cell>
        </row>
      </sheetData>
      <sheetData sheetId="133">
        <row r="81">
          <cell r="H81">
            <v>222.566</v>
          </cell>
        </row>
      </sheetData>
      <sheetData sheetId="134">
        <row r="81">
          <cell r="H81">
            <v>222.566</v>
          </cell>
        </row>
      </sheetData>
      <sheetData sheetId="135">
        <row r="81">
          <cell r="H81">
            <v>222.566</v>
          </cell>
        </row>
      </sheetData>
      <sheetData sheetId="136">
        <row r="81">
          <cell r="H81">
            <v>222.566</v>
          </cell>
        </row>
      </sheetData>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ow r="81">
          <cell r="H81">
            <v>222.566</v>
          </cell>
        </row>
      </sheetData>
      <sheetData sheetId="167">
        <row r="81">
          <cell r="H81">
            <v>222.566</v>
          </cell>
        </row>
      </sheetData>
      <sheetData sheetId="168">
        <row r="81">
          <cell r="H81">
            <v>222.566</v>
          </cell>
        </row>
      </sheetData>
      <sheetData sheetId="169">
        <row r="81">
          <cell r="H81">
            <v>222.566</v>
          </cell>
        </row>
      </sheetData>
      <sheetData sheetId="170">
        <row r="81">
          <cell r="H81">
            <v>222.566</v>
          </cell>
        </row>
      </sheetData>
      <sheetData sheetId="171">
        <row r="81">
          <cell r="H81">
            <v>222.566</v>
          </cell>
        </row>
      </sheetData>
      <sheetData sheetId="172">
        <row r="81">
          <cell r="H81">
            <v>222.566</v>
          </cell>
        </row>
      </sheetData>
      <sheetData sheetId="173">
        <row r="81">
          <cell r="H81">
            <v>222.566</v>
          </cell>
        </row>
      </sheetData>
      <sheetData sheetId="174">
        <row r="81">
          <cell r="H81">
            <v>222.566</v>
          </cell>
        </row>
      </sheetData>
      <sheetData sheetId="175">
        <row r="81">
          <cell r="H81">
            <v>222.566</v>
          </cell>
        </row>
      </sheetData>
      <sheetData sheetId="176">
        <row r="81">
          <cell r="H81">
            <v>222.566</v>
          </cell>
        </row>
      </sheetData>
      <sheetData sheetId="177">
        <row r="81">
          <cell r="H81">
            <v>222.566</v>
          </cell>
        </row>
      </sheetData>
      <sheetData sheetId="178">
        <row r="81">
          <cell r="H81">
            <v>222.566</v>
          </cell>
        </row>
      </sheetData>
      <sheetData sheetId="179">
        <row r="81">
          <cell r="H81">
            <v>222.566</v>
          </cell>
        </row>
      </sheetData>
      <sheetData sheetId="180">
        <row r="81">
          <cell r="H81">
            <v>222.566</v>
          </cell>
        </row>
      </sheetData>
      <sheetData sheetId="181">
        <row r="81">
          <cell r="H81">
            <v>222.566</v>
          </cell>
        </row>
      </sheetData>
      <sheetData sheetId="182">
        <row r="81">
          <cell r="H81">
            <v>222.566</v>
          </cell>
        </row>
      </sheetData>
      <sheetData sheetId="183">
        <row r="81">
          <cell r="H81">
            <v>222.566</v>
          </cell>
        </row>
      </sheetData>
      <sheetData sheetId="184"/>
      <sheetData sheetId="185">
        <row r="81">
          <cell r="H81">
            <v>222.566</v>
          </cell>
        </row>
      </sheetData>
      <sheetData sheetId="186">
        <row r="81">
          <cell r="H81">
            <v>222.566</v>
          </cell>
        </row>
      </sheetData>
      <sheetData sheetId="187"/>
      <sheetData sheetId="188">
        <row r="944">
          <cell r="H944">
            <v>439.20800000000003</v>
          </cell>
        </row>
      </sheetData>
      <sheetData sheetId="189"/>
      <sheetData sheetId="190"/>
      <sheetData sheetId="191">
        <row r="81">
          <cell r="H81">
            <v>222.566</v>
          </cell>
        </row>
      </sheetData>
      <sheetData sheetId="192">
        <row r="81">
          <cell r="H81">
            <v>222.566</v>
          </cell>
        </row>
      </sheetData>
      <sheetData sheetId="193"/>
      <sheetData sheetId="194"/>
      <sheetData sheetId="195">
        <row r="81">
          <cell r="H81">
            <v>222.566</v>
          </cell>
        </row>
      </sheetData>
      <sheetData sheetId="196"/>
      <sheetData sheetId="197"/>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ow r="81">
          <cell r="H81">
            <v>222.566</v>
          </cell>
        </row>
      </sheetData>
      <sheetData sheetId="210">
        <row r="81">
          <cell r="H81">
            <v>222.566</v>
          </cell>
        </row>
      </sheetData>
      <sheetData sheetId="211">
        <row r="81">
          <cell r="H81">
            <v>222.566</v>
          </cell>
        </row>
      </sheetData>
      <sheetData sheetId="212">
        <row r="81">
          <cell r="H81">
            <v>222.566</v>
          </cell>
        </row>
      </sheetData>
      <sheetData sheetId="213">
        <row r="81">
          <cell r="H81">
            <v>222.566</v>
          </cell>
        </row>
      </sheetData>
      <sheetData sheetId="214">
        <row r="81">
          <cell r="H81">
            <v>222.566</v>
          </cell>
        </row>
      </sheetData>
      <sheetData sheetId="215">
        <row r="81">
          <cell r="H81">
            <v>222.566</v>
          </cell>
        </row>
      </sheetData>
      <sheetData sheetId="216">
        <row r="81">
          <cell r="H81">
            <v>222.566</v>
          </cell>
        </row>
      </sheetData>
      <sheetData sheetId="217">
        <row r="81">
          <cell r="H81">
            <v>222.566</v>
          </cell>
        </row>
      </sheetData>
      <sheetData sheetId="218">
        <row r="81">
          <cell r="H81">
            <v>222.566</v>
          </cell>
        </row>
      </sheetData>
      <sheetData sheetId="219">
        <row r="81">
          <cell r="H81">
            <v>222.566</v>
          </cell>
        </row>
      </sheetData>
      <sheetData sheetId="220">
        <row r="81">
          <cell r="H81">
            <v>222.566</v>
          </cell>
        </row>
      </sheetData>
      <sheetData sheetId="221">
        <row r="81">
          <cell r="H81">
            <v>222.566</v>
          </cell>
        </row>
      </sheetData>
      <sheetData sheetId="222">
        <row r="81">
          <cell r="H81">
            <v>222.566</v>
          </cell>
        </row>
      </sheetData>
      <sheetData sheetId="223">
        <row r="81">
          <cell r="H81">
            <v>222.566</v>
          </cell>
        </row>
      </sheetData>
      <sheetData sheetId="224">
        <row r="81">
          <cell r="H81">
            <v>222.566</v>
          </cell>
        </row>
      </sheetData>
      <sheetData sheetId="225">
        <row r="81">
          <cell r="H81">
            <v>222.566</v>
          </cell>
        </row>
      </sheetData>
      <sheetData sheetId="226">
        <row r="81">
          <cell r="H81">
            <v>222.566</v>
          </cell>
        </row>
      </sheetData>
      <sheetData sheetId="227">
        <row r="81">
          <cell r="H81">
            <v>222.566</v>
          </cell>
        </row>
      </sheetData>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ow r="81">
          <cell r="H81">
            <v>222.566</v>
          </cell>
        </row>
      </sheetData>
      <sheetData sheetId="238">
        <row r="81">
          <cell r="H81">
            <v>222.566</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ow r="81">
          <cell r="H81">
            <v>222.566</v>
          </cell>
        </row>
      </sheetData>
      <sheetData sheetId="264">
        <row r="81">
          <cell r="H81">
            <v>222.566</v>
          </cell>
        </row>
      </sheetData>
      <sheetData sheetId="265" refreshError="1"/>
      <sheetData sheetId="266">
        <row r="81">
          <cell r="H81">
            <v>222.566</v>
          </cell>
        </row>
      </sheetData>
      <sheetData sheetId="267">
        <row r="81">
          <cell r="H81">
            <v>222.566</v>
          </cell>
        </row>
      </sheetData>
      <sheetData sheetId="268" refreshError="1"/>
      <sheetData sheetId="269">
        <row r="81">
          <cell r="H81">
            <v>222.566</v>
          </cell>
        </row>
      </sheetData>
      <sheetData sheetId="270">
        <row r="81">
          <cell r="H81">
            <v>222.566</v>
          </cell>
        </row>
      </sheetData>
      <sheetData sheetId="271">
        <row r="81">
          <cell r="H81">
            <v>222.566</v>
          </cell>
        </row>
      </sheetData>
      <sheetData sheetId="272">
        <row r="81">
          <cell r="H81">
            <v>222.566</v>
          </cell>
        </row>
      </sheetData>
      <sheetData sheetId="273">
        <row r="81">
          <cell r="H81">
            <v>222.566</v>
          </cell>
        </row>
      </sheetData>
      <sheetData sheetId="274">
        <row r="81">
          <cell r="H81">
            <v>222.566</v>
          </cell>
        </row>
      </sheetData>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ow r="81">
          <cell r="H81">
            <v>222.566</v>
          </cell>
        </row>
      </sheetData>
      <sheetData sheetId="321" refreshError="1"/>
      <sheetData sheetId="322" refreshError="1"/>
      <sheetData sheetId="323" refreshError="1"/>
      <sheetData sheetId="324">
        <row r="81">
          <cell r="H81">
            <v>222.566</v>
          </cell>
        </row>
      </sheetData>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ow r="81">
          <cell r="H81">
            <v>222.566</v>
          </cell>
        </row>
      </sheetData>
      <sheetData sheetId="360">
        <row r="81">
          <cell r="H81">
            <v>222.566</v>
          </cell>
        </row>
      </sheetData>
      <sheetData sheetId="361">
        <row r="81">
          <cell r="H81">
            <v>222.566</v>
          </cell>
        </row>
      </sheetData>
      <sheetData sheetId="362">
        <row r="81">
          <cell r="H81">
            <v>222.566</v>
          </cell>
        </row>
      </sheetData>
      <sheetData sheetId="363">
        <row r="81">
          <cell r="H81">
            <v>222.566</v>
          </cell>
        </row>
      </sheetData>
      <sheetData sheetId="364">
        <row r="81">
          <cell r="H81">
            <v>222.566</v>
          </cell>
        </row>
      </sheetData>
      <sheetData sheetId="365">
        <row r="81">
          <cell r="H81">
            <v>222.566</v>
          </cell>
        </row>
      </sheetData>
      <sheetData sheetId="366">
        <row r="81">
          <cell r="H81">
            <v>222.566</v>
          </cell>
        </row>
      </sheetData>
      <sheetData sheetId="367">
        <row r="81">
          <cell r="H81">
            <v>222.566</v>
          </cell>
        </row>
      </sheetData>
      <sheetData sheetId="368">
        <row r="81">
          <cell r="H81">
            <v>222.566</v>
          </cell>
        </row>
      </sheetData>
      <sheetData sheetId="369">
        <row r="81">
          <cell r="H81">
            <v>222.566</v>
          </cell>
        </row>
      </sheetData>
      <sheetData sheetId="370">
        <row r="81">
          <cell r="H81">
            <v>222.566</v>
          </cell>
        </row>
      </sheetData>
      <sheetData sheetId="371">
        <row r="81">
          <cell r="H81">
            <v>222.566</v>
          </cell>
        </row>
      </sheetData>
      <sheetData sheetId="372">
        <row r="81">
          <cell r="H81">
            <v>222.566</v>
          </cell>
        </row>
      </sheetData>
      <sheetData sheetId="373">
        <row r="81">
          <cell r="H81">
            <v>222.566</v>
          </cell>
        </row>
      </sheetData>
      <sheetData sheetId="374">
        <row r="81">
          <cell r="H81">
            <v>222.566</v>
          </cell>
        </row>
      </sheetData>
      <sheetData sheetId="375" refreshError="1"/>
      <sheetData sheetId="376" refreshError="1"/>
      <sheetData sheetId="377" refreshError="1"/>
      <sheetData sheetId="378" refreshError="1"/>
      <sheetData sheetId="379" refreshError="1"/>
      <sheetData sheetId="380" refreshError="1"/>
      <sheetData sheetId="381">
        <row r="81">
          <cell r="H81">
            <v>222.566</v>
          </cell>
        </row>
      </sheetData>
      <sheetData sheetId="382">
        <row r="81">
          <cell r="H81">
            <v>222.566</v>
          </cell>
        </row>
      </sheetData>
      <sheetData sheetId="383">
        <row r="81">
          <cell r="H81">
            <v>222.566</v>
          </cell>
        </row>
      </sheetData>
      <sheetData sheetId="384">
        <row r="81">
          <cell r="H81">
            <v>222.566</v>
          </cell>
        </row>
      </sheetData>
      <sheetData sheetId="385" refreshError="1"/>
      <sheetData sheetId="386" refreshError="1"/>
      <sheetData sheetId="387" refreshError="1"/>
      <sheetData sheetId="388" refreshError="1"/>
      <sheetData sheetId="389" refreshError="1"/>
      <sheetData sheetId="390" refreshError="1"/>
      <sheetData sheetId="391" refreshError="1"/>
      <sheetData sheetId="392">
        <row r="81">
          <cell r="H81">
            <v>222.566</v>
          </cell>
        </row>
      </sheetData>
      <sheetData sheetId="393">
        <row r="81">
          <cell r="H81">
            <v>222.566</v>
          </cell>
        </row>
      </sheetData>
      <sheetData sheetId="394">
        <row r="81">
          <cell r="H81">
            <v>222.566</v>
          </cell>
        </row>
      </sheetData>
      <sheetData sheetId="395">
        <row r="81">
          <cell r="H81">
            <v>222.566</v>
          </cell>
        </row>
      </sheetData>
      <sheetData sheetId="396" refreshError="1"/>
      <sheetData sheetId="397" refreshError="1"/>
      <sheetData sheetId="398" refreshError="1"/>
      <sheetData sheetId="399" refreshError="1"/>
      <sheetData sheetId="400" refreshError="1"/>
      <sheetData sheetId="401" refreshError="1"/>
      <sheetData sheetId="402">
        <row r="81">
          <cell r="H81">
            <v>222.566</v>
          </cell>
        </row>
      </sheetData>
      <sheetData sheetId="403">
        <row r="81">
          <cell r="H81">
            <v>222.566</v>
          </cell>
        </row>
      </sheetData>
      <sheetData sheetId="404">
        <row r="81">
          <cell r="H81">
            <v>222.566</v>
          </cell>
        </row>
      </sheetData>
      <sheetData sheetId="405">
        <row r="81">
          <cell r="H81">
            <v>222.566</v>
          </cell>
        </row>
      </sheetData>
      <sheetData sheetId="406">
        <row r="81">
          <cell r="H81">
            <v>222.566</v>
          </cell>
        </row>
      </sheetData>
      <sheetData sheetId="407">
        <row r="81">
          <cell r="H81">
            <v>222.566</v>
          </cell>
        </row>
      </sheetData>
      <sheetData sheetId="408">
        <row r="81">
          <cell r="H81">
            <v>222.566</v>
          </cell>
        </row>
      </sheetData>
      <sheetData sheetId="409">
        <row r="81">
          <cell r="H81">
            <v>222.566</v>
          </cell>
        </row>
      </sheetData>
      <sheetData sheetId="410" refreshError="1"/>
      <sheetData sheetId="411" refreshError="1"/>
      <sheetData sheetId="412" refreshError="1"/>
      <sheetData sheetId="413">
        <row r="81">
          <cell r="H81">
            <v>222.566</v>
          </cell>
        </row>
      </sheetData>
      <sheetData sheetId="414" refreshError="1"/>
      <sheetData sheetId="415" refreshError="1"/>
      <sheetData sheetId="416" refreshError="1"/>
      <sheetData sheetId="417">
        <row r="81">
          <cell r="H81">
            <v>222.566</v>
          </cell>
        </row>
      </sheetData>
      <sheetData sheetId="418">
        <row r="81">
          <cell r="H81">
            <v>222.566</v>
          </cell>
        </row>
      </sheetData>
      <sheetData sheetId="419">
        <row r="81">
          <cell r="H81">
            <v>222.566</v>
          </cell>
        </row>
      </sheetData>
      <sheetData sheetId="420" refreshError="1"/>
      <sheetData sheetId="421" refreshError="1"/>
      <sheetData sheetId="422" refreshError="1"/>
      <sheetData sheetId="423" refreshError="1"/>
      <sheetData sheetId="424">
        <row r="81">
          <cell r="H81">
            <v>222.566</v>
          </cell>
        </row>
      </sheetData>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ow r="81">
          <cell r="H81">
            <v>222.566</v>
          </cell>
        </row>
      </sheetData>
      <sheetData sheetId="436" refreshError="1"/>
      <sheetData sheetId="437" refreshError="1"/>
      <sheetData sheetId="438">
        <row r="81">
          <cell r="H81">
            <v>222.566</v>
          </cell>
        </row>
      </sheetData>
      <sheetData sheetId="439" refreshError="1"/>
      <sheetData sheetId="440" refreshError="1"/>
      <sheetData sheetId="441"/>
      <sheetData sheetId="442"/>
      <sheetData sheetId="443"/>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ow r="81">
          <cell r="H81">
            <v>222.566</v>
          </cell>
        </row>
      </sheetData>
      <sheetData sheetId="493">
        <row r="81">
          <cell r="H81">
            <v>222.566</v>
          </cell>
        </row>
      </sheetData>
      <sheetData sheetId="494">
        <row r="81">
          <cell r="H81">
            <v>222.566</v>
          </cell>
        </row>
      </sheetData>
      <sheetData sheetId="495">
        <row r="81">
          <cell r="H81">
            <v>222.566</v>
          </cell>
        </row>
      </sheetData>
      <sheetData sheetId="496" refreshError="1"/>
      <sheetData sheetId="497" refreshError="1"/>
      <sheetData sheetId="498" refreshError="1"/>
      <sheetData sheetId="499" refreshError="1"/>
      <sheetData sheetId="500" refreshError="1"/>
      <sheetData sheetId="501">
        <row r="81">
          <cell r="H81">
            <v>222.566</v>
          </cell>
        </row>
      </sheetData>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ow r="81">
          <cell r="H81">
            <v>222.566</v>
          </cell>
        </row>
      </sheetData>
      <sheetData sheetId="522">
        <row r="81">
          <cell r="H81">
            <v>222.566</v>
          </cell>
        </row>
      </sheetData>
      <sheetData sheetId="523">
        <row r="81">
          <cell r="H81">
            <v>222.566</v>
          </cell>
        </row>
      </sheetData>
      <sheetData sheetId="524">
        <row r="81">
          <cell r="H81">
            <v>222.566</v>
          </cell>
        </row>
      </sheetData>
      <sheetData sheetId="525"/>
      <sheetData sheetId="526">
        <row r="81">
          <cell r="H81">
            <v>222.566</v>
          </cell>
        </row>
      </sheetData>
      <sheetData sheetId="527">
        <row r="81">
          <cell r="H81">
            <v>222.566</v>
          </cell>
        </row>
      </sheetData>
      <sheetData sheetId="528">
        <row r="81">
          <cell r="H81">
            <v>222.566</v>
          </cell>
        </row>
      </sheetData>
      <sheetData sheetId="529">
        <row r="81">
          <cell r="H81">
            <v>222.566</v>
          </cell>
        </row>
      </sheetData>
      <sheetData sheetId="530">
        <row r="81">
          <cell r="H81">
            <v>222.566</v>
          </cell>
        </row>
      </sheetData>
      <sheetData sheetId="531">
        <row r="81">
          <cell r="H81">
            <v>222.566</v>
          </cell>
        </row>
      </sheetData>
      <sheetData sheetId="532">
        <row r="81">
          <cell r="H81">
            <v>222.566</v>
          </cell>
        </row>
      </sheetData>
      <sheetData sheetId="533">
        <row r="81">
          <cell r="H81">
            <v>222.566</v>
          </cell>
        </row>
      </sheetData>
      <sheetData sheetId="534">
        <row r="81">
          <cell r="H81">
            <v>222.566</v>
          </cell>
        </row>
      </sheetData>
      <sheetData sheetId="535" refreshError="1"/>
      <sheetData sheetId="536" refreshError="1"/>
      <sheetData sheetId="537">
        <row r="81">
          <cell r="H81">
            <v>222.566</v>
          </cell>
        </row>
      </sheetData>
      <sheetData sheetId="538">
        <row r="81">
          <cell r="H81">
            <v>222.566</v>
          </cell>
        </row>
      </sheetData>
      <sheetData sheetId="539">
        <row r="81">
          <cell r="H81">
            <v>222.566</v>
          </cell>
        </row>
      </sheetData>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ow r="81">
          <cell r="H81">
            <v>222.566</v>
          </cell>
        </row>
      </sheetData>
      <sheetData sheetId="551" refreshError="1"/>
      <sheetData sheetId="552" refreshError="1"/>
      <sheetData sheetId="553" refreshError="1"/>
      <sheetData sheetId="554">
        <row r="81">
          <cell r="H81">
            <v>222.566</v>
          </cell>
        </row>
      </sheetData>
      <sheetData sheetId="555">
        <row r="81">
          <cell r="H81">
            <v>222.566</v>
          </cell>
        </row>
      </sheetData>
      <sheetData sheetId="556">
        <row r="81">
          <cell r="H81">
            <v>222.566</v>
          </cell>
        </row>
      </sheetData>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ow r="81">
          <cell r="H81">
            <v>222.566</v>
          </cell>
        </row>
      </sheetData>
      <sheetData sheetId="567">
        <row r="81">
          <cell r="H81">
            <v>222.566</v>
          </cell>
        </row>
      </sheetData>
      <sheetData sheetId="568">
        <row r="81">
          <cell r="H81">
            <v>222.566</v>
          </cell>
        </row>
      </sheetData>
      <sheetData sheetId="569" refreshError="1"/>
      <sheetData sheetId="570" refreshError="1"/>
      <sheetData sheetId="571" refreshError="1"/>
      <sheetData sheetId="572" refreshError="1"/>
      <sheetData sheetId="573">
        <row r="81">
          <cell r="H81">
            <v>222.566</v>
          </cell>
        </row>
      </sheetData>
      <sheetData sheetId="574">
        <row r="81">
          <cell r="H81">
            <v>222.566</v>
          </cell>
        </row>
      </sheetData>
      <sheetData sheetId="575">
        <row r="81">
          <cell r="H81">
            <v>222.566</v>
          </cell>
        </row>
      </sheetData>
      <sheetData sheetId="576">
        <row r="81">
          <cell r="H81">
            <v>222.566</v>
          </cell>
        </row>
      </sheetData>
      <sheetData sheetId="577">
        <row r="81">
          <cell r="H81">
            <v>222.566</v>
          </cell>
        </row>
      </sheetData>
      <sheetData sheetId="578">
        <row r="81">
          <cell r="H81">
            <v>222.566</v>
          </cell>
        </row>
      </sheetData>
      <sheetData sheetId="579">
        <row r="81">
          <cell r="H81">
            <v>222.566</v>
          </cell>
        </row>
      </sheetData>
      <sheetData sheetId="580">
        <row r="81">
          <cell r="H81">
            <v>222.566</v>
          </cell>
        </row>
      </sheetData>
      <sheetData sheetId="581">
        <row r="81">
          <cell r="H81">
            <v>222.566</v>
          </cell>
        </row>
      </sheetData>
      <sheetData sheetId="582" refreshError="1"/>
      <sheetData sheetId="583" refreshError="1"/>
      <sheetData sheetId="584" refreshError="1"/>
      <sheetData sheetId="585" refreshError="1"/>
      <sheetData sheetId="586" refreshError="1"/>
      <sheetData sheetId="587" refreshError="1"/>
      <sheetData sheetId="588" refreshError="1"/>
      <sheetData sheetId="589">
        <row r="81">
          <cell r="H81">
            <v>222.566</v>
          </cell>
        </row>
      </sheetData>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ow r="81">
          <cell r="H81">
            <v>222.566</v>
          </cell>
        </row>
      </sheetData>
      <sheetData sheetId="599">
        <row r="81">
          <cell r="H81">
            <v>222.566</v>
          </cell>
        </row>
      </sheetData>
      <sheetData sheetId="600">
        <row r="81">
          <cell r="H81">
            <v>222.566</v>
          </cell>
        </row>
      </sheetData>
      <sheetData sheetId="601" refreshError="1"/>
      <sheetData sheetId="602">
        <row r="81">
          <cell r="H81">
            <v>222.566</v>
          </cell>
        </row>
      </sheetData>
      <sheetData sheetId="603" refreshError="1"/>
      <sheetData sheetId="604" refreshError="1"/>
      <sheetData sheetId="605" refreshError="1"/>
      <sheetData sheetId="606" refreshError="1"/>
      <sheetData sheetId="607">
        <row r="81">
          <cell r="H81">
            <v>222.566</v>
          </cell>
        </row>
      </sheetData>
      <sheetData sheetId="608" refreshError="1"/>
      <sheetData sheetId="609">
        <row r="81">
          <cell r="H81">
            <v>222.566</v>
          </cell>
        </row>
      </sheetData>
      <sheetData sheetId="610" refreshError="1"/>
      <sheetData sheetId="611" refreshError="1"/>
      <sheetData sheetId="612">
        <row r="81">
          <cell r="H81">
            <v>222.566</v>
          </cell>
        </row>
      </sheetData>
      <sheetData sheetId="613">
        <row r="81">
          <cell r="H81">
            <v>222.566</v>
          </cell>
        </row>
      </sheetData>
      <sheetData sheetId="614">
        <row r="81">
          <cell r="H81">
            <v>222.566</v>
          </cell>
        </row>
      </sheetData>
      <sheetData sheetId="615" refreshError="1"/>
      <sheetData sheetId="616" refreshError="1"/>
      <sheetData sheetId="617">
        <row r="81">
          <cell r="H81">
            <v>222.566</v>
          </cell>
        </row>
      </sheetData>
      <sheetData sheetId="618">
        <row r="81">
          <cell r="H81">
            <v>222.566</v>
          </cell>
        </row>
      </sheetData>
      <sheetData sheetId="619">
        <row r="81">
          <cell r="H81">
            <v>222.566</v>
          </cell>
        </row>
      </sheetData>
      <sheetData sheetId="620">
        <row r="81">
          <cell r="H81">
            <v>222.566</v>
          </cell>
        </row>
      </sheetData>
      <sheetData sheetId="621" refreshError="1"/>
      <sheetData sheetId="622" refreshError="1"/>
      <sheetData sheetId="623">
        <row r="81">
          <cell r="H81">
            <v>222.566</v>
          </cell>
        </row>
      </sheetData>
      <sheetData sheetId="624" refreshError="1"/>
      <sheetData sheetId="625" refreshError="1"/>
      <sheetData sheetId="626" refreshError="1"/>
      <sheetData sheetId="627" refreshError="1"/>
      <sheetData sheetId="628" refreshError="1"/>
      <sheetData sheetId="629" refreshError="1"/>
      <sheetData sheetId="630">
        <row r="81">
          <cell r="H81">
            <v>222.566</v>
          </cell>
        </row>
      </sheetData>
      <sheetData sheetId="631" refreshError="1"/>
      <sheetData sheetId="632" refreshError="1"/>
      <sheetData sheetId="633">
        <row r="81">
          <cell r="H81">
            <v>222.566</v>
          </cell>
        </row>
      </sheetData>
      <sheetData sheetId="634">
        <row r="81">
          <cell r="H81">
            <v>222.566</v>
          </cell>
        </row>
      </sheetData>
      <sheetData sheetId="635">
        <row r="81">
          <cell r="H81">
            <v>222.566</v>
          </cell>
        </row>
      </sheetData>
      <sheetData sheetId="636">
        <row r="81">
          <cell r="H81">
            <v>222.566</v>
          </cell>
        </row>
      </sheetData>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ow r="81">
          <cell r="H81">
            <v>222.566</v>
          </cell>
        </row>
      </sheetData>
      <sheetData sheetId="688">
        <row r="81">
          <cell r="H81">
            <v>222.566</v>
          </cell>
        </row>
      </sheetData>
      <sheetData sheetId="689">
        <row r="81">
          <cell r="H81">
            <v>222.566</v>
          </cell>
        </row>
      </sheetData>
      <sheetData sheetId="690">
        <row r="81">
          <cell r="H81">
            <v>222.566</v>
          </cell>
        </row>
      </sheetData>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ow r="81">
          <cell r="H81">
            <v>222.566</v>
          </cell>
        </row>
      </sheetData>
      <sheetData sheetId="731">
        <row r="81">
          <cell r="H81">
            <v>222.566</v>
          </cell>
        </row>
      </sheetData>
      <sheetData sheetId="732">
        <row r="81">
          <cell r="H81">
            <v>222.566</v>
          </cell>
        </row>
      </sheetData>
      <sheetData sheetId="733">
        <row r="81">
          <cell r="H81">
            <v>222.566</v>
          </cell>
        </row>
      </sheetData>
      <sheetData sheetId="734">
        <row r="81">
          <cell r="H81">
            <v>222.566</v>
          </cell>
        </row>
      </sheetData>
      <sheetData sheetId="735">
        <row r="81">
          <cell r="H81">
            <v>222.566</v>
          </cell>
        </row>
      </sheetData>
      <sheetData sheetId="736">
        <row r="81">
          <cell r="H81">
            <v>222.566</v>
          </cell>
        </row>
      </sheetData>
      <sheetData sheetId="737">
        <row r="81">
          <cell r="H81">
            <v>222.566</v>
          </cell>
        </row>
      </sheetData>
      <sheetData sheetId="738">
        <row r="81">
          <cell r="H81">
            <v>222.566</v>
          </cell>
        </row>
      </sheetData>
      <sheetData sheetId="739">
        <row r="81">
          <cell r="H81">
            <v>222.566</v>
          </cell>
        </row>
      </sheetData>
      <sheetData sheetId="740">
        <row r="81">
          <cell r="H81">
            <v>222.566</v>
          </cell>
        </row>
      </sheetData>
      <sheetData sheetId="741">
        <row r="81">
          <cell r="H81">
            <v>222.566</v>
          </cell>
        </row>
      </sheetData>
      <sheetData sheetId="742">
        <row r="81">
          <cell r="H81">
            <v>222.566</v>
          </cell>
        </row>
      </sheetData>
      <sheetData sheetId="743">
        <row r="81">
          <cell r="H81">
            <v>222.566</v>
          </cell>
        </row>
      </sheetData>
      <sheetData sheetId="744">
        <row r="81">
          <cell r="H81">
            <v>222.566</v>
          </cell>
        </row>
      </sheetData>
      <sheetData sheetId="745">
        <row r="81">
          <cell r="H81">
            <v>222.566</v>
          </cell>
        </row>
      </sheetData>
      <sheetData sheetId="746">
        <row r="81">
          <cell r="H81">
            <v>222.566</v>
          </cell>
        </row>
      </sheetData>
      <sheetData sheetId="747">
        <row r="81">
          <cell r="H81">
            <v>222.566</v>
          </cell>
        </row>
      </sheetData>
      <sheetData sheetId="748">
        <row r="81">
          <cell r="H81">
            <v>222.566</v>
          </cell>
        </row>
      </sheetData>
      <sheetData sheetId="749">
        <row r="81">
          <cell r="H81">
            <v>222.566</v>
          </cell>
        </row>
      </sheetData>
      <sheetData sheetId="750">
        <row r="81">
          <cell r="H81">
            <v>222.566</v>
          </cell>
        </row>
      </sheetData>
      <sheetData sheetId="751">
        <row r="81">
          <cell r="H81">
            <v>222.566</v>
          </cell>
        </row>
      </sheetData>
      <sheetData sheetId="752">
        <row r="81">
          <cell r="H81">
            <v>222.566</v>
          </cell>
        </row>
      </sheetData>
      <sheetData sheetId="753">
        <row r="81">
          <cell r="H81">
            <v>222.566</v>
          </cell>
        </row>
      </sheetData>
      <sheetData sheetId="754">
        <row r="81">
          <cell r="H81">
            <v>222.566</v>
          </cell>
        </row>
      </sheetData>
      <sheetData sheetId="755">
        <row r="81">
          <cell r="H81">
            <v>222.566</v>
          </cell>
        </row>
      </sheetData>
      <sheetData sheetId="756">
        <row r="81">
          <cell r="H81">
            <v>222.566</v>
          </cell>
        </row>
      </sheetData>
      <sheetData sheetId="757">
        <row r="81">
          <cell r="H81">
            <v>222.566</v>
          </cell>
        </row>
      </sheetData>
      <sheetData sheetId="758">
        <row r="81">
          <cell r="H81">
            <v>222.566</v>
          </cell>
        </row>
      </sheetData>
      <sheetData sheetId="759">
        <row r="81">
          <cell r="H81">
            <v>222.566</v>
          </cell>
        </row>
      </sheetData>
      <sheetData sheetId="760">
        <row r="81">
          <cell r="H81">
            <v>222.566</v>
          </cell>
        </row>
      </sheetData>
      <sheetData sheetId="761">
        <row r="81">
          <cell r="H81">
            <v>222.566</v>
          </cell>
        </row>
      </sheetData>
      <sheetData sheetId="762">
        <row r="81">
          <cell r="H81">
            <v>222.566</v>
          </cell>
        </row>
      </sheetData>
      <sheetData sheetId="763">
        <row r="81">
          <cell r="H81">
            <v>222.566</v>
          </cell>
        </row>
      </sheetData>
      <sheetData sheetId="764">
        <row r="81">
          <cell r="H81">
            <v>222.566</v>
          </cell>
        </row>
      </sheetData>
      <sheetData sheetId="765">
        <row r="81">
          <cell r="H81">
            <v>222.566</v>
          </cell>
        </row>
      </sheetData>
      <sheetData sheetId="766">
        <row r="81">
          <cell r="H81">
            <v>222.566</v>
          </cell>
        </row>
      </sheetData>
      <sheetData sheetId="767">
        <row r="81">
          <cell r="H81">
            <v>222.566</v>
          </cell>
        </row>
      </sheetData>
      <sheetData sheetId="768">
        <row r="81">
          <cell r="H81">
            <v>222.566</v>
          </cell>
        </row>
      </sheetData>
      <sheetData sheetId="769">
        <row r="81">
          <cell r="H81">
            <v>222.566</v>
          </cell>
        </row>
      </sheetData>
      <sheetData sheetId="770" refreshError="1"/>
      <sheetData sheetId="771">
        <row r="81">
          <cell r="H81">
            <v>222.566</v>
          </cell>
        </row>
      </sheetData>
      <sheetData sheetId="772">
        <row r="81">
          <cell r="H81">
            <v>222.566</v>
          </cell>
        </row>
      </sheetData>
      <sheetData sheetId="773">
        <row r="81">
          <cell r="H81">
            <v>222.566</v>
          </cell>
        </row>
      </sheetData>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ow r="81">
          <cell r="H81">
            <v>222.566</v>
          </cell>
        </row>
      </sheetData>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ow r="81">
          <cell r="H81">
            <v>222.566</v>
          </cell>
        </row>
      </sheetData>
      <sheetData sheetId="923">
        <row r="81">
          <cell r="H81">
            <v>222.566</v>
          </cell>
        </row>
      </sheetData>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ow r="81">
          <cell r="H81">
            <v>222.566</v>
          </cell>
        </row>
      </sheetData>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sheetData sheetId="998">
        <row r="81">
          <cell r="H81">
            <v>222.566</v>
          </cell>
        </row>
      </sheetData>
      <sheetData sheetId="999">
        <row r="81">
          <cell r="H81">
            <v>222.566</v>
          </cell>
        </row>
      </sheetData>
      <sheetData sheetId="1000">
        <row r="81">
          <cell r="H81">
            <v>222.566</v>
          </cell>
        </row>
      </sheetData>
      <sheetData sheetId="1001">
        <row r="81">
          <cell r="H81">
            <v>222.566</v>
          </cell>
        </row>
      </sheetData>
      <sheetData sheetId="1002">
        <row r="81">
          <cell r="H81">
            <v>222.566</v>
          </cell>
        </row>
      </sheetData>
      <sheetData sheetId="1003" refreshError="1"/>
      <sheetData sheetId="1004" refreshError="1"/>
      <sheetData sheetId="1005">
        <row r="81">
          <cell r="H81">
            <v>222.566</v>
          </cell>
        </row>
      </sheetData>
      <sheetData sheetId="1006">
        <row r="81">
          <cell r="H81">
            <v>222.566</v>
          </cell>
        </row>
      </sheetData>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ow r="81">
          <cell r="H81">
            <v>222.566</v>
          </cell>
        </row>
      </sheetData>
      <sheetData sheetId="1028">
        <row r="81">
          <cell r="H81">
            <v>222.566</v>
          </cell>
        </row>
      </sheetData>
      <sheetData sheetId="1029">
        <row r="81">
          <cell r="H81">
            <v>222.566</v>
          </cell>
        </row>
      </sheetData>
      <sheetData sheetId="1030">
        <row r="81">
          <cell r="H81">
            <v>222.566</v>
          </cell>
        </row>
      </sheetData>
      <sheetData sheetId="1031">
        <row r="81">
          <cell r="H81">
            <v>222.566</v>
          </cell>
        </row>
      </sheetData>
      <sheetData sheetId="1032">
        <row r="81">
          <cell r="H81">
            <v>222.566</v>
          </cell>
        </row>
      </sheetData>
      <sheetData sheetId="1033">
        <row r="81">
          <cell r="H81">
            <v>222.566</v>
          </cell>
        </row>
      </sheetData>
      <sheetData sheetId="1034">
        <row r="81">
          <cell r="H81">
            <v>222.566</v>
          </cell>
        </row>
      </sheetData>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ow r="81">
          <cell r="H81">
            <v>222.566</v>
          </cell>
        </row>
      </sheetData>
      <sheetData sheetId="1143">
        <row r="81">
          <cell r="H81">
            <v>222.566</v>
          </cell>
        </row>
      </sheetData>
      <sheetData sheetId="1144">
        <row r="81">
          <cell r="H81">
            <v>222.566</v>
          </cell>
        </row>
      </sheetData>
      <sheetData sheetId="1145">
        <row r="81">
          <cell r="H81">
            <v>222.566</v>
          </cell>
        </row>
      </sheetData>
      <sheetData sheetId="1146">
        <row r="81">
          <cell r="H81">
            <v>222.566</v>
          </cell>
        </row>
      </sheetData>
      <sheetData sheetId="1147">
        <row r="81">
          <cell r="H81">
            <v>222.566</v>
          </cell>
        </row>
      </sheetData>
      <sheetData sheetId="1148">
        <row r="81">
          <cell r="H81">
            <v>222.566</v>
          </cell>
        </row>
      </sheetData>
      <sheetData sheetId="1149">
        <row r="81">
          <cell r="H81">
            <v>222.566</v>
          </cell>
        </row>
      </sheetData>
      <sheetData sheetId="1150">
        <row r="81">
          <cell r="H81">
            <v>222.566</v>
          </cell>
        </row>
      </sheetData>
      <sheetData sheetId="1151">
        <row r="81">
          <cell r="H81">
            <v>222.566</v>
          </cell>
        </row>
      </sheetData>
      <sheetData sheetId="1152">
        <row r="81">
          <cell r="H81">
            <v>222.566</v>
          </cell>
        </row>
      </sheetData>
      <sheetData sheetId="1153">
        <row r="81">
          <cell r="H81">
            <v>222.566</v>
          </cell>
        </row>
      </sheetData>
      <sheetData sheetId="1154">
        <row r="81">
          <cell r="H81">
            <v>222.566</v>
          </cell>
        </row>
      </sheetData>
      <sheetData sheetId="1155">
        <row r="81">
          <cell r="H81">
            <v>222.566</v>
          </cell>
        </row>
      </sheetData>
      <sheetData sheetId="1156">
        <row r="81">
          <cell r="H81">
            <v>222.566</v>
          </cell>
        </row>
      </sheetData>
      <sheetData sheetId="1157">
        <row r="81">
          <cell r="H81">
            <v>222.566</v>
          </cell>
        </row>
      </sheetData>
      <sheetData sheetId="1158">
        <row r="81">
          <cell r="H81">
            <v>222.566</v>
          </cell>
        </row>
      </sheetData>
      <sheetData sheetId="1159">
        <row r="81">
          <cell r="H81">
            <v>222.566</v>
          </cell>
        </row>
      </sheetData>
      <sheetData sheetId="1160">
        <row r="81">
          <cell r="H81">
            <v>222.566</v>
          </cell>
        </row>
      </sheetData>
      <sheetData sheetId="1161">
        <row r="81">
          <cell r="H81">
            <v>222.566</v>
          </cell>
        </row>
      </sheetData>
      <sheetData sheetId="1162">
        <row r="81">
          <cell r="H81">
            <v>222.566</v>
          </cell>
        </row>
      </sheetData>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ow r="81">
          <cell r="H81">
            <v>222.566</v>
          </cell>
        </row>
      </sheetData>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ow r="81">
          <cell r="H81">
            <v>222.566</v>
          </cell>
        </row>
      </sheetData>
      <sheetData sheetId="1196">
        <row r="81">
          <cell r="H81">
            <v>222.566</v>
          </cell>
        </row>
      </sheetData>
      <sheetData sheetId="1197"/>
      <sheetData sheetId="1198"/>
      <sheetData sheetId="1199">
        <row r="81">
          <cell r="H81">
            <v>222.566</v>
          </cell>
        </row>
      </sheetData>
      <sheetData sheetId="1200"/>
      <sheetData sheetId="1201">
        <row r="81">
          <cell r="H81">
            <v>222.566</v>
          </cell>
        </row>
      </sheetData>
      <sheetData sheetId="1202">
        <row r="81">
          <cell r="H81">
            <v>222.566</v>
          </cell>
        </row>
      </sheetData>
      <sheetData sheetId="1203">
        <row r="81">
          <cell r="H81">
            <v>222.566</v>
          </cell>
        </row>
      </sheetData>
      <sheetData sheetId="1204">
        <row r="81">
          <cell r="H81">
            <v>222.566</v>
          </cell>
        </row>
      </sheetData>
      <sheetData sheetId="1205">
        <row r="81">
          <cell r="H81">
            <v>222.566</v>
          </cell>
        </row>
      </sheetData>
      <sheetData sheetId="1206">
        <row r="81">
          <cell r="H81">
            <v>222.566</v>
          </cell>
        </row>
      </sheetData>
      <sheetData sheetId="1207" refreshError="1"/>
      <sheetData sheetId="1208" refreshError="1"/>
      <sheetData sheetId="1209" refreshError="1"/>
      <sheetData sheetId="1210" refreshError="1"/>
      <sheetData sheetId="1211">
        <row r="81">
          <cell r="H81">
            <v>222.566</v>
          </cell>
        </row>
      </sheetData>
      <sheetData sheetId="1212">
        <row r="81">
          <cell r="H81">
            <v>222.566</v>
          </cell>
        </row>
      </sheetData>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ow r="81">
          <cell r="H81">
            <v>222.566</v>
          </cell>
        </row>
      </sheetData>
      <sheetData sheetId="1262"/>
      <sheetData sheetId="1263"/>
      <sheetData sheetId="1264"/>
      <sheetData sheetId="1265">
        <row r="81">
          <cell r="H81">
            <v>222.566</v>
          </cell>
        </row>
      </sheetData>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ow r="81">
          <cell r="H81">
            <v>222.566</v>
          </cell>
        </row>
      </sheetData>
      <sheetData sheetId="1277">
        <row r="81">
          <cell r="H81">
            <v>222.566</v>
          </cell>
        </row>
      </sheetData>
      <sheetData sheetId="1278">
        <row r="81">
          <cell r="H81">
            <v>222.566</v>
          </cell>
        </row>
      </sheetData>
      <sheetData sheetId="1279">
        <row r="81">
          <cell r="H81">
            <v>222.566</v>
          </cell>
        </row>
      </sheetData>
      <sheetData sheetId="1280">
        <row r="81">
          <cell r="H81">
            <v>222.566</v>
          </cell>
        </row>
      </sheetData>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ow r="81">
          <cell r="H81">
            <v>222.566</v>
          </cell>
        </row>
      </sheetData>
      <sheetData sheetId="1299" refreshError="1"/>
      <sheetData sheetId="1300" refreshError="1"/>
      <sheetData sheetId="1301" refreshError="1"/>
      <sheetData sheetId="1302">
        <row r="81">
          <cell r="H81">
            <v>222.566</v>
          </cell>
        </row>
      </sheetData>
      <sheetData sheetId="1303">
        <row r="81">
          <cell r="H81">
            <v>222.566</v>
          </cell>
        </row>
      </sheetData>
      <sheetData sheetId="1304" refreshError="1"/>
      <sheetData sheetId="1305" refreshError="1"/>
      <sheetData sheetId="1306">
        <row r="81">
          <cell r="H81">
            <v>222.566</v>
          </cell>
        </row>
      </sheetData>
      <sheetData sheetId="1307">
        <row r="81">
          <cell r="H81">
            <v>222.566</v>
          </cell>
        </row>
      </sheetData>
      <sheetData sheetId="1308">
        <row r="81">
          <cell r="H81">
            <v>222.566</v>
          </cell>
        </row>
      </sheetData>
      <sheetData sheetId="1309">
        <row r="81">
          <cell r="H81">
            <v>222.566</v>
          </cell>
        </row>
      </sheetData>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ow r="81">
          <cell r="H81">
            <v>222.566</v>
          </cell>
        </row>
      </sheetData>
      <sheetData sheetId="1394" refreshError="1"/>
      <sheetData sheetId="1395" refreshError="1"/>
      <sheetData sheetId="1396" refreshError="1"/>
      <sheetData sheetId="1397" refreshError="1"/>
      <sheetData sheetId="1398" refreshError="1"/>
      <sheetData sheetId="1399" refreshError="1"/>
      <sheetData sheetId="1400">
        <row r="81">
          <cell r="H81">
            <v>222.566</v>
          </cell>
        </row>
      </sheetData>
      <sheetData sheetId="1401">
        <row r="81">
          <cell r="H81">
            <v>222.566</v>
          </cell>
        </row>
      </sheetData>
      <sheetData sheetId="1402">
        <row r="81">
          <cell r="H81">
            <v>222.566</v>
          </cell>
        </row>
      </sheetData>
      <sheetData sheetId="1403">
        <row r="81">
          <cell r="H81">
            <v>222.566</v>
          </cell>
        </row>
      </sheetData>
      <sheetData sheetId="1404">
        <row r="81">
          <cell r="H81">
            <v>222.566</v>
          </cell>
        </row>
      </sheetData>
      <sheetData sheetId="1405">
        <row r="81">
          <cell r="H81">
            <v>222.566</v>
          </cell>
        </row>
      </sheetData>
      <sheetData sheetId="1406">
        <row r="81">
          <cell r="H81">
            <v>222.566</v>
          </cell>
        </row>
      </sheetData>
      <sheetData sheetId="1407">
        <row r="81">
          <cell r="H81">
            <v>222.566</v>
          </cell>
        </row>
      </sheetData>
      <sheetData sheetId="1408">
        <row r="81">
          <cell r="H81">
            <v>222.566</v>
          </cell>
        </row>
      </sheetData>
      <sheetData sheetId="1409">
        <row r="81">
          <cell r="H81">
            <v>222.566</v>
          </cell>
        </row>
      </sheetData>
      <sheetData sheetId="1410">
        <row r="81">
          <cell r="H81">
            <v>222.566</v>
          </cell>
        </row>
      </sheetData>
      <sheetData sheetId="1411">
        <row r="81">
          <cell r="H81">
            <v>222.566</v>
          </cell>
        </row>
      </sheetData>
      <sheetData sheetId="1412">
        <row r="81">
          <cell r="H81">
            <v>222.566</v>
          </cell>
        </row>
      </sheetData>
      <sheetData sheetId="1413">
        <row r="81">
          <cell r="H81">
            <v>222.566</v>
          </cell>
        </row>
      </sheetData>
      <sheetData sheetId="1414">
        <row r="81">
          <cell r="H81">
            <v>222.566</v>
          </cell>
        </row>
      </sheetData>
      <sheetData sheetId="1415">
        <row r="81">
          <cell r="H81">
            <v>222.566</v>
          </cell>
        </row>
      </sheetData>
      <sheetData sheetId="1416">
        <row r="81">
          <cell r="H81">
            <v>222.566</v>
          </cell>
        </row>
      </sheetData>
      <sheetData sheetId="1417">
        <row r="81">
          <cell r="H81">
            <v>222.566</v>
          </cell>
        </row>
      </sheetData>
      <sheetData sheetId="1418">
        <row r="81">
          <cell r="H81">
            <v>222.566</v>
          </cell>
        </row>
      </sheetData>
      <sheetData sheetId="1419">
        <row r="81">
          <cell r="H81">
            <v>222.566</v>
          </cell>
        </row>
      </sheetData>
      <sheetData sheetId="1420">
        <row r="81">
          <cell r="H81">
            <v>222.566</v>
          </cell>
        </row>
      </sheetData>
      <sheetData sheetId="1421">
        <row r="81">
          <cell r="H81">
            <v>222.566</v>
          </cell>
        </row>
      </sheetData>
      <sheetData sheetId="1422">
        <row r="81">
          <cell r="H81">
            <v>222.566</v>
          </cell>
        </row>
      </sheetData>
      <sheetData sheetId="1423">
        <row r="81">
          <cell r="H81">
            <v>222.566</v>
          </cell>
        </row>
      </sheetData>
      <sheetData sheetId="1424">
        <row r="81">
          <cell r="H81">
            <v>222.566</v>
          </cell>
        </row>
      </sheetData>
      <sheetData sheetId="1425">
        <row r="81">
          <cell r="H81">
            <v>222.566</v>
          </cell>
        </row>
      </sheetData>
      <sheetData sheetId="1426">
        <row r="81">
          <cell r="H81">
            <v>222.566</v>
          </cell>
        </row>
      </sheetData>
      <sheetData sheetId="1427">
        <row r="81">
          <cell r="H81">
            <v>222.566</v>
          </cell>
        </row>
      </sheetData>
      <sheetData sheetId="1428">
        <row r="81">
          <cell r="H81">
            <v>222.566</v>
          </cell>
        </row>
      </sheetData>
      <sheetData sheetId="1429">
        <row r="81">
          <cell r="H81">
            <v>222.566</v>
          </cell>
        </row>
      </sheetData>
      <sheetData sheetId="1430">
        <row r="81">
          <cell r="H81">
            <v>222.566</v>
          </cell>
        </row>
      </sheetData>
      <sheetData sheetId="1431">
        <row r="81">
          <cell r="H81">
            <v>222.566</v>
          </cell>
        </row>
      </sheetData>
      <sheetData sheetId="1432">
        <row r="81">
          <cell r="H81">
            <v>222.566</v>
          </cell>
        </row>
      </sheetData>
      <sheetData sheetId="1433">
        <row r="81">
          <cell r="H81">
            <v>222.566</v>
          </cell>
        </row>
      </sheetData>
      <sheetData sheetId="1434">
        <row r="81">
          <cell r="H81">
            <v>222.566</v>
          </cell>
        </row>
      </sheetData>
      <sheetData sheetId="1435">
        <row r="81">
          <cell r="H81">
            <v>222.566</v>
          </cell>
        </row>
      </sheetData>
      <sheetData sheetId="1436">
        <row r="81">
          <cell r="H81">
            <v>222.566</v>
          </cell>
        </row>
      </sheetData>
      <sheetData sheetId="1437">
        <row r="81">
          <cell r="H81">
            <v>222.566</v>
          </cell>
        </row>
      </sheetData>
      <sheetData sheetId="1438">
        <row r="81">
          <cell r="H81">
            <v>222.566</v>
          </cell>
        </row>
      </sheetData>
      <sheetData sheetId="1439">
        <row r="81">
          <cell r="H81">
            <v>222.566</v>
          </cell>
        </row>
      </sheetData>
      <sheetData sheetId="1440">
        <row r="81">
          <cell r="H81">
            <v>222.566</v>
          </cell>
        </row>
      </sheetData>
      <sheetData sheetId="1441">
        <row r="81">
          <cell r="H81">
            <v>222.566</v>
          </cell>
        </row>
      </sheetData>
      <sheetData sheetId="1442">
        <row r="81">
          <cell r="H81">
            <v>222.566</v>
          </cell>
        </row>
      </sheetData>
      <sheetData sheetId="1443">
        <row r="81">
          <cell r="H81">
            <v>222.566</v>
          </cell>
        </row>
      </sheetData>
      <sheetData sheetId="1444">
        <row r="81">
          <cell r="H81">
            <v>222.566</v>
          </cell>
        </row>
      </sheetData>
      <sheetData sheetId="1445">
        <row r="81">
          <cell r="H81">
            <v>222.566</v>
          </cell>
        </row>
      </sheetData>
      <sheetData sheetId="1446">
        <row r="81">
          <cell r="H81">
            <v>222.566</v>
          </cell>
        </row>
      </sheetData>
      <sheetData sheetId="1447">
        <row r="81">
          <cell r="H81">
            <v>222.566</v>
          </cell>
        </row>
      </sheetData>
      <sheetData sheetId="1448">
        <row r="81">
          <cell r="H81">
            <v>222.566</v>
          </cell>
        </row>
      </sheetData>
      <sheetData sheetId="1449">
        <row r="81">
          <cell r="H81">
            <v>222.566</v>
          </cell>
        </row>
      </sheetData>
      <sheetData sheetId="1450">
        <row r="81">
          <cell r="H81">
            <v>222.566</v>
          </cell>
        </row>
      </sheetData>
      <sheetData sheetId="1451">
        <row r="81">
          <cell r="H81">
            <v>222.566</v>
          </cell>
        </row>
      </sheetData>
      <sheetData sheetId="1452">
        <row r="81">
          <cell r="H81">
            <v>222.566</v>
          </cell>
        </row>
      </sheetData>
      <sheetData sheetId="1453">
        <row r="81">
          <cell r="H81">
            <v>222.566</v>
          </cell>
        </row>
      </sheetData>
      <sheetData sheetId="1454">
        <row r="81">
          <cell r="H81">
            <v>222.566</v>
          </cell>
        </row>
      </sheetData>
      <sheetData sheetId="1455">
        <row r="81">
          <cell r="H81">
            <v>222.566</v>
          </cell>
        </row>
      </sheetData>
      <sheetData sheetId="1456">
        <row r="81">
          <cell r="H81">
            <v>222.566</v>
          </cell>
        </row>
      </sheetData>
      <sheetData sheetId="1457">
        <row r="81">
          <cell r="H81">
            <v>222.566</v>
          </cell>
        </row>
      </sheetData>
      <sheetData sheetId="1458">
        <row r="81">
          <cell r="H81">
            <v>222.566</v>
          </cell>
        </row>
      </sheetData>
      <sheetData sheetId="1459">
        <row r="81">
          <cell r="H81">
            <v>222.566</v>
          </cell>
        </row>
      </sheetData>
      <sheetData sheetId="1460">
        <row r="81">
          <cell r="H81">
            <v>222.566</v>
          </cell>
        </row>
      </sheetData>
      <sheetData sheetId="1461" refreshError="1"/>
      <sheetData sheetId="1462">
        <row r="81">
          <cell r="H81">
            <v>222.566</v>
          </cell>
        </row>
      </sheetData>
      <sheetData sheetId="1463">
        <row r="81">
          <cell r="H81">
            <v>222.566</v>
          </cell>
        </row>
      </sheetData>
      <sheetData sheetId="1464">
        <row r="81">
          <cell r="H81">
            <v>222.566</v>
          </cell>
        </row>
      </sheetData>
      <sheetData sheetId="1465">
        <row r="81">
          <cell r="H81">
            <v>222.566</v>
          </cell>
        </row>
      </sheetData>
      <sheetData sheetId="1466">
        <row r="81">
          <cell r="H81">
            <v>222.566</v>
          </cell>
        </row>
      </sheetData>
      <sheetData sheetId="1467">
        <row r="81">
          <cell r="H81">
            <v>222.566</v>
          </cell>
        </row>
      </sheetData>
      <sheetData sheetId="1468">
        <row r="81">
          <cell r="H81">
            <v>222.566</v>
          </cell>
        </row>
      </sheetData>
      <sheetData sheetId="1469">
        <row r="81">
          <cell r="H81">
            <v>222.566</v>
          </cell>
        </row>
      </sheetData>
      <sheetData sheetId="1470">
        <row r="81">
          <cell r="H81">
            <v>222.566</v>
          </cell>
        </row>
      </sheetData>
      <sheetData sheetId="1471">
        <row r="81">
          <cell r="H81">
            <v>222.566</v>
          </cell>
        </row>
      </sheetData>
      <sheetData sheetId="1472">
        <row r="81">
          <cell r="H81">
            <v>222.566</v>
          </cell>
        </row>
      </sheetData>
      <sheetData sheetId="1473">
        <row r="81">
          <cell r="H81">
            <v>222.566</v>
          </cell>
        </row>
      </sheetData>
      <sheetData sheetId="1474">
        <row r="81">
          <cell r="H81">
            <v>222.566</v>
          </cell>
        </row>
      </sheetData>
      <sheetData sheetId="1475">
        <row r="81">
          <cell r="H81">
            <v>222.566</v>
          </cell>
        </row>
      </sheetData>
      <sheetData sheetId="1476">
        <row r="81">
          <cell r="H81">
            <v>222.566</v>
          </cell>
        </row>
      </sheetData>
      <sheetData sheetId="1477">
        <row r="81">
          <cell r="H81">
            <v>222.566</v>
          </cell>
        </row>
      </sheetData>
      <sheetData sheetId="1478">
        <row r="81">
          <cell r="H81">
            <v>222.566</v>
          </cell>
        </row>
      </sheetData>
      <sheetData sheetId="1479">
        <row r="81">
          <cell r="H81">
            <v>222.566</v>
          </cell>
        </row>
      </sheetData>
      <sheetData sheetId="1480">
        <row r="81">
          <cell r="H81">
            <v>222.566</v>
          </cell>
        </row>
      </sheetData>
      <sheetData sheetId="1481">
        <row r="81">
          <cell r="H81">
            <v>222.566</v>
          </cell>
        </row>
      </sheetData>
      <sheetData sheetId="1482">
        <row r="81">
          <cell r="H81">
            <v>222.566</v>
          </cell>
        </row>
      </sheetData>
      <sheetData sheetId="1483">
        <row r="81">
          <cell r="H81">
            <v>222.566</v>
          </cell>
        </row>
      </sheetData>
      <sheetData sheetId="1484">
        <row r="81">
          <cell r="H81">
            <v>222.566</v>
          </cell>
        </row>
      </sheetData>
      <sheetData sheetId="1485">
        <row r="81">
          <cell r="H81">
            <v>222.566</v>
          </cell>
        </row>
      </sheetData>
      <sheetData sheetId="1486">
        <row r="81">
          <cell r="H81">
            <v>222.566</v>
          </cell>
        </row>
      </sheetData>
      <sheetData sheetId="1487">
        <row r="81">
          <cell r="H81">
            <v>222.566</v>
          </cell>
        </row>
      </sheetData>
      <sheetData sheetId="1488">
        <row r="81">
          <cell r="H81">
            <v>222.566</v>
          </cell>
        </row>
      </sheetData>
      <sheetData sheetId="1489">
        <row r="81">
          <cell r="H81">
            <v>222.566</v>
          </cell>
        </row>
      </sheetData>
      <sheetData sheetId="1490">
        <row r="81">
          <cell r="H81">
            <v>222.566</v>
          </cell>
        </row>
      </sheetData>
      <sheetData sheetId="1491">
        <row r="81">
          <cell r="H81">
            <v>222.566</v>
          </cell>
        </row>
      </sheetData>
      <sheetData sheetId="1492">
        <row r="81">
          <cell r="H81">
            <v>222.566</v>
          </cell>
        </row>
      </sheetData>
      <sheetData sheetId="1493">
        <row r="81">
          <cell r="H81">
            <v>222.566</v>
          </cell>
        </row>
      </sheetData>
      <sheetData sheetId="1494">
        <row r="81">
          <cell r="H81">
            <v>222.566</v>
          </cell>
        </row>
      </sheetData>
      <sheetData sheetId="1495">
        <row r="81">
          <cell r="H81">
            <v>222.566</v>
          </cell>
        </row>
      </sheetData>
      <sheetData sheetId="1496">
        <row r="81">
          <cell r="H81">
            <v>222.566</v>
          </cell>
        </row>
      </sheetData>
      <sheetData sheetId="1497">
        <row r="81">
          <cell r="H81">
            <v>222.566</v>
          </cell>
        </row>
      </sheetData>
      <sheetData sheetId="1498">
        <row r="81">
          <cell r="H81">
            <v>222.566</v>
          </cell>
        </row>
      </sheetData>
      <sheetData sheetId="1499">
        <row r="81">
          <cell r="H81">
            <v>222.566</v>
          </cell>
        </row>
      </sheetData>
      <sheetData sheetId="1500">
        <row r="81">
          <cell r="H81">
            <v>222.566</v>
          </cell>
        </row>
      </sheetData>
      <sheetData sheetId="1501">
        <row r="81">
          <cell r="H81">
            <v>222.566</v>
          </cell>
        </row>
      </sheetData>
      <sheetData sheetId="1502">
        <row r="81">
          <cell r="H81">
            <v>222.566</v>
          </cell>
        </row>
      </sheetData>
      <sheetData sheetId="1503">
        <row r="81">
          <cell r="H81">
            <v>222.566</v>
          </cell>
        </row>
      </sheetData>
      <sheetData sheetId="1504">
        <row r="81">
          <cell r="H81">
            <v>222.566</v>
          </cell>
        </row>
      </sheetData>
      <sheetData sheetId="1505">
        <row r="81">
          <cell r="H81">
            <v>222.566</v>
          </cell>
        </row>
      </sheetData>
      <sheetData sheetId="1506">
        <row r="81">
          <cell r="H81">
            <v>222.566</v>
          </cell>
        </row>
      </sheetData>
      <sheetData sheetId="1507">
        <row r="81">
          <cell r="H81">
            <v>222.566</v>
          </cell>
        </row>
      </sheetData>
      <sheetData sheetId="1508">
        <row r="81">
          <cell r="H81">
            <v>222.566</v>
          </cell>
        </row>
      </sheetData>
      <sheetData sheetId="1509">
        <row r="81">
          <cell r="H81">
            <v>222.566</v>
          </cell>
        </row>
      </sheetData>
      <sheetData sheetId="1510">
        <row r="81">
          <cell r="H81">
            <v>222.566</v>
          </cell>
        </row>
      </sheetData>
      <sheetData sheetId="1511">
        <row r="81">
          <cell r="H81">
            <v>222.566</v>
          </cell>
        </row>
      </sheetData>
      <sheetData sheetId="1512">
        <row r="81">
          <cell r="H81">
            <v>222.566</v>
          </cell>
        </row>
      </sheetData>
      <sheetData sheetId="1513">
        <row r="81">
          <cell r="H81">
            <v>222.566</v>
          </cell>
        </row>
      </sheetData>
      <sheetData sheetId="1514">
        <row r="81">
          <cell r="H81">
            <v>222.566</v>
          </cell>
        </row>
      </sheetData>
      <sheetData sheetId="1515">
        <row r="81">
          <cell r="H81">
            <v>222.566</v>
          </cell>
        </row>
      </sheetData>
      <sheetData sheetId="1516">
        <row r="81">
          <cell r="H81">
            <v>222.566</v>
          </cell>
        </row>
      </sheetData>
      <sheetData sheetId="1517">
        <row r="81">
          <cell r="H81">
            <v>222.566</v>
          </cell>
        </row>
      </sheetData>
      <sheetData sheetId="1518">
        <row r="81">
          <cell r="H81">
            <v>222.566</v>
          </cell>
        </row>
      </sheetData>
      <sheetData sheetId="1519">
        <row r="81">
          <cell r="H81">
            <v>222.566</v>
          </cell>
        </row>
      </sheetData>
      <sheetData sheetId="1520">
        <row r="81">
          <cell r="H81">
            <v>222.566</v>
          </cell>
        </row>
      </sheetData>
      <sheetData sheetId="1521">
        <row r="81">
          <cell r="H81">
            <v>222.566</v>
          </cell>
        </row>
      </sheetData>
      <sheetData sheetId="1522">
        <row r="81">
          <cell r="H81">
            <v>222.566</v>
          </cell>
        </row>
      </sheetData>
      <sheetData sheetId="1523">
        <row r="81">
          <cell r="H81">
            <v>222.566</v>
          </cell>
        </row>
      </sheetData>
      <sheetData sheetId="1524">
        <row r="81">
          <cell r="H81">
            <v>222.566</v>
          </cell>
        </row>
      </sheetData>
      <sheetData sheetId="1525">
        <row r="81">
          <cell r="H81">
            <v>222.566</v>
          </cell>
        </row>
      </sheetData>
      <sheetData sheetId="1526">
        <row r="81">
          <cell r="H81">
            <v>222.566</v>
          </cell>
        </row>
      </sheetData>
      <sheetData sheetId="1527">
        <row r="81">
          <cell r="H81">
            <v>222.566</v>
          </cell>
        </row>
      </sheetData>
      <sheetData sheetId="1528">
        <row r="81">
          <cell r="H81">
            <v>222.566</v>
          </cell>
        </row>
      </sheetData>
      <sheetData sheetId="1529">
        <row r="81">
          <cell r="H81">
            <v>222.566</v>
          </cell>
        </row>
      </sheetData>
      <sheetData sheetId="1530">
        <row r="81">
          <cell r="H81">
            <v>222.566</v>
          </cell>
        </row>
      </sheetData>
      <sheetData sheetId="1531">
        <row r="81">
          <cell r="H81">
            <v>222.566</v>
          </cell>
        </row>
      </sheetData>
      <sheetData sheetId="1532">
        <row r="81">
          <cell r="H81">
            <v>222.566</v>
          </cell>
        </row>
      </sheetData>
      <sheetData sheetId="1533">
        <row r="81">
          <cell r="H81">
            <v>222.566</v>
          </cell>
        </row>
      </sheetData>
      <sheetData sheetId="1534">
        <row r="81">
          <cell r="H81">
            <v>222.566</v>
          </cell>
        </row>
      </sheetData>
      <sheetData sheetId="1535">
        <row r="81">
          <cell r="H81">
            <v>222.566</v>
          </cell>
        </row>
      </sheetData>
      <sheetData sheetId="1536">
        <row r="81">
          <cell r="H81">
            <v>222.566</v>
          </cell>
        </row>
      </sheetData>
      <sheetData sheetId="1537">
        <row r="81">
          <cell r="H81">
            <v>222.566</v>
          </cell>
        </row>
      </sheetData>
      <sheetData sheetId="1538">
        <row r="81">
          <cell r="H81">
            <v>222.566</v>
          </cell>
        </row>
      </sheetData>
      <sheetData sheetId="1539">
        <row r="81">
          <cell r="H81">
            <v>222.566</v>
          </cell>
        </row>
      </sheetData>
      <sheetData sheetId="1540">
        <row r="81">
          <cell r="H81">
            <v>222.566</v>
          </cell>
        </row>
      </sheetData>
      <sheetData sheetId="1541">
        <row r="81">
          <cell r="H81">
            <v>222.566</v>
          </cell>
        </row>
      </sheetData>
      <sheetData sheetId="1542">
        <row r="81">
          <cell r="H81">
            <v>222.566</v>
          </cell>
        </row>
      </sheetData>
      <sheetData sheetId="1543">
        <row r="81">
          <cell r="H81">
            <v>222.566</v>
          </cell>
        </row>
      </sheetData>
      <sheetData sheetId="1544">
        <row r="81">
          <cell r="H81">
            <v>222.566</v>
          </cell>
        </row>
      </sheetData>
      <sheetData sheetId="1545">
        <row r="81">
          <cell r="H81">
            <v>222.566</v>
          </cell>
        </row>
      </sheetData>
      <sheetData sheetId="1546">
        <row r="81">
          <cell r="H81">
            <v>222.566</v>
          </cell>
        </row>
      </sheetData>
      <sheetData sheetId="1547">
        <row r="81">
          <cell r="H81">
            <v>222.566</v>
          </cell>
        </row>
      </sheetData>
      <sheetData sheetId="1548">
        <row r="81">
          <cell r="H81">
            <v>222.566</v>
          </cell>
        </row>
      </sheetData>
      <sheetData sheetId="1549">
        <row r="81">
          <cell r="H81">
            <v>222.566</v>
          </cell>
        </row>
      </sheetData>
      <sheetData sheetId="1550">
        <row r="81">
          <cell r="H81">
            <v>222.566</v>
          </cell>
        </row>
      </sheetData>
      <sheetData sheetId="1551">
        <row r="81">
          <cell r="H81">
            <v>222.566</v>
          </cell>
        </row>
      </sheetData>
      <sheetData sheetId="1552">
        <row r="81">
          <cell r="H81">
            <v>222.566</v>
          </cell>
        </row>
      </sheetData>
      <sheetData sheetId="1553">
        <row r="81">
          <cell r="H81">
            <v>222.566</v>
          </cell>
        </row>
      </sheetData>
      <sheetData sheetId="1554">
        <row r="81">
          <cell r="H81">
            <v>222.566</v>
          </cell>
        </row>
      </sheetData>
      <sheetData sheetId="1555">
        <row r="81">
          <cell r="H81">
            <v>222.566</v>
          </cell>
        </row>
      </sheetData>
      <sheetData sheetId="1556">
        <row r="81">
          <cell r="H81">
            <v>222.566</v>
          </cell>
        </row>
      </sheetData>
      <sheetData sheetId="1557">
        <row r="81">
          <cell r="H81">
            <v>222.566</v>
          </cell>
        </row>
      </sheetData>
      <sheetData sheetId="1558">
        <row r="81">
          <cell r="H81">
            <v>222.566</v>
          </cell>
        </row>
      </sheetData>
      <sheetData sheetId="1559">
        <row r="81">
          <cell r="H81">
            <v>222.566</v>
          </cell>
        </row>
      </sheetData>
      <sheetData sheetId="1560">
        <row r="81">
          <cell r="H81">
            <v>222.566</v>
          </cell>
        </row>
      </sheetData>
      <sheetData sheetId="1561">
        <row r="81">
          <cell r="H81">
            <v>222.566</v>
          </cell>
        </row>
      </sheetData>
      <sheetData sheetId="1562">
        <row r="81">
          <cell r="H81">
            <v>222.566</v>
          </cell>
        </row>
      </sheetData>
      <sheetData sheetId="1563">
        <row r="81">
          <cell r="H81">
            <v>222.566</v>
          </cell>
        </row>
      </sheetData>
      <sheetData sheetId="1564">
        <row r="81">
          <cell r="H81">
            <v>222.566</v>
          </cell>
        </row>
      </sheetData>
      <sheetData sheetId="1565">
        <row r="81">
          <cell r="H81">
            <v>222.566</v>
          </cell>
        </row>
      </sheetData>
      <sheetData sheetId="1566">
        <row r="81">
          <cell r="H81">
            <v>222.566</v>
          </cell>
        </row>
      </sheetData>
      <sheetData sheetId="1567">
        <row r="81">
          <cell r="H81">
            <v>222.566</v>
          </cell>
        </row>
      </sheetData>
      <sheetData sheetId="1568">
        <row r="81">
          <cell r="H81">
            <v>222.566</v>
          </cell>
        </row>
      </sheetData>
      <sheetData sheetId="1569">
        <row r="81">
          <cell r="H81">
            <v>222.566</v>
          </cell>
        </row>
      </sheetData>
      <sheetData sheetId="1570">
        <row r="81">
          <cell r="H81">
            <v>222.566</v>
          </cell>
        </row>
      </sheetData>
      <sheetData sheetId="1571">
        <row r="81">
          <cell r="H81">
            <v>222.566</v>
          </cell>
        </row>
      </sheetData>
      <sheetData sheetId="1572">
        <row r="81">
          <cell r="H81">
            <v>222.566</v>
          </cell>
        </row>
      </sheetData>
      <sheetData sheetId="1573">
        <row r="81">
          <cell r="H81">
            <v>222.566</v>
          </cell>
        </row>
      </sheetData>
      <sheetData sheetId="1574">
        <row r="81">
          <cell r="H81">
            <v>222.566</v>
          </cell>
        </row>
      </sheetData>
      <sheetData sheetId="1575">
        <row r="81">
          <cell r="H81">
            <v>222.566</v>
          </cell>
        </row>
      </sheetData>
      <sheetData sheetId="1576">
        <row r="81">
          <cell r="H81">
            <v>222.566</v>
          </cell>
        </row>
      </sheetData>
      <sheetData sheetId="1577">
        <row r="81">
          <cell r="H81">
            <v>222.566</v>
          </cell>
        </row>
      </sheetData>
      <sheetData sheetId="1578">
        <row r="81">
          <cell r="H81">
            <v>222.566</v>
          </cell>
        </row>
      </sheetData>
      <sheetData sheetId="1579">
        <row r="81">
          <cell r="H81">
            <v>222.566</v>
          </cell>
        </row>
      </sheetData>
      <sheetData sheetId="1580">
        <row r="81">
          <cell r="H81">
            <v>222.566</v>
          </cell>
        </row>
      </sheetData>
      <sheetData sheetId="1581">
        <row r="81">
          <cell r="H81">
            <v>222.566</v>
          </cell>
        </row>
      </sheetData>
      <sheetData sheetId="1582">
        <row r="81">
          <cell r="H81">
            <v>222.566</v>
          </cell>
        </row>
      </sheetData>
      <sheetData sheetId="1583">
        <row r="81">
          <cell r="H81">
            <v>222.566</v>
          </cell>
        </row>
      </sheetData>
      <sheetData sheetId="1584">
        <row r="81">
          <cell r="H81">
            <v>222.566</v>
          </cell>
        </row>
      </sheetData>
      <sheetData sheetId="1585">
        <row r="81">
          <cell r="H81">
            <v>222.566</v>
          </cell>
        </row>
      </sheetData>
      <sheetData sheetId="1586">
        <row r="81">
          <cell r="H81">
            <v>222.566</v>
          </cell>
        </row>
      </sheetData>
      <sheetData sheetId="1587">
        <row r="81">
          <cell r="H81">
            <v>222.566</v>
          </cell>
        </row>
      </sheetData>
      <sheetData sheetId="1588">
        <row r="81">
          <cell r="H81">
            <v>222.566</v>
          </cell>
        </row>
      </sheetData>
      <sheetData sheetId="1589">
        <row r="81">
          <cell r="H81">
            <v>222.566</v>
          </cell>
        </row>
      </sheetData>
      <sheetData sheetId="1590">
        <row r="81">
          <cell r="H81">
            <v>222.566</v>
          </cell>
        </row>
      </sheetData>
      <sheetData sheetId="1591">
        <row r="81">
          <cell r="H81">
            <v>222.566</v>
          </cell>
        </row>
      </sheetData>
      <sheetData sheetId="1592">
        <row r="81">
          <cell r="H81">
            <v>222.566</v>
          </cell>
        </row>
      </sheetData>
      <sheetData sheetId="1593">
        <row r="81">
          <cell r="H81">
            <v>222.566</v>
          </cell>
        </row>
      </sheetData>
      <sheetData sheetId="1594">
        <row r="81">
          <cell r="H81">
            <v>222.566</v>
          </cell>
        </row>
      </sheetData>
      <sheetData sheetId="1595">
        <row r="81">
          <cell r="H81">
            <v>222.566</v>
          </cell>
        </row>
      </sheetData>
      <sheetData sheetId="1596">
        <row r="81">
          <cell r="H81">
            <v>222.566</v>
          </cell>
        </row>
      </sheetData>
      <sheetData sheetId="1597">
        <row r="81">
          <cell r="H81">
            <v>222.566</v>
          </cell>
        </row>
      </sheetData>
      <sheetData sheetId="1598">
        <row r="81">
          <cell r="H81">
            <v>222.566</v>
          </cell>
        </row>
      </sheetData>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ow r="81">
          <cell r="H81">
            <v>222.566</v>
          </cell>
        </row>
      </sheetData>
      <sheetData sheetId="1655">
        <row r="81">
          <cell r="H81">
            <v>222.566</v>
          </cell>
        </row>
      </sheetData>
      <sheetData sheetId="1656">
        <row r="81">
          <cell r="H81">
            <v>222.566</v>
          </cell>
        </row>
      </sheetData>
      <sheetData sheetId="1657">
        <row r="81">
          <cell r="H81">
            <v>222.566</v>
          </cell>
        </row>
      </sheetData>
      <sheetData sheetId="1658">
        <row r="81">
          <cell r="H81">
            <v>222.566</v>
          </cell>
        </row>
      </sheetData>
      <sheetData sheetId="1659">
        <row r="81">
          <cell r="H81">
            <v>222.566</v>
          </cell>
        </row>
      </sheetData>
      <sheetData sheetId="1660">
        <row r="81">
          <cell r="H81">
            <v>222.566</v>
          </cell>
        </row>
      </sheetData>
      <sheetData sheetId="1661">
        <row r="81">
          <cell r="H81">
            <v>222.566</v>
          </cell>
        </row>
      </sheetData>
      <sheetData sheetId="1662"/>
      <sheetData sheetId="1663"/>
      <sheetData sheetId="1664">
        <row r="81">
          <cell r="H81">
            <v>222.566</v>
          </cell>
        </row>
      </sheetData>
      <sheetData sheetId="1665">
        <row r="81">
          <cell r="H81">
            <v>222.566</v>
          </cell>
        </row>
      </sheetData>
      <sheetData sheetId="1666">
        <row r="81">
          <cell r="H81">
            <v>222.566</v>
          </cell>
        </row>
      </sheetData>
      <sheetData sheetId="1667">
        <row r="81">
          <cell r="H81">
            <v>222.566</v>
          </cell>
        </row>
      </sheetData>
      <sheetData sheetId="1668">
        <row r="81">
          <cell r="H81">
            <v>222.566</v>
          </cell>
        </row>
      </sheetData>
      <sheetData sheetId="1669"/>
      <sheetData sheetId="1670"/>
      <sheetData sheetId="1671"/>
      <sheetData sheetId="1672"/>
      <sheetData sheetId="1673">
        <row r="81">
          <cell r="H81">
            <v>222.566</v>
          </cell>
        </row>
      </sheetData>
      <sheetData sheetId="1674">
        <row r="81">
          <cell r="H81">
            <v>222.566</v>
          </cell>
        </row>
      </sheetData>
      <sheetData sheetId="1675">
        <row r="81">
          <cell r="H81">
            <v>222.566</v>
          </cell>
        </row>
      </sheetData>
      <sheetData sheetId="1676">
        <row r="81">
          <cell r="H81">
            <v>222.566</v>
          </cell>
        </row>
      </sheetData>
      <sheetData sheetId="1677">
        <row r="81">
          <cell r="H81">
            <v>222.566</v>
          </cell>
        </row>
      </sheetData>
      <sheetData sheetId="1678">
        <row r="81">
          <cell r="H81">
            <v>222.566</v>
          </cell>
        </row>
      </sheetData>
      <sheetData sheetId="1679">
        <row r="81">
          <cell r="H81">
            <v>222.566</v>
          </cell>
        </row>
      </sheetData>
      <sheetData sheetId="1680">
        <row r="81">
          <cell r="H81">
            <v>222.566</v>
          </cell>
        </row>
      </sheetData>
      <sheetData sheetId="1681">
        <row r="81">
          <cell r="H81">
            <v>222.566</v>
          </cell>
        </row>
      </sheetData>
      <sheetData sheetId="1682">
        <row r="81">
          <cell r="H81">
            <v>222.566</v>
          </cell>
        </row>
      </sheetData>
      <sheetData sheetId="1683">
        <row r="81">
          <cell r="H81">
            <v>222.566</v>
          </cell>
        </row>
      </sheetData>
      <sheetData sheetId="1684">
        <row r="81">
          <cell r="H81">
            <v>222.566</v>
          </cell>
        </row>
      </sheetData>
      <sheetData sheetId="1685">
        <row r="81">
          <cell r="H81">
            <v>222.566</v>
          </cell>
        </row>
      </sheetData>
      <sheetData sheetId="1686">
        <row r="81">
          <cell r="H81">
            <v>222.566</v>
          </cell>
        </row>
      </sheetData>
      <sheetData sheetId="1687">
        <row r="81">
          <cell r="H81">
            <v>222.566</v>
          </cell>
        </row>
      </sheetData>
      <sheetData sheetId="1688">
        <row r="81">
          <cell r="H81">
            <v>222.566</v>
          </cell>
        </row>
      </sheetData>
      <sheetData sheetId="1689">
        <row r="81">
          <cell r="H81">
            <v>222.566</v>
          </cell>
        </row>
      </sheetData>
      <sheetData sheetId="1690">
        <row r="81">
          <cell r="H81">
            <v>222.566</v>
          </cell>
        </row>
      </sheetData>
      <sheetData sheetId="1691">
        <row r="81">
          <cell r="H81">
            <v>222.566</v>
          </cell>
        </row>
      </sheetData>
      <sheetData sheetId="1692">
        <row r="81">
          <cell r="H81">
            <v>222.566</v>
          </cell>
        </row>
      </sheetData>
      <sheetData sheetId="1693">
        <row r="81">
          <cell r="H81">
            <v>222.566</v>
          </cell>
        </row>
      </sheetData>
      <sheetData sheetId="1694">
        <row r="81">
          <cell r="H81">
            <v>222.566</v>
          </cell>
        </row>
      </sheetData>
      <sheetData sheetId="1695"/>
      <sheetData sheetId="1696">
        <row r="81">
          <cell r="H81">
            <v>222.566</v>
          </cell>
        </row>
      </sheetData>
      <sheetData sheetId="1697">
        <row r="81">
          <cell r="H81">
            <v>222.566</v>
          </cell>
        </row>
      </sheetData>
      <sheetData sheetId="1698">
        <row r="81">
          <cell r="H81">
            <v>222.566</v>
          </cell>
        </row>
      </sheetData>
      <sheetData sheetId="1699">
        <row r="81">
          <cell r="H81">
            <v>222.566</v>
          </cell>
        </row>
      </sheetData>
      <sheetData sheetId="1700">
        <row r="81">
          <cell r="H81">
            <v>222.566</v>
          </cell>
        </row>
      </sheetData>
      <sheetData sheetId="1701">
        <row r="81">
          <cell r="H81">
            <v>222.566</v>
          </cell>
        </row>
      </sheetData>
      <sheetData sheetId="1702">
        <row r="81">
          <cell r="H81">
            <v>222.566</v>
          </cell>
        </row>
      </sheetData>
      <sheetData sheetId="1703">
        <row r="81">
          <cell r="H81">
            <v>222.566</v>
          </cell>
        </row>
      </sheetData>
      <sheetData sheetId="1704">
        <row r="81">
          <cell r="H81">
            <v>222.566</v>
          </cell>
        </row>
      </sheetData>
      <sheetData sheetId="1705">
        <row r="81">
          <cell r="H81">
            <v>222.566</v>
          </cell>
        </row>
      </sheetData>
      <sheetData sheetId="1706">
        <row r="81">
          <cell r="H81">
            <v>222.566</v>
          </cell>
        </row>
      </sheetData>
      <sheetData sheetId="1707">
        <row r="81">
          <cell r="H81">
            <v>222.566</v>
          </cell>
        </row>
      </sheetData>
      <sheetData sheetId="1708">
        <row r="81">
          <cell r="H81">
            <v>222.566</v>
          </cell>
        </row>
      </sheetData>
      <sheetData sheetId="1709">
        <row r="81">
          <cell r="H81">
            <v>222.566</v>
          </cell>
        </row>
      </sheetData>
      <sheetData sheetId="1710">
        <row r="81">
          <cell r="H81">
            <v>222.566</v>
          </cell>
        </row>
      </sheetData>
      <sheetData sheetId="1711">
        <row r="81">
          <cell r="H81">
            <v>222.566</v>
          </cell>
        </row>
      </sheetData>
      <sheetData sheetId="1712">
        <row r="81">
          <cell r="H81">
            <v>222.566</v>
          </cell>
        </row>
      </sheetData>
      <sheetData sheetId="1713">
        <row r="81">
          <cell r="H81">
            <v>222.566</v>
          </cell>
        </row>
      </sheetData>
      <sheetData sheetId="1714">
        <row r="81">
          <cell r="H81">
            <v>222.566</v>
          </cell>
        </row>
      </sheetData>
      <sheetData sheetId="1715">
        <row r="81">
          <cell r="H81">
            <v>222.566</v>
          </cell>
        </row>
      </sheetData>
      <sheetData sheetId="1716">
        <row r="81">
          <cell r="H81">
            <v>222.566</v>
          </cell>
        </row>
      </sheetData>
      <sheetData sheetId="1717">
        <row r="81">
          <cell r="H81">
            <v>222.566</v>
          </cell>
        </row>
      </sheetData>
      <sheetData sheetId="1718">
        <row r="81">
          <cell r="H81">
            <v>222.566</v>
          </cell>
        </row>
      </sheetData>
      <sheetData sheetId="1719">
        <row r="81">
          <cell r="H81">
            <v>222.566</v>
          </cell>
        </row>
      </sheetData>
      <sheetData sheetId="1720">
        <row r="81">
          <cell r="H81">
            <v>222.566</v>
          </cell>
        </row>
      </sheetData>
      <sheetData sheetId="1721">
        <row r="81">
          <cell r="H81">
            <v>222.566</v>
          </cell>
        </row>
      </sheetData>
      <sheetData sheetId="1722">
        <row r="81">
          <cell r="H81">
            <v>222.566</v>
          </cell>
        </row>
      </sheetData>
      <sheetData sheetId="1723">
        <row r="81">
          <cell r="H81">
            <v>222.566</v>
          </cell>
        </row>
      </sheetData>
      <sheetData sheetId="1724">
        <row r="81">
          <cell r="H81">
            <v>222.566</v>
          </cell>
        </row>
      </sheetData>
      <sheetData sheetId="1725">
        <row r="81">
          <cell r="H81">
            <v>222.566</v>
          </cell>
        </row>
      </sheetData>
      <sheetData sheetId="1726">
        <row r="81">
          <cell r="H81">
            <v>222.566</v>
          </cell>
        </row>
      </sheetData>
      <sheetData sheetId="1727">
        <row r="81">
          <cell r="H81">
            <v>222.566</v>
          </cell>
        </row>
      </sheetData>
      <sheetData sheetId="1728">
        <row r="81">
          <cell r="H81">
            <v>222.566</v>
          </cell>
        </row>
      </sheetData>
      <sheetData sheetId="1729">
        <row r="81">
          <cell r="H81">
            <v>222.566</v>
          </cell>
        </row>
      </sheetData>
      <sheetData sheetId="1730">
        <row r="81">
          <cell r="H81">
            <v>222.566</v>
          </cell>
        </row>
      </sheetData>
      <sheetData sheetId="1731">
        <row r="81">
          <cell r="H81">
            <v>222.566</v>
          </cell>
        </row>
      </sheetData>
      <sheetData sheetId="1732">
        <row r="81">
          <cell r="H81">
            <v>222.566</v>
          </cell>
        </row>
      </sheetData>
      <sheetData sheetId="1733">
        <row r="81">
          <cell r="H81">
            <v>222.566</v>
          </cell>
        </row>
      </sheetData>
      <sheetData sheetId="1734">
        <row r="81">
          <cell r="H81">
            <v>222.566</v>
          </cell>
        </row>
      </sheetData>
      <sheetData sheetId="1735">
        <row r="81">
          <cell r="H81">
            <v>222.566</v>
          </cell>
        </row>
      </sheetData>
      <sheetData sheetId="1736">
        <row r="81">
          <cell r="H81">
            <v>222.566</v>
          </cell>
        </row>
      </sheetData>
      <sheetData sheetId="1737">
        <row r="81">
          <cell r="H81">
            <v>222.566</v>
          </cell>
        </row>
      </sheetData>
      <sheetData sheetId="1738">
        <row r="81">
          <cell r="H81">
            <v>222.566</v>
          </cell>
        </row>
      </sheetData>
      <sheetData sheetId="1739">
        <row r="81">
          <cell r="H81">
            <v>222.566</v>
          </cell>
        </row>
      </sheetData>
      <sheetData sheetId="1740">
        <row r="81">
          <cell r="H81">
            <v>222.566</v>
          </cell>
        </row>
      </sheetData>
      <sheetData sheetId="1741">
        <row r="81">
          <cell r="H81">
            <v>222.566</v>
          </cell>
        </row>
      </sheetData>
      <sheetData sheetId="1742">
        <row r="81">
          <cell r="H81">
            <v>222.566</v>
          </cell>
        </row>
      </sheetData>
      <sheetData sheetId="1743">
        <row r="81">
          <cell r="H81">
            <v>222.566</v>
          </cell>
        </row>
      </sheetData>
      <sheetData sheetId="1744">
        <row r="81">
          <cell r="H81">
            <v>222.566</v>
          </cell>
        </row>
      </sheetData>
      <sheetData sheetId="1745">
        <row r="81">
          <cell r="H81">
            <v>222.566</v>
          </cell>
        </row>
      </sheetData>
      <sheetData sheetId="1746">
        <row r="81">
          <cell r="H81">
            <v>222.566</v>
          </cell>
        </row>
      </sheetData>
      <sheetData sheetId="1747">
        <row r="81">
          <cell r="H81">
            <v>222.566</v>
          </cell>
        </row>
      </sheetData>
      <sheetData sheetId="1748">
        <row r="81">
          <cell r="H81">
            <v>222.566</v>
          </cell>
        </row>
      </sheetData>
      <sheetData sheetId="1749">
        <row r="81">
          <cell r="H81">
            <v>222.566</v>
          </cell>
        </row>
      </sheetData>
      <sheetData sheetId="1750">
        <row r="81">
          <cell r="H81">
            <v>222.566</v>
          </cell>
        </row>
      </sheetData>
      <sheetData sheetId="1751">
        <row r="81">
          <cell r="H81">
            <v>222.566</v>
          </cell>
        </row>
      </sheetData>
      <sheetData sheetId="1752">
        <row r="81">
          <cell r="H81">
            <v>222.566</v>
          </cell>
        </row>
      </sheetData>
      <sheetData sheetId="1753">
        <row r="81">
          <cell r="H81">
            <v>222.566</v>
          </cell>
        </row>
      </sheetData>
      <sheetData sheetId="1754">
        <row r="81">
          <cell r="H81">
            <v>222.566</v>
          </cell>
        </row>
      </sheetData>
      <sheetData sheetId="1755">
        <row r="81">
          <cell r="H81">
            <v>222.566</v>
          </cell>
        </row>
      </sheetData>
      <sheetData sheetId="1756">
        <row r="81">
          <cell r="H81">
            <v>222.566</v>
          </cell>
        </row>
      </sheetData>
      <sheetData sheetId="1757">
        <row r="81">
          <cell r="H81">
            <v>222.566</v>
          </cell>
        </row>
      </sheetData>
      <sheetData sheetId="1758">
        <row r="81">
          <cell r="H81">
            <v>222.566</v>
          </cell>
        </row>
      </sheetData>
      <sheetData sheetId="1759">
        <row r="81">
          <cell r="H81">
            <v>222.566</v>
          </cell>
        </row>
      </sheetData>
      <sheetData sheetId="1760">
        <row r="81">
          <cell r="H81">
            <v>222.566</v>
          </cell>
        </row>
      </sheetData>
      <sheetData sheetId="1761">
        <row r="81">
          <cell r="H81">
            <v>222.566</v>
          </cell>
        </row>
      </sheetData>
      <sheetData sheetId="1762">
        <row r="81">
          <cell r="H81">
            <v>222.566</v>
          </cell>
        </row>
      </sheetData>
      <sheetData sheetId="1763">
        <row r="81">
          <cell r="H81">
            <v>222.566</v>
          </cell>
        </row>
      </sheetData>
      <sheetData sheetId="1764">
        <row r="81">
          <cell r="H81">
            <v>222.566</v>
          </cell>
        </row>
      </sheetData>
      <sheetData sheetId="1765">
        <row r="81">
          <cell r="H81">
            <v>222.566</v>
          </cell>
        </row>
      </sheetData>
      <sheetData sheetId="1766">
        <row r="81">
          <cell r="H81">
            <v>222.566</v>
          </cell>
        </row>
      </sheetData>
      <sheetData sheetId="1767">
        <row r="81">
          <cell r="H81">
            <v>222.566</v>
          </cell>
        </row>
      </sheetData>
      <sheetData sheetId="1768">
        <row r="81">
          <cell r="H81">
            <v>222.566</v>
          </cell>
        </row>
      </sheetData>
      <sheetData sheetId="1769">
        <row r="81">
          <cell r="H81">
            <v>222.566</v>
          </cell>
        </row>
      </sheetData>
      <sheetData sheetId="1770">
        <row r="81">
          <cell r="H81">
            <v>222.566</v>
          </cell>
        </row>
      </sheetData>
      <sheetData sheetId="1771">
        <row r="81">
          <cell r="H81">
            <v>222.566</v>
          </cell>
        </row>
      </sheetData>
      <sheetData sheetId="1772">
        <row r="81">
          <cell r="H81">
            <v>222.566</v>
          </cell>
        </row>
      </sheetData>
      <sheetData sheetId="1773">
        <row r="81">
          <cell r="H81">
            <v>222.566</v>
          </cell>
        </row>
      </sheetData>
      <sheetData sheetId="1774">
        <row r="81">
          <cell r="H81">
            <v>222.566</v>
          </cell>
        </row>
      </sheetData>
      <sheetData sheetId="1775">
        <row r="81">
          <cell r="H81">
            <v>222.566</v>
          </cell>
        </row>
      </sheetData>
      <sheetData sheetId="1776">
        <row r="81">
          <cell r="H81">
            <v>222.566</v>
          </cell>
        </row>
      </sheetData>
      <sheetData sheetId="1777">
        <row r="81">
          <cell r="H81">
            <v>222.566</v>
          </cell>
        </row>
      </sheetData>
      <sheetData sheetId="1778">
        <row r="81">
          <cell r="H81">
            <v>222.566</v>
          </cell>
        </row>
      </sheetData>
      <sheetData sheetId="1779">
        <row r="81">
          <cell r="H81">
            <v>222.566</v>
          </cell>
        </row>
      </sheetData>
      <sheetData sheetId="1780">
        <row r="81">
          <cell r="H81">
            <v>222.566</v>
          </cell>
        </row>
      </sheetData>
      <sheetData sheetId="1781">
        <row r="81">
          <cell r="H81">
            <v>222.566</v>
          </cell>
        </row>
      </sheetData>
      <sheetData sheetId="1782">
        <row r="81">
          <cell r="H81">
            <v>222.566</v>
          </cell>
        </row>
      </sheetData>
      <sheetData sheetId="1783">
        <row r="81">
          <cell r="H81">
            <v>222.566</v>
          </cell>
        </row>
      </sheetData>
      <sheetData sheetId="1784">
        <row r="81">
          <cell r="H81">
            <v>222.566</v>
          </cell>
        </row>
      </sheetData>
      <sheetData sheetId="1785">
        <row r="81">
          <cell r="H81">
            <v>222.566</v>
          </cell>
        </row>
      </sheetData>
      <sheetData sheetId="1786">
        <row r="81">
          <cell r="H81">
            <v>222.566</v>
          </cell>
        </row>
      </sheetData>
      <sheetData sheetId="1787">
        <row r="81">
          <cell r="H81">
            <v>222.566</v>
          </cell>
        </row>
      </sheetData>
      <sheetData sheetId="1788">
        <row r="81">
          <cell r="H81">
            <v>222.566</v>
          </cell>
        </row>
      </sheetData>
      <sheetData sheetId="1789">
        <row r="81">
          <cell r="H81">
            <v>222.566</v>
          </cell>
        </row>
      </sheetData>
      <sheetData sheetId="1790">
        <row r="81">
          <cell r="H81">
            <v>222.566</v>
          </cell>
        </row>
      </sheetData>
      <sheetData sheetId="1791">
        <row r="81">
          <cell r="H81">
            <v>222.566</v>
          </cell>
        </row>
      </sheetData>
      <sheetData sheetId="1792">
        <row r="81">
          <cell r="H81">
            <v>222.566</v>
          </cell>
        </row>
      </sheetData>
      <sheetData sheetId="1793">
        <row r="81">
          <cell r="H81">
            <v>222.566</v>
          </cell>
        </row>
      </sheetData>
      <sheetData sheetId="1794">
        <row r="81">
          <cell r="H81">
            <v>222.566</v>
          </cell>
        </row>
      </sheetData>
      <sheetData sheetId="1795">
        <row r="81">
          <cell r="H81">
            <v>222.566</v>
          </cell>
        </row>
      </sheetData>
      <sheetData sheetId="1796">
        <row r="81">
          <cell r="H81">
            <v>222.566</v>
          </cell>
        </row>
      </sheetData>
      <sheetData sheetId="1797">
        <row r="81">
          <cell r="H81">
            <v>222.566</v>
          </cell>
        </row>
      </sheetData>
      <sheetData sheetId="1798">
        <row r="81">
          <cell r="H81">
            <v>222.566</v>
          </cell>
        </row>
      </sheetData>
      <sheetData sheetId="1799">
        <row r="81">
          <cell r="H81">
            <v>222.566</v>
          </cell>
        </row>
      </sheetData>
      <sheetData sheetId="1800">
        <row r="81">
          <cell r="H81">
            <v>222.566</v>
          </cell>
        </row>
      </sheetData>
      <sheetData sheetId="1801">
        <row r="81">
          <cell r="H81">
            <v>222.566</v>
          </cell>
        </row>
      </sheetData>
      <sheetData sheetId="1802">
        <row r="81">
          <cell r="H81">
            <v>222.566</v>
          </cell>
        </row>
      </sheetData>
      <sheetData sheetId="1803">
        <row r="81">
          <cell r="H81">
            <v>222.566</v>
          </cell>
        </row>
      </sheetData>
      <sheetData sheetId="1804">
        <row r="81">
          <cell r="H81">
            <v>222.566</v>
          </cell>
        </row>
      </sheetData>
      <sheetData sheetId="1805">
        <row r="81">
          <cell r="H81">
            <v>222.566</v>
          </cell>
        </row>
      </sheetData>
      <sheetData sheetId="1806">
        <row r="81">
          <cell r="H81">
            <v>222.566</v>
          </cell>
        </row>
      </sheetData>
      <sheetData sheetId="1807">
        <row r="81">
          <cell r="H81">
            <v>222.566</v>
          </cell>
        </row>
      </sheetData>
      <sheetData sheetId="1808">
        <row r="81">
          <cell r="H81">
            <v>222.566</v>
          </cell>
        </row>
      </sheetData>
      <sheetData sheetId="1809">
        <row r="81">
          <cell r="H81">
            <v>222.566</v>
          </cell>
        </row>
      </sheetData>
      <sheetData sheetId="1810">
        <row r="81">
          <cell r="H81">
            <v>222.566</v>
          </cell>
        </row>
      </sheetData>
      <sheetData sheetId="1811">
        <row r="81">
          <cell r="H81">
            <v>222.566</v>
          </cell>
        </row>
      </sheetData>
      <sheetData sheetId="1812">
        <row r="81">
          <cell r="H81">
            <v>222.566</v>
          </cell>
        </row>
      </sheetData>
      <sheetData sheetId="1813">
        <row r="81">
          <cell r="H81">
            <v>222.566</v>
          </cell>
        </row>
      </sheetData>
      <sheetData sheetId="1814">
        <row r="81">
          <cell r="H81">
            <v>222.566</v>
          </cell>
        </row>
      </sheetData>
      <sheetData sheetId="1815">
        <row r="81">
          <cell r="H81">
            <v>222.566</v>
          </cell>
        </row>
      </sheetData>
      <sheetData sheetId="1816">
        <row r="81">
          <cell r="H81">
            <v>222.566</v>
          </cell>
        </row>
      </sheetData>
      <sheetData sheetId="1817">
        <row r="81">
          <cell r="H81">
            <v>222.566</v>
          </cell>
        </row>
      </sheetData>
      <sheetData sheetId="1818">
        <row r="81">
          <cell r="H81">
            <v>222.566</v>
          </cell>
        </row>
      </sheetData>
      <sheetData sheetId="1819">
        <row r="81">
          <cell r="H81">
            <v>222.566</v>
          </cell>
        </row>
      </sheetData>
      <sheetData sheetId="1820">
        <row r="81">
          <cell r="H81">
            <v>222.566</v>
          </cell>
        </row>
      </sheetData>
      <sheetData sheetId="1821">
        <row r="81">
          <cell r="H81">
            <v>222.566</v>
          </cell>
        </row>
      </sheetData>
      <sheetData sheetId="1822">
        <row r="81">
          <cell r="H81">
            <v>222.566</v>
          </cell>
        </row>
      </sheetData>
      <sheetData sheetId="1823">
        <row r="81">
          <cell r="H81">
            <v>222.566</v>
          </cell>
        </row>
      </sheetData>
      <sheetData sheetId="1824">
        <row r="81">
          <cell r="H81">
            <v>222.566</v>
          </cell>
        </row>
      </sheetData>
      <sheetData sheetId="1825">
        <row r="81">
          <cell r="H81">
            <v>222.566</v>
          </cell>
        </row>
      </sheetData>
      <sheetData sheetId="1826">
        <row r="81">
          <cell r="H81">
            <v>222.566</v>
          </cell>
        </row>
      </sheetData>
      <sheetData sheetId="1827">
        <row r="81">
          <cell r="H81">
            <v>222.566</v>
          </cell>
        </row>
      </sheetData>
      <sheetData sheetId="1828">
        <row r="81">
          <cell r="H81">
            <v>222.566</v>
          </cell>
        </row>
      </sheetData>
      <sheetData sheetId="1829">
        <row r="81">
          <cell r="H81">
            <v>222.566</v>
          </cell>
        </row>
      </sheetData>
      <sheetData sheetId="1830">
        <row r="81">
          <cell r="H81">
            <v>222.566</v>
          </cell>
        </row>
      </sheetData>
      <sheetData sheetId="1831">
        <row r="81">
          <cell r="H81">
            <v>222.566</v>
          </cell>
        </row>
      </sheetData>
      <sheetData sheetId="1832">
        <row r="81">
          <cell r="H81">
            <v>222.566</v>
          </cell>
        </row>
      </sheetData>
      <sheetData sheetId="1833">
        <row r="81">
          <cell r="H81">
            <v>222.566</v>
          </cell>
        </row>
      </sheetData>
      <sheetData sheetId="1834">
        <row r="81">
          <cell r="H81">
            <v>222.566</v>
          </cell>
        </row>
      </sheetData>
      <sheetData sheetId="1835">
        <row r="81">
          <cell r="H81">
            <v>222.566</v>
          </cell>
        </row>
      </sheetData>
      <sheetData sheetId="1836">
        <row r="81">
          <cell r="H81">
            <v>222.566</v>
          </cell>
        </row>
      </sheetData>
      <sheetData sheetId="1837">
        <row r="81">
          <cell r="H81">
            <v>222.566</v>
          </cell>
        </row>
      </sheetData>
      <sheetData sheetId="1838">
        <row r="81">
          <cell r="H81">
            <v>222.566</v>
          </cell>
        </row>
      </sheetData>
      <sheetData sheetId="1839">
        <row r="81">
          <cell r="H81">
            <v>222.566</v>
          </cell>
        </row>
      </sheetData>
      <sheetData sheetId="1840">
        <row r="81">
          <cell r="H81">
            <v>222.566</v>
          </cell>
        </row>
      </sheetData>
      <sheetData sheetId="1841">
        <row r="81">
          <cell r="H81">
            <v>222.566</v>
          </cell>
        </row>
      </sheetData>
      <sheetData sheetId="1842">
        <row r="81">
          <cell r="H81">
            <v>222.566</v>
          </cell>
        </row>
      </sheetData>
      <sheetData sheetId="1843">
        <row r="81">
          <cell r="H81">
            <v>222.566</v>
          </cell>
        </row>
      </sheetData>
      <sheetData sheetId="1844">
        <row r="81">
          <cell r="H81">
            <v>222.566</v>
          </cell>
        </row>
      </sheetData>
      <sheetData sheetId="1845">
        <row r="81">
          <cell r="H81">
            <v>222.566</v>
          </cell>
        </row>
      </sheetData>
      <sheetData sheetId="1846">
        <row r="81">
          <cell r="H81">
            <v>222.566</v>
          </cell>
        </row>
      </sheetData>
      <sheetData sheetId="1847">
        <row r="81">
          <cell r="H81">
            <v>222.566</v>
          </cell>
        </row>
      </sheetData>
      <sheetData sheetId="1848">
        <row r="81">
          <cell r="H81">
            <v>222.566</v>
          </cell>
        </row>
      </sheetData>
      <sheetData sheetId="1849">
        <row r="81">
          <cell r="H81">
            <v>222.566</v>
          </cell>
        </row>
      </sheetData>
      <sheetData sheetId="1850">
        <row r="81">
          <cell r="H81">
            <v>222.566</v>
          </cell>
        </row>
      </sheetData>
      <sheetData sheetId="1851">
        <row r="81">
          <cell r="H81">
            <v>222.566</v>
          </cell>
        </row>
      </sheetData>
      <sheetData sheetId="1852">
        <row r="81">
          <cell r="H81">
            <v>222.566</v>
          </cell>
        </row>
      </sheetData>
      <sheetData sheetId="1853">
        <row r="81">
          <cell r="H81">
            <v>222.566</v>
          </cell>
        </row>
      </sheetData>
      <sheetData sheetId="1854">
        <row r="81">
          <cell r="H81">
            <v>222.566</v>
          </cell>
        </row>
      </sheetData>
      <sheetData sheetId="1855">
        <row r="81">
          <cell r="H81">
            <v>222.566</v>
          </cell>
        </row>
      </sheetData>
      <sheetData sheetId="1856">
        <row r="81">
          <cell r="H81">
            <v>222.566</v>
          </cell>
        </row>
      </sheetData>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sheetData sheetId="1946"/>
      <sheetData sheetId="1947"/>
      <sheetData sheetId="1948"/>
      <sheetData sheetId="1949" refreshError="1"/>
      <sheetData sheetId="1950" refreshError="1"/>
      <sheetData sheetId="1951"/>
      <sheetData sheetId="1952"/>
      <sheetData sheetId="1953" refreshError="1"/>
      <sheetData sheetId="1954" refreshError="1"/>
      <sheetData sheetId="1955" refreshError="1"/>
      <sheetData sheetId="1956" refreshError="1"/>
      <sheetData sheetId="1957" refreshError="1"/>
      <sheetData sheetId="1958">
        <row r="81">
          <cell r="H81">
            <v>222.566</v>
          </cell>
        </row>
      </sheetData>
      <sheetData sheetId="1959">
        <row r="81">
          <cell r="H81">
            <v>222.566</v>
          </cell>
        </row>
      </sheetData>
      <sheetData sheetId="1960">
        <row r="81">
          <cell r="H81">
            <v>222.566</v>
          </cell>
        </row>
      </sheetData>
      <sheetData sheetId="1961" refreshError="1"/>
      <sheetData sheetId="1962"/>
      <sheetData sheetId="1963">
        <row r="81">
          <cell r="H81">
            <v>222.566</v>
          </cell>
        </row>
      </sheetData>
      <sheetData sheetId="1964">
        <row r="81">
          <cell r="H81">
            <v>222.566</v>
          </cell>
        </row>
      </sheetData>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sheetData sheetId="1978" refreshError="1"/>
      <sheetData sheetId="1979" refreshError="1"/>
      <sheetData sheetId="1980" refreshError="1"/>
      <sheetData sheetId="1981">
        <row r="81">
          <cell r="H81">
            <v>222.566</v>
          </cell>
        </row>
      </sheetData>
      <sheetData sheetId="1982">
        <row r="81">
          <cell r="H81">
            <v>222.566</v>
          </cell>
        </row>
      </sheetData>
      <sheetData sheetId="1983">
        <row r="81">
          <cell r="H81">
            <v>222.566</v>
          </cell>
        </row>
      </sheetData>
      <sheetData sheetId="1984">
        <row r="81">
          <cell r="H81">
            <v>222.566</v>
          </cell>
        </row>
      </sheetData>
      <sheetData sheetId="1985">
        <row r="81">
          <cell r="H81">
            <v>222.566</v>
          </cell>
        </row>
      </sheetData>
      <sheetData sheetId="1986">
        <row r="81">
          <cell r="H81">
            <v>222.566</v>
          </cell>
        </row>
      </sheetData>
      <sheetData sheetId="1987">
        <row r="81">
          <cell r="H81">
            <v>222.566</v>
          </cell>
        </row>
      </sheetData>
      <sheetData sheetId="1988">
        <row r="81">
          <cell r="H81">
            <v>222.566</v>
          </cell>
        </row>
      </sheetData>
      <sheetData sheetId="1989">
        <row r="81">
          <cell r="H81">
            <v>222.566</v>
          </cell>
        </row>
      </sheetData>
      <sheetData sheetId="1990">
        <row r="81">
          <cell r="H81">
            <v>222.566</v>
          </cell>
        </row>
      </sheetData>
      <sheetData sheetId="1991">
        <row r="81">
          <cell r="H81">
            <v>222.566</v>
          </cell>
        </row>
      </sheetData>
      <sheetData sheetId="1992">
        <row r="81">
          <cell r="H81">
            <v>222.566</v>
          </cell>
        </row>
      </sheetData>
      <sheetData sheetId="1993">
        <row r="81">
          <cell r="H81">
            <v>222.566</v>
          </cell>
        </row>
      </sheetData>
      <sheetData sheetId="1994">
        <row r="81">
          <cell r="H81">
            <v>222.566</v>
          </cell>
        </row>
      </sheetData>
      <sheetData sheetId="1995">
        <row r="81">
          <cell r="H81">
            <v>222.566</v>
          </cell>
        </row>
      </sheetData>
      <sheetData sheetId="1996">
        <row r="81">
          <cell r="H81">
            <v>222.566</v>
          </cell>
        </row>
      </sheetData>
      <sheetData sheetId="1997">
        <row r="81">
          <cell r="H81">
            <v>222.566</v>
          </cell>
        </row>
      </sheetData>
      <sheetData sheetId="1998">
        <row r="81">
          <cell r="H81">
            <v>222.566</v>
          </cell>
        </row>
      </sheetData>
      <sheetData sheetId="1999">
        <row r="81">
          <cell r="H81">
            <v>222.566</v>
          </cell>
        </row>
      </sheetData>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ow r="81">
          <cell r="H81">
            <v>222.566</v>
          </cell>
        </row>
      </sheetData>
      <sheetData sheetId="2013" refreshError="1"/>
      <sheetData sheetId="2014" refreshError="1"/>
      <sheetData sheetId="2015"/>
      <sheetData sheetId="2016">
        <row r="81">
          <cell r="H81">
            <v>222.566</v>
          </cell>
        </row>
      </sheetData>
      <sheetData sheetId="2017">
        <row r="81">
          <cell r="H81">
            <v>222.566</v>
          </cell>
        </row>
      </sheetData>
      <sheetData sheetId="2018">
        <row r="81">
          <cell r="H81">
            <v>222.566</v>
          </cell>
        </row>
      </sheetData>
      <sheetData sheetId="2019"/>
      <sheetData sheetId="2020"/>
      <sheetData sheetId="2021"/>
      <sheetData sheetId="2022"/>
      <sheetData sheetId="2023"/>
      <sheetData sheetId="2024"/>
      <sheetData sheetId="2025"/>
      <sheetData sheetId="2026"/>
      <sheetData sheetId="2027"/>
      <sheetData sheetId="2028"/>
      <sheetData sheetId="2029">
        <row r="81">
          <cell r="H81">
            <v>222.566</v>
          </cell>
        </row>
      </sheetData>
      <sheetData sheetId="2030">
        <row r="81">
          <cell r="H81">
            <v>222.566</v>
          </cell>
        </row>
      </sheetData>
      <sheetData sheetId="2031"/>
      <sheetData sheetId="2032"/>
      <sheetData sheetId="2033"/>
      <sheetData sheetId="2034"/>
      <sheetData sheetId="2035"/>
      <sheetData sheetId="2036"/>
      <sheetData sheetId="2037"/>
      <sheetData sheetId="2038"/>
      <sheetData sheetId="2039"/>
      <sheetData sheetId="2040"/>
      <sheetData sheetId="2041">
        <row r="81">
          <cell r="H81">
            <v>222.566</v>
          </cell>
        </row>
      </sheetData>
      <sheetData sheetId="2042">
        <row r="81">
          <cell r="H81">
            <v>222.566</v>
          </cell>
        </row>
      </sheetData>
      <sheetData sheetId="2043">
        <row r="81">
          <cell r="H81">
            <v>222.566</v>
          </cell>
        </row>
      </sheetData>
      <sheetData sheetId="2044">
        <row r="81">
          <cell r="H81">
            <v>222.566</v>
          </cell>
        </row>
      </sheetData>
      <sheetData sheetId="2045"/>
      <sheetData sheetId="2046"/>
      <sheetData sheetId="2047"/>
      <sheetData sheetId="2048">
        <row r="81">
          <cell r="H81">
            <v>222.566</v>
          </cell>
        </row>
      </sheetData>
      <sheetData sheetId="2049">
        <row r="81">
          <cell r="H81">
            <v>222.566</v>
          </cell>
        </row>
      </sheetData>
      <sheetData sheetId="2050">
        <row r="81">
          <cell r="H81">
            <v>222.566</v>
          </cell>
        </row>
      </sheetData>
      <sheetData sheetId="2051">
        <row r="81">
          <cell r="H81">
            <v>222.566</v>
          </cell>
        </row>
      </sheetData>
      <sheetData sheetId="2052">
        <row r="81">
          <cell r="H81">
            <v>222.566</v>
          </cell>
        </row>
      </sheetData>
      <sheetData sheetId="2053"/>
      <sheetData sheetId="2054">
        <row r="81">
          <cell r="H81">
            <v>222.566</v>
          </cell>
        </row>
      </sheetData>
      <sheetData sheetId="2055"/>
      <sheetData sheetId="2056">
        <row r="81">
          <cell r="H81">
            <v>222.566</v>
          </cell>
        </row>
      </sheetData>
      <sheetData sheetId="2057"/>
      <sheetData sheetId="2058"/>
      <sheetData sheetId="2059">
        <row r="81">
          <cell r="H81">
            <v>222.566</v>
          </cell>
        </row>
      </sheetData>
      <sheetData sheetId="2060">
        <row r="81">
          <cell r="H81">
            <v>222.566</v>
          </cell>
        </row>
      </sheetData>
      <sheetData sheetId="2061"/>
      <sheetData sheetId="2062"/>
      <sheetData sheetId="2063"/>
      <sheetData sheetId="2064"/>
      <sheetData sheetId="2065">
        <row r="81">
          <cell r="H81">
            <v>222.566</v>
          </cell>
        </row>
      </sheetData>
      <sheetData sheetId="2066">
        <row r="81">
          <cell r="H81">
            <v>222.566</v>
          </cell>
        </row>
      </sheetData>
      <sheetData sheetId="2067"/>
      <sheetData sheetId="2068">
        <row r="81">
          <cell r="H81">
            <v>222.566</v>
          </cell>
        </row>
      </sheetData>
      <sheetData sheetId="2069">
        <row r="81">
          <cell r="H81">
            <v>222.566</v>
          </cell>
        </row>
      </sheetData>
      <sheetData sheetId="2070">
        <row r="81">
          <cell r="H81">
            <v>222.566</v>
          </cell>
        </row>
      </sheetData>
      <sheetData sheetId="2071">
        <row r="81">
          <cell r="H81">
            <v>222.566</v>
          </cell>
        </row>
      </sheetData>
      <sheetData sheetId="2072">
        <row r="81">
          <cell r="H81">
            <v>222.566</v>
          </cell>
        </row>
      </sheetData>
      <sheetData sheetId="2073">
        <row r="81">
          <cell r="H81">
            <v>222.566</v>
          </cell>
        </row>
      </sheetData>
      <sheetData sheetId="2074">
        <row r="81">
          <cell r="H81">
            <v>222.566</v>
          </cell>
        </row>
      </sheetData>
      <sheetData sheetId="2075">
        <row r="81">
          <cell r="H81">
            <v>222.566</v>
          </cell>
        </row>
      </sheetData>
      <sheetData sheetId="2076">
        <row r="81">
          <cell r="H81">
            <v>222.566</v>
          </cell>
        </row>
      </sheetData>
      <sheetData sheetId="2077">
        <row r="81">
          <cell r="H81">
            <v>222.566</v>
          </cell>
        </row>
      </sheetData>
      <sheetData sheetId="2078">
        <row r="81">
          <cell r="H81">
            <v>222.566</v>
          </cell>
        </row>
      </sheetData>
      <sheetData sheetId="2079">
        <row r="81">
          <cell r="H81">
            <v>222.566</v>
          </cell>
        </row>
      </sheetData>
      <sheetData sheetId="2080">
        <row r="81">
          <cell r="H81">
            <v>222.566</v>
          </cell>
        </row>
      </sheetData>
      <sheetData sheetId="2081"/>
      <sheetData sheetId="2082">
        <row r="81">
          <cell r="H81">
            <v>222.566</v>
          </cell>
        </row>
      </sheetData>
      <sheetData sheetId="2083">
        <row r="81">
          <cell r="H81">
            <v>222.566</v>
          </cell>
        </row>
      </sheetData>
      <sheetData sheetId="2084"/>
      <sheetData sheetId="2085">
        <row r="81">
          <cell r="H81">
            <v>222.566</v>
          </cell>
        </row>
      </sheetData>
      <sheetData sheetId="2086">
        <row r="81">
          <cell r="H81">
            <v>222.566</v>
          </cell>
        </row>
      </sheetData>
      <sheetData sheetId="2087">
        <row r="81">
          <cell r="H81">
            <v>222.566</v>
          </cell>
        </row>
      </sheetData>
      <sheetData sheetId="2088"/>
      <sheetData sheetId="2089">
        <row r="81">
          <cell r="H81">
            <v>222.566</v>
          </cell>
        </row>
      </sheetData>
      <sheetData sheetId="2090">
        <row r="81">
          <cell r="H81">
            <v>222.566</v>
          </cell>
        </row>
      </sheetData>
      <sheetData sheetId="2091">
        <row r="81">
          <cell r="H81">
            <v>222.566</v>
          </cell>
        </row>
      </sheetData>
      <sheetData sheetId="2092">
        <row r="81">
          <cell r="H81">
            <v>222.566</v>
          </cell>
        </row>
      </sheetData>
      <sheetData sheetId="2093"/>
      <sheetData sheetId="2094">
        <row r="81">
          <cell r="H81">
            <v>222.566</v>
          </cell>
        </row>
      </sheetData>
      <sheetData sheetId="2095">
        <row r="81">
          <cell r="H81">
            <v>222.566</v>
          </cell>
        </row>
      </sheetData>
      <sheetData sheetId="2096">
        <row r="81">
          <cell r="H81">
            <v>222.566</v>
          </cell>
        </row>
      </sheetData>
      <sheetData sheetId="2097">
        <row r="81">
          <cell r="H81">
            <v>222.566</v>
          </cell>
        </row>
      </sheetData>
      <sheetData sheetId="2098">
        <row r="81">
          <cell r="H81">
            <v>222.566</v>
          </cell>
        </row>
      </sheetData>
      <sheetData sheetId="2099">
        <row r="81">
          <cell r="H81">
            <v>222.566</v>
          </cell>
        </row>
      </sheetData>
      <sheetData sheetId="2100"/>
      <sheetData sheetId="2101">
        <row r="81">
          <cell r="H81">
            <v>222.566</v>
          </cell>
        </row>
      </sheetData>
      <sheetData sheetId="2102">
        <row r="81">
          <cell r="H81">
            <v>222.566</v>
          </cell>
        </row>
      </sheetData>
      <sheetData sheetId="2103">
        <row r="81">
          <cell r="H81">
            <v>222.566</v>
          </cell>
        </row>
      </sheetData>
      <sheetData sheetId="2104">
        <row r="81">
          <cell r="H81">
            <v>222.566</v>
          </cell>
        </row>
      </sheetData>
      <sheetData sheetId="2105">
        <row r="81">
          <cell r="H81">
            <v>222.566</v>
          </cell>
        </row>
      </sheetData>
      <sheetData sheetId="2106"/>
      <sheetData sheetId="2107">
        <row r="81">
          <cell r="H81">
            <v>222.566</v>
          </cell>
        </row>
      </sheetData>
      <sheetData sheetId="2108">
        <row r="81">
          <cell r="H81">
            <v>222.566</v>
          </cell>
        </row>
      </sheetData>
      <sheetData sheetId="2109">
        <row r="81">
          <cell r="H81">
            <v>222.566</v>
          </cell>
        </row>
      </sheetData>
      <sheetData sheetId="2110">
        <row r="81">
          <cell r="H81">
            <v>222.566</v>
          </cell>
        </row>
      </sheetData>
      <sheetData sheetId="2111">
        <row r="81">
          <cell r="H81">
            <v>222.566</v>
          </cell>
        </row>
      </sheetData>
      <sheetData sheetId="2112">
        <row r="81">
          <cell r="H81">
            <v>222.566</v>
          </cell>
        </row>
      </sheetData>
      <sheetData sheetId="2113">
        <row r="81">
          <cell r="H81">
            <v>222.566</v>
          </cell>
        </row>
      </sheetData>
      <sheetData sheetId="2114">
        <row r="81">
          <cell r="H81">
            <v>222.566</v>
          </cell>
        </row>
      </sheetData>
      <sheetData sheetId="2115"/>
      <sheetData sheetId="2116">
        <row r="81">
          <cell r="H81">
            <v>222.566</v>
          </cell>
        </row>
      </sheetData>
      <sheetData sheetId="2117"/>
      <sheetData sheetId="2118">
        <row r="81">
          <cell r="H81">
            <v>222.566</v>
          </cell>
        </row>
      </sheetData>
      <sheetData sheetId="2119"/>
      <sheetData sheetId="2120">
        <row r="81">
          <cell r="H81">
            <v>222.566</v>
          </cell>
        </row>
      </sheetData>
      <sheetData sheetId="2121">
        <row r="81">
          <cell r="H81">
            <v>222.566</v>
          </cell>
        </row>
      </sheetData>
      <sheetData sheetId="2122">
        <row r="81">
          <cell r="H81">
            <v>222.566</v>
          </cell>
        </row>
      </sheetData>
      <sheetData sheetId="2123"/>
      <sheetData sheetId="2124"/>
      <sheetData sheetId="2125">
        <row r="81">
          <cell r="H81">
            <v>222.566</v>
          </cell>
        </row>
      </sheetData>
      <sheetData sheetId="2126"/>
      <sheetData sheetId="2127"/>
      <sheetData sheetId="2128"/>
      <sheetData sheetId="2129">
        <row r="81">
          <cell r="H81">
            <v>222.566</v>
          </cell>
        </row>
      </sheetData>
      <sheetData sheetId="2130"/>
      <sheetData sheetId="2131"/>
      <sheetData sheetId="2132"/>
      <sheetData sheetId="2133">
        <row r="81">
          <cell r="H81">
            <v>222.566</v>
          </cell>
        </row>
      </sheetData>
      <sheetData sheetId="2134">
        <row r="81">
          <cell r="H81">
            <v>222.566</v>
          </cell>
        </row>
      </sheetData>
      <sheetData sheetId="2135">
        <row r="81">
          <cell r="H81">
            <v>222.566</v>
          </cell>
        </row>
      </sheetData>
      <sheetData sheetId="2136">
        <row r="81">
          <cell r="H81">
            <v>222.566</v>
          </cell>
        </row>
      </sheetData>
      <sheetData sheetId="2137">
        <row r="81">
          <cell r="H81">
            <v>222.566</v>
          </cell>
        </row>
      </sheetData>
      <sheetData sheetId="2138"/>
      <sheetData sheetId="2139"/>
      <sheetData sheetId="2140">
        <row r="81">
          <cell r="H81">
            <v>222.566</v>
          </cell>
        </row>
      </sheetData>
      <sheetData sheetId="2141">
        <row r="81">
          <cell r="H81">
            <v>222.566</v>
          </cell>
        </row>
      </sheetData>
      <sheetData sheetId="2142">
        <row r="81">
          <cell r="H81">
            <v>222.566</v>
          </cell>
        </row>
      </sheetData>
      <sheetData sheetId="2143">
        <row r="81">
          <cell r="H81">
            <v>222.566</v>
          </cell>
        </row>
      </sheetData>
      <sheetData sheetId="2144">
        <row r="81">
          <cell r="H81">
            <v>222.566</v>
          </cell>
        </row>
      </sheetData>
      <sheetData sheetId="2145">
        <row r="81">
          <cell r="H81">
            <v>222.566</v>
          </cell>
        </row>
      </sheetData>
      <sheetData sheetId="2146"/>
      <sheetData sheetId="2147">
        <row r="81">
          <cell r="H81">
            <v>222.566</v>
          </cell>
        </row>
      </sheetData>
      <sheetData sheetId="2148"/>
      <sheetData sheetId="2149"/>
      <sheetData sheetId="2150"/>
      <sheetData sheetId="2151"/>
      <sheetData sheetId="2152">
        <row r="81">
          <cell r="H81">
            <v>222.566</v>
          </cell>
        </row>
      </sheetData>
      <sheetData sheetId="2153">
        <row r="81">
          <cell r="H81">
            <v>222.566</v>
          </cell>
        </row>
      </sheetData>
      <sheetData sheetId="2154">
        <row r="81">
          <cell r="H81">
            <v>222.566</v>
          </cell>
        </row>
      </sheetData>
      <sheetData sheetId="2155">
        <row r="81">
          <cell r="H81">
            <v>222.566</v>
          </cell>
        </row>
      </sheetData>
      <sheetData sheetId="2156"/>
      <sheetData sheetId="2157">
        <row r="81">
          <cell r="H81">
            <v>222.566</v>
          </cell>
        </row>
      </sheetData>
      <sheetData sheetId="2158"/>
      <sheetData sheetId="2159">
        <row r="81">
          <cell r="H81">
            <v>222.566</v>
          </cell>
        </row>
      </sheetData>
      <sheetData sheetId="2160"/>
      <sheetData sheetId="2161"/>
      <sheetData sheetId="2162"/>
      <sheetData sheetId="2163"/>
      <sheetData sheetId="2164"/>
      <sheetData sheetId="2165"/>
      <sheetData sheetId="2166">
        <row r="81">
          <cell r="H81">
            <v>222.566</v>
          </cell>
        </row>
      </sheetData>
      <sheetData sheetId="2167">
        <row r="81">
          <cell r="H81">
            <v>222.566</v>
          </cell>
        </row>
      </sheetData>
      <sheetData sheetId="2168"/>
      <sheetData sheetId="2169">
        <row r="81">
          <cell r="H81">
            <v>222.566</v>
          </cell>
        </row>
      </sheetData>
      <sheetData sheetId="2170">
        <row r="81">
          <cell r="H81">
            <v>222.566</v>
          </cell>
        </row>
      </sheetData>
      <sheetData sheetId="2171">
        <row r="81">
          <cell r="H81">
            <v>222.566</v>
          </cell>
        </row>
      </sheetData>
      <sheetData sheetId="2172">
        <row r="81">
          <cell r="H81">
            <v>222.566</v>
          </cell>
        </row>
      </sheetData>
      <sheetData sheetId="2173">
        <row r="81">
          <cell r="H81">
            <v>222.566</v>
          </cell>
        </row>
      </sheetData>
      <sheetData sheetId="2174">
        <row r="81">
          <cell r="H81">
            <v>222.566</v>
          </cell>
        </row>
      </sheetData>
      <sheetData sheetId="2175">
        <row r="81">
          <cell r="H81">
            <v>222.566</v>
          </cell>
        </row>
      </sheetData>
      <sheetData sheetId="2176">
        <row r="81">
          <cell r="H81">
            <v>222.566</v>
          </cell>
        </row>
      </sheetData>
      <sheetData sheetId="2177">
        <row r="81">
          <cell r="H81">
            <v>222.566</v>
          </cell>
        </row>
      </sheetData>
      <sheetData sheetId="2178">
        <row r="81">
          <cell r="H81">
            <v>222.566</v>
          </cell>
        </row>
      </sheetData>
      <sheetData sheetId="2179">
        <row r="81">
          <cell r="H81">
            <v>222.566</v>
          </cell>
        </row>
      </sheetData>
      <sheetData sheetId="2180">
        <row r="81">
          <cell r="H81">
            <v>222.566</v>
          </cell>
        </row>
      </sheetData>
      <sheetData sheetId="2181">
        <row r="81">
          <cell r="H81">
            <v>222.566</v>
          </cell>
        </row>
      </sheetData>
      <sheetData sheetId="2182">
        <row r="81">
          <cell r="H81">
            <v>222.566</v>
          </cell>
        </row>
      </sheetData>
      <sheetData sheetId="2183"/>
      <sheetData sheetId="2184"/>
      <sheetData sheetId="2185"/>
      <sheetData sheetId="2186"/>
      <sheetData sheetId="2187"/>
      <sheetData sheetId="2188">
        <row r="81">
          <cell r="H81">
            <v>222.566</v>
          </cell>
        </row>
      </sheetData>
      <sheetData sheetId="2189"/>
      <sheetData sheetId="2190">
        <row r="81">
          <cell r="H81">
            <v>222.566</v>
          </cell>
        </row>
      </sheetData>
      <sheetData sheetId="2191">
        <row r="81">
          <cell r="H81">
            <v>222.566</v>
          </cell>
        </row>
      </sheetData>
      <sheetData sheetId="2192">
        <row r="81">
          <cell r="H81">
            <v>222.566</v>
          </cell>
        </row>
      </sheetData>
      <sheetData sheetId="2193">
        <row r="81">
          <cell r="H81">
            <v>222.566</v>
          </cell>
        </row>
      </sheetData>
      <sheetData sheetId="2194">
        <row r="81">
          <cell r="H81">
            <v>222.566</v>
          </cell>
        </row>
      </sheetData>
      <sheetData sheetId="2195">
        <row r="81">
          <cell r="H81">
            <v>222.566</v>
          </cell>
        </row>
      </sheetData>
      <sheetData sheetId="2196">
        <row r="81">
          <cell r="H81">
            <v>222.566</v>
          </cell>
        </row>
      </sheetData>
      <sheetData sheetId="2197">
        <row r="81">
          <cell r="H81">
            <v>222.566</v>
          </cell>
        </row>
      </sheetData>
      <sheetData sheetId="2198">
        <row r="81">
          <cell r="H81">
            <v>222.566</v>
          </cell>
        </row>
      </sheetData>
      <sheetData sheetId="2199">
        <row r="81">
          <cell r="H81">
            <v>222.566</v>
          </cell>
        </row>
      </sheetData>
      <sheetData sheetId="2200"/>
      <sheetData sheetId="2201"/>
      <sheetData sheetId="2202">
        <row r="81">
          <cell r="H81">
            <v>222.566</v>
          </cell>
        </row>
      </sheetData>
      <sheetData sheetId="2203"/>
      <sheetData sheetId="2204"/>
      <sheetData sheetId="2205"/>
      <sheetData sheetId="2206"/>
      <sheetData sheetId="2207"/>
      <sheetData sheetId="2208"/>
      <sheetData sheetId="2209"/>
      <sheetData sheetId="2210"/>
      <sheetData sheetId="2211"/>
      <sheetData sheetId="2212">
        <row r="81">
          <cell r="H81">
            <v>222.566</v>
          </cell>
        </row>
      </sheetData>
      <sheetData sheetId="2213">
        <row r="81">
          <cell r="H81">
            <v>222.566</v>
          </cell>
        </row>
      </sheetData>
      <sheetData sheetId="2214">
        <row r="81">
          <cell r="H81">
            <v>222.566</v>
          </cell>
        </row>
      </sheetData>
      <sheetData sheetId="2215">
        <row r="81">
          <cell r="H81">
            <v>222.566</v>
          </cell>
        </row>
      </sheetData>
      <sheetData sheetId="2216">
        <row r="81">
          <cell r="H81">
            <v>222.566</v>
          </cell>
        </row>
      </sheetData>
      <sheetData sheetId="2217">
        <row r="81">
          <cell r="H81">
            <v>222.566</v>
          </cell>
        </row>
      </sheetData>
      <sheetData sheetId="2218">
        <row r="81">
          <cell r="H81">
            <v>222.566</v>
          </cell>
        </row>
      </sheetData>
      <sheetData sheetId="2219">
        <row r="81">
          <cell r="H81">
            <v>222.566</v>
          </cell>
        </row>
      </sheetData>
      <sheetData sheetId="2220">
        <row r="81">
          <cell r="H81">
            <v>222.566</v>
          </cell>
        </row>
      </sheetData>
      <sheetData sheetId="2221">
        <row r="81">
          <cell r="H81">
            <v>222.566</v>
          </cell>
        </row>
      </sheetData>
      <sheetData sheetId="2222">
        <row r="81">
          <cell r="H81">
            <v>222.566</v>
          </cell>
        </row>
      </sheetData>
      <sheetData sheetId="2223">
        <row r="81">
          <cell r="H81">
            <v>222.566</v>
          </cell>
        </row>
      </sheetData>
      <sheetData sheetId="2224">
        <row r="81">
          <cell r="H81">
            <v>222.566</v>
          </cell>
        </row>
      </sheetData>
      <sheetData sheetId="2225"/>
      <sheetData sheetId="2226"/>
      <sheetData sheetId="2227"/>
      <sheetData sheetId="2228"/>
      <sheetData sheetId="2229"/>
      <sheetData sheetId="2230"/>
      <sheetData sheetId="2231"/>
      <sheetData sheetId="2232"/>
      <sheetData sheetId="2233"/>
      <sheetData sheetId="2234">
        <row r="81">
          <cell r="H81">
            <v>222.566</v>
          </cell>
        </row>
      </sheetData>
      <sheetData sheetId="2235"/>
      <sheetData sheetId="2236"/>
      <sheetData sheetId="2237"/>
      <sheetData sheetId="2238">
        <row r="81">
          <cell r="H81">
            <v>222.566</v>
          </cell>
        </row>
      </sheetData>
      <sheetData sheetId="2239">
        <row r="81">
          <cell r="H81">
            <v>222.566</v>
          </cell>
        </row>
      </sheetData>
      <sheetData sheetId="2240"/>
      <sheetData sheetId="2241"/>
      <sheetData sheetId="2242"/>
      <sheetData sheetId="2243"/>
      <sheetData sheetId="2244"/>
      <sheetData sheetId="2245"/>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sheetData sheetId="2304">
        <row r="81">
          <cell r="H81">
            <v>222.566</v>
          </cell>
        </row>
      </sheetData>
      <sheetData sheetId="2305"/>
      <sheetData sheetId="2306"/>
      <sheetData sheetId="2307"/>
      <sheetData sheetId="2308">
        <row r="81">
          <cell r="H81">
            <v>222.566</v>
          </cell>
        </row>
      </sheetData>
      <sheetData sheetId="2309">
        <row r="81">
          <cell r="H81">
            <v>222.566</v>
          </cell>
        </row>
      </sheetData>
      <sheetData sheetId="2310"/>
      <sheetData sheetId="2311">
        <row r="81">
          <cell r="H81">
            <v>222.566</v>
          </cell>
        </row>
      </sheetData>
      <sheetData sheetId="2312">
        <row r="81">
          <cell r="H81">
            <v>222.566</v>
          </cell>
        </row>
      </sheetData>
      <sheetData sheetId="2313">
        <row r="81">
          <cell r="H81">
            <v>222.566</v>
          </cell>
        </row>
      </sheetData>
      <sheetData sheetId="2314">
        <row r="81">
          <cell r="H81">
            <v>222.566</v>
          </cell>
        </row>
      </sheetData>
      <sheetData sheetId="2315">
        <row r="81">
          <cell r="H81">
            <v>222.566</v>
          </cell>
        </row>
      </sheetData>
      <sheetData sheetId="2316">
        <row r="81">
          <cell r="H81">
            <v>222.566</v>
          </cell>
        </row>
      </sheetData>
      <sheetData sheetId="2317">
        <row r="81">
          <cell r="H81">
            <v>222.566</v>
          </cell>
        </row>
      </sheetData>
      <sheetData sheetId="2318">
        <row r="81">
          <cell r="H81">
            <v>222.566</v>
          </cell>
        </row>
      </sheetData>
      <sheetData sheetId="2319">
        <row r="81">
          <cell r="H81">
            <v>222.566</v>
          </cell>
        </row>
      </sheetData>
      <sheetData sheetId="2320">
        <row r="81">
          <cell r="H81">
            <v>222.566</v>
          </cell>
        </row>
      </sheetData>
      <sheetData sheetId="2321">
        <row r="81">
          <cell r="H81">
            <v>222.566</v>
          </cell>
        </row>
      </sheetData>
      <sheetData sheetId="2322">
        <row r="81">
          <cell r="H81">
            <v>222.566</v>
          </cell>
        </row>
      </sheetData>
      <sheetData sheetId="2323">
        <row r="81">
          <cell r="H81">
            <v>222.566</v>
          </cell>
        </row>
      </sheetData>
      <sheetData sheetId="2324"/>
      <sheetData sheetId="2325"/>
      <sheetData sheetId="2326"/>
      <sheetData sheetId="2327"/>
      <sheetData sheetId="2328"/>
      <sheetData sheetId="2329"/>
      <sheetData sheetId="2330">
        <row r="81">
          <cell r="H81">
            <v>222.566</v>
          </cell>
        </row>
      </sheetData>
      <sheetData sheetId="2331"/>
      <sheetData sheetId="2332"/>
      <sheetData sheetId="2333">
        <row r="81">
          <cell r="H81">
            <v>222.566</v>
          </cell>
        </row>
      </sheetData>
      <sheetData sheetId="2334">
        <row r="81">
          <cell r="H81">
            <v>222.566</v>
          </cell>
        </row>
      </sheetData>
      <sheetData sheetId="2335">
        <row r="81">
          <cell r="H81">
            <v>222.566</v>
          </cell>
        </row>
      </sheetData>
      <sheetData sheetId="2336">
        <row r="81">
          <cell r="H81">
            <v>222.566</v>
          </cell>
        </row>
      </sheetData>
      <sheetData sheetId="2337"/>
      <sheetData sheetId="2338"/>
      <sheetData sheetId="2339">
        <row r="81">
          <cell r="H81">
            <v>222.566</v>
          </cell>
        </row>
      </sheetData>
      <sheetData sheetId="2340">
        <row r="81">
          <cell r="H81">
            <v>222.566</v>
          </cell>
        </row>
      </sheetData>
      <sheetData sheetId="2341">
        <row r="81">
          <cell r="H81">
            <v>222.566</v>
          </cell>
        </row>
      </sheetData>
      <sheetData sheetId="2342">
        <row r="81">
          <cell r="H81">
            <v>222.566</v>
          </cell>
        </row>
      </sheetData>
      <sheetData sheetId="2343">
        <row r="81">
          <cell r="H81">
            <v>222.566</v>
          </cell>
        </row>
      </sheetData>
      <sheetData sheetId="2344">
        <row r="81">
          <cell r="H81">
            <v>222.566</v>
          </cell>
        </row>
      </sheetData>
      <sheetData sheetId="2345">
        <row r="81">
          <cell r="H81">
            <v>222.566</v>
          </cell>
        </row>
      </sheetData>
      <sheetData sheetId="2346"/>
      <sheetData sheetId="2347"/>
      <sheetData sheetId="2348"/>
      <sheetData sheetId="2349"/>
      <sheetData sheetId="2350"/>
      <sheetData sheetId="2351"/>
      <sheetData sheetId="2352">
        <row r="81">
          <cell r="H81">
            <v>222.566</v>
          </cell>
        </row>
      </sheetData>
      <sheetData sheetId="2353"/>
      <sheetData sheetId="2354"/>
      <sheetData sheetId="2355"/>
      <sheetData sheetId="2356">
        <row r="81">
          <cell r="H81">
            <v>222.566</v>
          </cell>
        </row>
      </sheetData>
      <sheetData sheetId="2357">
        <row r="81">
          <cell r="H81">
            <v>222.566</v>
          </cell>
        </row>
      </sheetData>
      <sheetData sheetId="2358"/>
      <sheetData sheetId="2359">
        <row r="81">
          <cell r="H81">
            <v>222.566</v>
          </cell>
        </row>
      </sheetData>
      <sheetData sheetId="2360">
        <row r="81">
          <cell r="H81">
            <v>222.566</v>
          </cell>
        </row>
      </sheetData>
      <sheetData sheetId="2361">
        <row r="81">
          <cell r="H81">
            <v>222.566</v>
          </cell>
        </row>
      </sheetData>
      <sheetData sheetId="2362">
        <row r="81">
          <cell r="H81">
            <v>222.566</v>
          </cell>
        </row>
      </sheetData>
      <sheetData sheetId="2363">
        <row r="81">
          <cell r="H81">
            <v>222.566</v>
          </cell>
        </row>
      </sheetData>
      <sheetData sheetId="2364">
        <row r="81">
          <cell r="H81">
            <v>222.566</v>
          </cell>
        </row>
      </sheetData>
      <sheetData sheetId="2365">
        <row r="81">
          <cell r="H81">
            <v>222.566</v>
          </cell>
        </row>
      </sheetData>
      <sheetData sheetId="2366">
        <row r="81">
          <cell r="H81">
            <v>222.566</v>
          </cell>
        </row>
      </sheetData>
      <sheetData sheetId="2367">
        <row r="81">
          <cell r="H81">
            <v>222.566</v>
          </cell>
        </row>
      </sheetData>
      <sheetData sheetId="2368">
        <row r="81">
          <cell r="H81">
            <v>222.566</v>
          </cell>
        </row>
      </sheetData>
      <sheetData sheetId="2369">
        <row r="81">
          <cell r="H81">
            <v>222.566</v>
          </cell>
        </row>
      </sheetData>
      <sheetData sheetId="2370">
        <row r="81">
          <cell r="H81">
            <v>222.566</v>
          </cell>
        </row>
      </sheetData>
      <sheetData sheetId="2371">
        <row r="81">
          <cell r="H81">
            <v>222.566</v>
          </cell>
        </row>
      </sheetData>
      <sheetData sheetId="2372">
        <row r="81">
          <cell r="H81">
            <v>222.566</v>
          </cell>
        </row>
      </sheetData>
      <sheetData sheetId="2373">
        <row r="81">
          <cell r="H81">
            <v>222.566</v>
          </cell>
        </row>
      </sheetData>
      <sheetData sheetId="2374">
        <row r="81">
          <cell r="H81">
            <v>222.566</v>
          </cell>
        </row>
      </sheetData>
      <sheetData sheetId="2375">
        <row r="81">
          <cell r="H81">
            <v>222.566</v>
          </cell>
        </row>
      </sheetData>
      <sheetData sheetId="2376">
        <row r="81">
          <cell r="H81">
            <v>222.566</v>
          </cell>
        </row>
      </sheetData>
      <sheetData sheetId="2377">
        <row r="81">
          <cell r="H81">
            <v>222.566</v>
          </cell>
        </row>
      </sheetData>
      <sheetData sheetId="2378">
        <row r="81">
          <cell r="H81">
            <v>222.566</v>
          </cell>
        </row>
      </sheetData>
      <sheetData sheetId="2379">
        <row r="81">
          <cell r="H81">
            <v>222.566</v>
          </cell>
        </row>
      </sheetData>
      <sheetData sheetId="2380">
        <row r="81">
          <cell r="H81">
            <v>222.566</v>
          </cell>
        </row>
      </sheetData>
      <sheetData sheetId="2381">
        <row r="81">
          <cell r="H81">
            <v>222.566</v>
          </cell>
        </row>
      </sheetData>
      <sheetData sheetId="2382">
        <row r="81">
          <cell r="H81">
            <v>222.566</v>
          </cell>
        </row>
      </sheetData>
      <sheetData sheetId="2383">
        <row r="81">
          <cell r="H81">
            <v>222.566</v>
          </cell>
        </row>
      </sheetData>
      <sheetData sheetId="2384">
        <row r="81">
          <cell r="H81">
            <v>222.566</v>
          </cell>
        </row>
      </sheetData>
      <sheetData sheetId="2385">
        <row r="81">
          <cell r="H81">
            <v>222.566</v>
          </cell>
        </row>
      </sheetData>
      <sheetData sheetId="2386">
        <row r="81">
          <cell r="H81">
            <v>222.566</v>
          </cell>
        </row>
      </sheetData>
      <sheetData sheetId="2387">
        <row r="81">
          <cell r="H81">
            <v>222.566</v>
          </cell>
        </row>
      </sheetData>
      <sheetData sheetId="2388"/>
      <sheetData sheetId="2389"/>
      <sheetData sheetId="2390"/>
      <sheetData sheetId="2391"/>
      <sheetData sheetId="2392"/>
      <sheetData sheetId="2393"/>
      <sheetData sheetId="2394"/>
      <sheetData sheetId="2395"/>
      <sheetData sheetId="2396"/>
      <sheetData sheetId="2397"/>
      <sheetData sheetId="2398"/>
      <sheetData sheetId="2399" refreshError="1"/>
      <sheetData sheetId="2400" refreshError="1"/>
      <sheetData sheetId="2401" refreshError="1"/>
      <sheetData sheetId="2402">
        <row r="81">
          <cell r="H81">
            <v>222.566</v>
          </cell>
        </row>
      </sheetData>
      <sheetData sheetId="2403">
        <row r="81">
          <cell r="H81">
            <v>222.566</v>
          </cell>
        </row>
      </sheetData>
      <sheetData sheetId="2404">
        <row r="81">
          <cell r="H81">
            <v>222.566</v>
          </cell>
        </row>
      </sheetData>
      <sheetData sheetId="2405">
        <row r="81">
          <cell r="H81">
            <v>222.566</v>
          </cell>
        </row>
      </sheetData>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ow r="81">
          <cell r="H81">
            <v>222.566</v>
          </cell>
        </row>
      </sheetData>
      <sheetData sheetId="2427"/>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SCHEDULE"/>
      <sheetName val="Database"/>
      <sheetName val="schedule nos"/>
      <sheetName val="analysis"/>
      <sheetName val="Gen Info"/>
      <sheetName val="LABOUR RATE"/>
      <sheetName val="Material Rate"/>
      <sheetName val="schedule_nos"/>
      <sheetName val="Gen_Info"/>
      <sheetName val="LABOUR_RATE"/>
      <sheetName val="Material_Rat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 Info"/>
      <sheetName val="analysis"/>
      <sheetName val="SCHEDULE"/>
      <sheetName val="Database"/>
      <sheetName val="schedule nos"/>
      <sheetName val="LABOUR RATE"/>
      <sheetName val="Material Rate"/>
      <sheetName val="TBAL9697 -group wise  sdpl"/>
      <sheetName val="Detail"/>
      <sheetName val="Config"/>
      <sheetName val="Estimate"/>
      <sheetName val="INPUT SHEET"/>
      <sheetName val="Gen_Info"/>
      <sheetName val="schedule_nos"/>
      <sheetName val="LABOUR_RATE"/>
      <sheetName val="Material_Rate"/>
      <sheetName val="TBAL9697_-group_wise__sdpl"/>
      <sheetName val="INPUT_SHEET"/>
      <sheetName val="01"/>
      <sheetName val="02"/>
      <sheetName val="03"/>
      <sheetName val="04"/>
      <sheetName val="LABOR T&amp;P"/>
      <sheetName val="Basic"/>
      <sheetName val="Bk Anal"/>
      <sheetName val="Annexure"/>
      <sheetName val="51"/>
      <sheetName val="cctv_est1"/>
      <sheetName val="Civil Works"/>
      <sheetName val="q1"/>
      <sheetName val="Gul"/>
      <sheetName val="HPCul"/>
      <sheetName val=" Rtanal"/>
      <sheetName val="RCC1.5M"/>
      <sheetName val="RCC3m"/>
      <sheetName val="RCC4M"/>
      <sheetName val="RCC6M"/>
      <sheetName val="RAMP"/>
      <sheetName val=" Plan"/>
      <sheetName val="BasicRatesRd"/>
      <sheetName val=" F8-NDB"/>
      <sheetName val="KC Drain"/>
      <sheetName val=" RM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TABILITY"/>
      <sheetName val="DESIGN"/>
      <sheetName val="WEIGHT"/>
      <sheetName val="Diagrams"/>
      <sheetName val="Crackwidth"/>
      <sheetName val="Notes"/>
      <sheetName val="Module1"/>
      <sheetName val="Module2"/>
      <sheetName val="Module3"/>
    </sheetNames>
    <sheetDataSet>
      <sheetData sheetId="0" refreshError="1">
        <row r="23">
          <cell r="C23">
            <v>3200</v>
          </cell>
        </row>
        <row r="63">
          <cell r="H63">
            <v>1</v>
          </cell>
        </row>
      </sheetData>
      <sheetData sheetId="1" refreshError="1"/>
      <sheetData sheetId="2" refreshError="1"/>
      <sheetData sheetId="3"/>
      <sheetData sheetId="4" refreshError="1">
        <row r="15">
          <cell r="C15">
            <v>1</v>
          </cell>
        </row>
        <row r="50">
          <cell r="I50">
            <v>70.047912412636222</v>
          </cell>
        </row>
      </sheetData>
      <sheetData sheetId="5" refreshError="1"/>
      <sheetData sheetId="6"/>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
      <sheetName val="ABSTRACT ESTIMATE"/>
      <sheetName val="Landsp"/>
      <sheetName val="SANITARY "/>
      <sheetName val="WATER SUPPLY"/>
      <sheetName val="FIRE FIGHTING"/>
      <sheetName val="CIVIL WORK"/>
      <sheetName val="Diff. cost (2)"/>
      <sheetName val="internal Road"/>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01"/>
      <sheetName val="02"/>
      <sheetName val="03"/>
      <sheetName val="04"/>
      <sheetName val="Rate Analysis"/>
      <sheetName val="1"/>
      <sheetName val="VARIABLE"/>
      <sheetName val="SPT vs PHI"/>
      <sheetName val="TTL"/>
      <sheetName val="BOQ D.G."/>
      <sheetName val="PT. Bhajan Asthal"/>
      <sheetName val="PT. Pravachan Stage"/>
      <sheetName val="csdim"/>
      <sheetName val="cdsload"/>
      <sheetName val="chsload"/>
      <sheetName val="CLAMP"/>
      <sheetName val="cvsload"/>
      <sheetName val="pipe"/>
      <sheetName val="Steel-Circular"/>
      <sheetName val="LTG-STG"/>
      <sheetName val="Sch.Main Bldg."/>
      <sheetName val="Rate_Analysis"/>
      <sheetName val="SPT_vs_PHI"/>
      <sheetName val="BOQ_D_G_"/>
      <sheetName val="PT__Bhajan_Asthal"/>
      <sheetName val="PT__Pravachan_Stage"/>
      <sheetName val="Sch_Main_Bldg_"/>
      <sheetName val="india f&amp;s template"/>
      <sheetName val="11-hsd"/>
      <sheetName val="13-septic"/>
      <sheetName val="7-ug"/>
      <sheetName val="2-utility"/>
      <sheetName val="18-misc"/>
      <sheetName val="5-pipe"/>
      <sheetName val="Civil Works"/>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man maint"/>
      <sheetName val="coimbatore"/>
      <sheetName val="PRASAD"/>
      <sheetName val="paipay"/>
      <sheetName val="MIS"/>
      <sheetName val="CRtbobpljuly"/>
      <sheetName val="TBOBPLJul98"/>
      <sheetName val="CORPN OCT"/>
      <sheetName val="inout consol-nov"/>
      <sheetName val="inout consol (2)"/>
      <sheetName val="AS ON DT EXPS Mar"/>
      <sheetName val="J_fix asst"/>
      <sheetName val="J_fix asst sdpl"/>
      <sheetName val="f a_obpl"/>
      <sheetName val="J_fix asst obpl"/>
      <sheetName val="J_fix asst scc"/>
      <sheetName val="J_fix asst ripl"/>
      <sheetName val="fa-pl &amp; mach-site"/>
      <sheetName val="fa-veh"/>
      <sheetName val="fa_off eqp"/>
      <sheetName val="fa_fur&amp; fix"/>
      <sheetName val="fa_comp"/>
      <sheetName val="omantopaz"/>
      <sheetName val="I_Con WIP (2)"/>
      <sheetName val="TBAL9596 -IIIIRUN"/>
      <sheetName val="TBCRSsdpl July98"/>
      <sheetName val="TBSDPLJuly98"/>
      <sheetName val="G-1"/>
      <sheetName val="Other Proj Schdl"/>
      <sheetName val="OT CLIENTS"/>
      <sheetName val="inout consol July 98"/>
      <sheetName val="consol flow"/>
      <sheetName val="A_EQUITY-OBPL"/>
      <sheetName val="B_Equity-sdpl INC"/>
      <sheetName val="inout consol wkg"/>
      <sheetName val="inout consol WKNG"/>
      <sheetName val="B_Sheet 97"/>
      <sheetName val="P&amp;L 97 "/>
      <sheetName val="B_Sheet 97-BEXP"/>
      <sheetName val="P&amp;L 97 -BEXP"/>
      <sheetName val="consol flows"/>
      <sheetName val="G-1_sdpl_work"/>
      <sheetName val="G_1_obpl_Work"/>
      <sheetName val="sdpl_oth Liab"/>
      <sheetName val="obpl-oth liab"/>
      <sheetName val="I-Wip-ot (2)"/>
      <sheetName val="I-Wip-ot"/>
      <sheetName val="detail WIP (2)"/>
      <sheetName val="detail G-1"/>
      <sheetName val="TBCRS"/>
      <sheetName val="sobha menon ac"/>
      <sheetName val="pnc ac"/>
      <sheetName val="FIXREG-VEH"/>
      <sheetName val="FIXREG-P&amp;M-SITE"/>
      <sheetName val="fix -p &amp; M -SCC"/>
      <sheetName val="C_fix asst"/>
      <sheetName val="D fix asst scdl "/>
      <sheetName val="creditors tb obpl"/>
      <sheetName val="TBAL9697 -group wise  sdpl"/>
      <sheetName val="TBAL9697 -group wise "/>
      <sheetName val="salestax9697-AR"/>
      <sheetName val="crs -G-1"/>
      <sheetName val="TBAL9697 -group wise  onpl"/>
      <sheetName val="B_Sheet 97-OBPL"/>
      <sheetName val="B_Sheet 97 sdpl"/>
      <sheetName val="TBAL9697 -group wise  sdpl2"/>
      <sheetName val="TBCRSSdplmar98"/>
      <sheetName val="TB9798OBPL07"/>
      <sheetName val="D_Loan  Prom"/>
      <sheetName val="E_Bank Loan"/>
      <sheetName val="F_Adv-Client"/>
      <sheetName val="G_work Cap "/>
      <sheetName val="H_land adv"/>
      <sheetName val="detai Wip 2"/>
      <sheetName val="detai Wip I "/>
      <sheetName val="WIP"/>
      <sheetName val="J_Con WIP"/>
      <sheetName val="K_L_Oth Co "/>
      <sheetName val="fix asst_Obpl"/>
      <sheetName val="fixass-scc-obpl"/>
      <sheetName val="TBAL9697 _group wise  sdpl"/>
      <sheetName val="[sept98.xlsUomantopaz"/>
      <sheetName val="TBS_x0004_PLJuly98"/>
      <sheetName val="[sept98.xls_x001d_B_Sheet 97"/>
      <sheetName val="_sept98.xlsUomantopaz"/>
      <sheetName val="_sept98.xls_x001d_B_Sheet 97"/>
      <sheetName val="TBS_x005f_x0004_PLJuly98"/>
      <sheetName val="_sept98.xls_x005f_x001d_B_Sheet 97"/>
      <sheetName val="Boq"/>
      <sheetName val="CODE"/>
      <sheetName val="Design"/>
      <sheetName val="PRECAST lightconc-II"/>
      <sheetName val="[sept98.xls_x005f_x001d_B_Sheet 97"/>
      <sheetName val="Staff Acco."/>
      <sheetName val="SITE OVERHEADS"/>
      <sheetName val="Data"/>
      <sheetName val="Precalculation"/>
      <sheetName val="Sheet3"/>
      <sheetName val="Gen Info"/>
      <sheetName val="analysis"/>
      <sheetName val="SPT vs PHI"/>
      <sheetName val="SCHEDULE"/>
      <sheetName val="Database"/>
      <sheetName val="schedule nos"/>
      <sheetName val="INPUT SHEET"/>
      <sheetName val="LABOUR RATE"/>
      <sheetName val="Material Rate"/>
      <sheetName val="Cash2"/>
      <sheetName val="Z"/>
      <sheetName val="Estimate"/>
      <sheetName val="oman_maint"/>
      <sheetName val="CORPN_OCT"/>
      <sheetName val="inout_consol-nov"/>
      <sheetName val="inout_consol_(2)"/>
      <sheetName val="AS_ON_DT_EXPS_Mar"/>
      <sheetName val="J_fix_asst"/>
      <sheetName val="J_fix_asst_sdpl"/>
      <sheetName val="f_a_obpl"/>
      <sheetName val="J_fix_asst_obpl"/>
      <sheetName val="J_fix_asst_scc"/>
      <sheetName val="J_fix_asst_ripl"/>
      <sheetName val="fa-pl_&amp;_mach-site"/>
      <sheetName val="fa_off_eqp"/>
      <sheetName val="fa_fur&amp;_fix"/>
      <sheetName val="I_Con_WIP_(2)"/>
      <sheetName val="TBAL9596_-IIIIRUN"/>
      <sheetName val="TBCRSsdpl_July98"/>
      <sheetName val="Other_Proj_Schdl"/>
      <sheetName val="OT_CLIENTS"/>
      <sheetName val="inout_consol_July_98"/>
      <sheetName val="consol_flow"/>
      <sheetName val="B_Equity-sdpl_INC"/>
      <sheetName val="inout_consol_wkg"/>
      <sheetName val="inout_consol_WKNG"/>
      <sheetName val="B_Sheet_97"/>
      <sheetName val="P&amp;L_97_"/>
      <sheetName val="B_Sheet_97-BEXP"/>
      <sheetName val="P&amp;L_97_-BEXP"/>
      <sheetName val="consol_flows"/>
      <sheetName val="sdpl_oth_Liab"/>
      <sheetName val="obpl-oth_liab"/>
      <sheetName val="I-Wip-ot_(2)"/>
      <sheetName val="detail_WIP_(2)"/>
      <sheetName val="detail_G-1"/>
      <sheetName val="sobha_menon_ac"/>
      <sheetName val="pnc_ac"/>
      <sheetName val="fix_-p_&amp;_M_-SCC"/>
      <sheetName val="C_fix_asst"/>
      <sheetName val="D_fix_asst_scdl_"/>
      <sheetName val="creditors_tb_obpl"/>
      <sheetName val="TBAL9697_-group_wise__sdpl"/>
      <sheetName val="TBAL9697_-group_wise_"/>
      <sheetName val="crs_-G-1"/>
      <sheetName val="TBAL9697_-group_wise__onpl"/>
      <sheetName val="B_Sheet_97-OBPL"/>
      <sheetName val="B_Sheet_97_sdpl"/>
      <sheetName val="TBAL9697_-group_wise__sdpl2"/>
      <sheetName val="D_Loan__Prom"/>
      <sheetName val="E_Bank_Loan"/>
      <sheetName val="G_work_Cap_"/>
      <sheetName val="H_land_adv"/>
      <sheetName val="detai_Wip_2"/>
      <sheetName val="detai_Wip_I_"/>
      <sheetName val="J_Con_WIP"/>
      <sheetName val="K_L_Oth_Co_"/>
      <sheetName val="fix_asst_Obpl"/>
      <sheetName val="TBAL9697__group_wise__sdpl"/>
      <sheetName val="[sept98_xlsUomantopaz"/>
      <sheetName val="TBSPLJuly98"/>
      <sheetName val="[sept98_xlsB_Sheet_97"/>
      <sheetName val="_sept98_xlsUomantopaz"/>
      <sheetName val="_sept98_xlsB_Sheet_97"/>
      <sheetName val="_sept98_xls_x005f_x001d_B_Sheet_97"/>
      <sheetName val="PRECAST_lightconc-II"/>
      <sheetName val="[sept98_xls_x005f_x001d_B_Sheet_97"/>
      <sheetName val="Staff_Acco_"/>
      <sheetName val="SITE_OVERHEADS"/>
      <sheetName val="Gen_Info"/>
      <sheetName val="SPT_vs_PHI"/>
      <sheetName val="schedule_nos"/>
      <sheetName val="INPUT_SHEET"/>
      <sheetName val="LABOUR_RATE"/>
      <sheetName val="Material_Rate"/>
      <sheetName val="TOS-F"/>
      <sheetName val="2A"/>
      <sheetName val="2B"/>
      <sheetName val="2C"/>
      <sheetName val="2D"/>
      <sheetName val="2E"/>
      <sheetName val="2F"/>
      <sheetName val="2G"/>
      <sheetName val="2H"/>
      <sheetName val="3A"/>
      <sheetName val="3B"/>
      <sheetName val="4"/>
      <sheetName val="8A"/>
      <sheetName val="8B"/>
      <sheetName val="9A"/>
      <sheetName val="9B"/>
      <sheetName val="9C"/>
      <sheetName val="9D"/>
      <sheetName val="9E"/>
      <sheetName val="9F"/>
      <sheetName val="9G"/>
      <sheetName val="9H"/>
      <sheetName val="9I"/>
      <sheetName val="9J"/>
      <sheetName val="9K"/>
      <sheetName val="RCC,Ret. Wall"/>
      <sheetName val="LIST OF MAKES"/>
      <sheetName val="Sheet1"/>
      <sheetName val="Project Details.."/>
      <sheetName val="scurve calc (2)"/>
      <sheetName val="key dates"/>
      <sheetName val="Actuals"/>
      <sheetName val="TBS_x005f_x005f_x005f_x0004_PLJuly98"/>
      <sheetName val="_sept98.xls_x005f_x005f_x005f_x001d_B_Sheet"/>
      <sheetName val="col-reinft1"/>
      <sheetName val="factors"/>
      <sheetName val="GR.slab-reinft"/>
      <sheetName val="Assumption Inputs"/>
      <sheetName val="11B "/>
      <sheetName val="12A"/>
      <sheetName val="12B"/>
      <sheetName val="6B"/>
      <sheetName val="7A"/>
      <sheetName val="7B"/>
      <sheetName val="13"/>
      <sheetName val="1"/>
      <sheetName val="csdim"/>
      <sheetName val="cdsload"/>
      <sheetName val="chsload"/>
      <sheetName val="CLAMP"/>
      <sheetName val="cvsload"/>
      <sheetName val="pipe"/>
      <sheetName val="Measurment"/>
      <sheetName val="A.O.R."/>
      <sheetName val="Boq Block A"/>
      <sheetName val="[sept98.xls_x005f_x005f_x005f_x001d_B_Sheet"/>
      <sheetName val="[sept98.xls࡝sdpl_oth Liab"/>
      <sheetName val="salestax9697-t"/>
      <sheetName val="crs -G-1_x001a_TBAL9697 -group wise"/>
      <sheetName val="_sept98.xls࡝sdpl_oth Liab"/>
      <sheetName val="salestax9697-t?"/>
      <sheetName val="crs -G-1_x001a_??TBAL9697 -group wise"/>
      <sheetName val="PULSATOR"/>
      <sheetName val="crs -G-1_x001a_"/>
      <sheetName val="BALAN1"/>
      <sheetName val="PROJECT BRIEF(EX.NEW)"/>
      <sheetName val="salestax9697-t_"/>
      <sheetName val="crs -G-1_x001a___TBAL9697 -group wise"/>
      <sheetName val="TBS_x005f_x005f_x005f_x005f_x005f_x005f_x005f_x0004_PLJ"/>
      <sheetName val="_sept98.xls_x005f_x005f_x005f_x005f_x005f_x005f_x"/>
      <sheetName val="salestax9697-t_x005f_x0000_"/>
      <sheetName val="crs -G-1_x005f_x001a__x005f_x0000__x005f_x0000_TB"/>
      <sheetName val="crs -G-1_x005f_x001a___TBAL9697 -grou"/>
      <sheetName val="final abstract"/>
      <sheetName val="#REF!"/>
      <sheetName val="Customize Your Purchase Order"/>
      <sheetName val="costing"/>
      <sheetName val="Labor abs-NMR"/>
      <sheetName val="_sept98.xls_x005f_x001d_B_Sheet"/>
      <sheetName val="Labels"/>
      <sheetName val="Cost_any"/>
      <sheetName val="IO LIST"/>
      <sheetName val="#REF"/>
      <sheetName val="Detail In Door Stad"/>
      <sheetName val="TBS_x005f_x005f_x005f_x0004_PLJ"/>
      <sheetName val="_sept98.xls_x001d_B_Sheet"/>
      <sheetName val="_sept98.xls_x005f_x005f_x"/>
      <sheetName val="ABB"/>
      <sheetName val="GE"/>
      <sheetName val="Build-up"/>
      <sheetName val="Cash Flow Input Data_ISC"/>
      <sheetName val="Interface_SC"/>
      <sheetName val="Calc_ISC"/>
      <sheetName val="Calc_SC"/>
      <sheetName val="Interface_ISC"/>
      <sheetName val="GD"/>
      <sheetName val="CABLE DATA"/>
      <sheetName val="Config"/>
      <sheetName val="Break Dw"/>
      <sheetName val="Sheet2"/>
      <sheetName val="3MLKQ"/>
      <sheetName val="MASTER_RATE ANALYSIS"/>
      <sheetName val="BEAM INPUT"/>
      <sheetName val="STD"/>
      <sheetName val="LTG-STG"/>
      <sheetName val="Plinth beam"/>
      <sheetName val="Fin Sum"/>
      <sheetName val="Control"/>
      <sheetName val="DETAILED  BOQ"/>
      <sheetName val="acevsSp (ABC)"/>
      <sheetName val=""/>
      <sheetName val="_sept98.xls_x005f_x005f_x005f_x005f_x"/>
      <sheetName val="TBS_x005f_x005f_x005f_x005f_x005f_x005f_x005f_x005f_x00"/>
      <sheetName val="Rate Analysis"/>
      <sheetName val="경비공통"/>
      <sheetName val="p&amp;m"/>
      <sheetName val="CCTV_EST1"/>
      <sheetName val="총괄표"/>
      <sheetName val="Basic"/>
      <sheetName val="Bk Anal"/>
      <sheetName val="Annexure"/>
      <sheetName val="CABLE"/>
      <sheetName val="number"/>
      <sheetName val="ROH"/>
      <sheetName val="sch.main bldg."/>
      <sheetName val="salestax9697-t_x0000_"/>
      <sheetName val="crs -G-1_x001a__x0000__x0000_TBAL9697 -group wi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ow r="214">
          <cell r="A214" t="str">
            <v>ADMINISTRATIVE &amp; MANAGEMENT EXPENSES</v>
          </cell>
        </row>
      </sheetData>
      <sheetData sheetId="111">
        <row r="214">
          <cell r="A214" t="str">
            <v>ADMINISTRATIVE &amp; MANAGEMENT EXPENSES</v>
          </cell>
        </row>
      </sheetData>
      <sheetData sheetId="112">
        <row r="214">
          <cell r="A214" t="str">
            <v>ADMINISTRATIVE &amp; MANAGEMENT EXPENSES</v>
          </cell>
        </row>
      </sheetData>
      <sheetData sheetId="113">
        <row r="214">
          <cell r="A214" t="str">
            <v>ADMINISTRATIVE &amp; MANAGEMENT EXPENSES</v>
          </cell>
        </row>
      </sheetData>
      <sheetData sheetId="114">
        <row r="214">
          <cell r="A214" t="str">
            <v>ADMINISTRATIVE &amp; MANAGEMENT EXPENSES</v>
          </cell>
        </row>
      </sheetData>
      <sheetData sheetId="115">
        <row r="214">
          <cell r="A214" t="str">
            <v>ADMINISTRATIVE &amp; MANAGEMENT EXPENSES</v>
          </cell>
        </row>
      </sheetData>
      <sheetData sheetId="116">
        <row r="214">
          <cell r="A214" t="str">
            <v>ADMINISTRATIVE &amp; MANAGEMENT EXPENSES</v>
          </cell>
        </row>
      </sheetData>
      <sheetData sheetId="117">
        <row r="214">
          <cell r="A214" t="str">
            <v>ADMINISTRATIVE &amp; MANAGEMENT EXPENSES</v>
          </cell>
        </row>
      </sheetData>
      <sheetData sheetId="118">
        <row r="214">
          <cell r="A214" t="str">
            <v>ADMINISTRATIVE &amp; MANAGEMENT EXPENSES</v>
          </cell>
        </row>
      </sheetData>
      <sheetData sheetId="119">
        <row r="214">
          <cell r="A214" t="str">
            <v>ADMINISTRATIVE &amp; MANAGEMENT EXPENSES</v>
          </cell>
        </row>
      </sheetData>
      <sheetData sheetId="120">
        <row r="214">
          <cell r="A214" t="str">
            <v>ADMINISTRATIVE &amp; MANAGEMENT EXPENSES</v>
          </cell>
        </row>
      </sheetData>
      <sheetData sheetId="121">
        <row r="214">
          <cell r="A214" t="str">
            <v>ADMINISTRATIVE &amp; MANAGEMENT EXPENSES</v>
          </cell>
        </row>
      </sheetData>
      <sheetData sheetId="122">
        <row r="214">
          <cell r="A214" t="str">
            <v>ADMINISTRATIVE &amp; MANAGEMENT EXPENSES</v>
          </cell>
        </row>
      </sheetData>
      <sheetData sheetId="123">
        <row r="214">
          <cell r="A214" t="str">
            <v>ADMINISTRATIVE &amp; MANAGEMENT EXPENSES</v>
          </cell>
        </row>
      </sheetData>
      <sheetData sheetId="124">
        <row r="214">
          <cell r="A214" t="str">
            <v>ADMINISTRATIVE &amp; MANAGEMENT EXPENSES</v>
          </cell>
        </row>
      </sheetData>
      <sheetData sheetId="125">
        <row r="214">
          <cell r="A214" t="str">
            <v>ADMINISTRATIVE &amp; MANAGEMENT EXPENSES</v>
          </cell>
        </row>
      </sheetData>
      <sheetData sheetId="126">
        <row r="214">
          <cell r="A214" t="str">
            <v>ADMINISTRATIVE &amp; MANAGEMENT EXPENSES</v>
          </cell>
        </row>
      </sheetData>
      <sheetData sheetId="127">
        <row r="214">
          <cell r="A214" t="str">
            <v>ADMINISTRATIVE &amp; MANAGEMENT EXPENSES</v>
          </cell>
        </row>
      </sheetData>
      <sheetData sheetId="128">
        <row r="214">
          <cell r="A214" t="str">
            <v>ADMINISTRATIVE &amp; MANAGEMENT EXPENSES</v>
          </cell>
        </row>
      </sheetData>
      <sheetData sheetId="129">
        <row r="214">
          <cell r="A214" t="str">
            <v>ADMINISTRATIVE &amp; MANAGEMENT EXPENSES</v>
          </cell>
        </row>
      </sheetData>
      <sheetData sheetId="130">
        <row r="214">
          <cell r="A214" t="str">
            <v>ADMINISTRATIVE &amp; MANAGEMENT EXPENSES</v>
          </cell>
        </row>
      </sheetData>
      <sheetData sheetId="131">
        <row r="214">
          <cell r="A214" t="str">
            <v>ADMINISTRATIVE &amp; MANAGEMENT EXPENSES</v>
          </cell>
        </row>
      </sheetData>
      <sheetData sheetId="132">
        <row r="214">
          <cell r="A214" t="str">
            <v>ADMINISTRATIVE &amp; MANAGEMENT EXPENSES</v>
          </cell>
        </row>
      </sheetData>
      <sheetData sheetId="133">
        <row r="214">
          <cell r="A214" t="str">
            <v>ADMINISTRATIVE &amp; MANAGEMENT EXPENSES</v>
          </cell>
        </row>
      </sheetData>
      <sheetData sheetId="134">
        <row r="214">
          <cell r="A214" t="str">
            <v>ADMINISTRATIVE &amp; MANAGEMENT EXPENSES</v>
          </cell>
        </row>
      </sheetData>
      <sheetData sheetId="135">
        <row r="214">
          <cell r="A214" t="str">
            <v>ADMINISTRATIVE &amp; MANAGEMENT EXPENSES</v>
          </cell>
        </row>
      </sheetData>
      <sheetData sheetId="136">
        <row r="214">
          <cell r="A214" t="str">
            <v>ADMINISTRATIVE &amp; MANAGEMENT EXPENSES</v>
          </cell>
        </row>
      </sheetData>
      <sheetData sheetId="137">
        <row r="214">
          <cell r="A214" t="str">
            <v>ADMINISTRATIVE &amp; MANAGEMENT EXPENSES</v>
          </cell>
        </row>
      </sheetData>
      <sheetData sheetId="138">
        <row r="214">
          <cell r="A214" t="str">
            <v>ADMINISTRATIVE &amp; MANAGEMENT EXPENSES</v>
          </cell>
        </row>
      </sheetData>
      <sheetData sheetId="139">
        <row r="214">
          <cell r="A214" t="str">
            <v>ADMINISTRATIVE &amp; MANAGEMENT EXPENSES</v>
          </cell>
        </row>
      </sheetData>
      <sheetData sheetId="140">
        <row r="214">
          <cell r="A214" t="str">
            <v>ADMINISTRATIVE &amp; MANAGEMENT EXPENSES</v>
          </cell>
        </row>
      </sheetData>
      <sheetData sheetId="141">
        <row r="214">
          <cell r="A214" t="str">
            <v>ADMINISTRATIVE &amp; MANAGEMENT EXPENSES</v>
          </cell>
        </row>
      </sheetData>
      <sheetData sheetId="142">
        <row r="214">
          <cell r="A214" t="str">
            <v>ADMINISTRATIVE &amp; MANAGEMENT EXPENSES</v>
          </cell>
        </row>
      </sheetData>
      <sheetData sheetId="143">
        <row r="214">
          <cell r="A214" t="str">
            <v>ADMINISTRATIVE &amp; MANAGEMENT EXPENSES</v>
          </cell>
        </row>
      </sheetData>
      <sheetData sheetId="144">
        <row r="214">
          <cell r="A214" t="str">
            <v>ADMINISTRATIVE &amp; MANAGEMENT EXPENSES</v>
          </cell>
        </row>
      </sheetData>
      <sheetData sheetId="145">
        <row r="214">
          <cell r="A214" t="str">
            <v>ADMINISTRATIVE &amp; MANAGEMENT EXPENSES</v>
          </cell>
        </row>
      </sheetData>
      <sheetData sheetId="146">
        <row r="214">
          <cell r="A214" t="str">
            <v>ADMINISTRATIVE &amp; MANAGEMENT EXPENSES</v>
          </cell>
        </row>
      </sheetData>
      <sheetData sheetId="147">
        <row r="214">
          <cell r="A214" t="str">
            <v>ADMINISTRATIVE &amp; MANAGEMENT EXPENSES</v>
          </cell>
        </row>
      </sheetData>
      <sheetData sheetId="148">
        <row r="214">
          <cell r="A214" t="str">
            <v>ADMINISTRATIVE &amp; MANAGEMENT EXPENSES</v>
          </cell>
        </row>
      </sheetData>
      <sheetData sheetId="149">
        <row r="214">
          <cell r="A214" t="str">
            <v>ADMINISTRATIVE &amp; MANAGEMENT EXPENSES</v>
          </cell>
        </row>
      </sheetData>
      <sheetData sheetId="150">
        <row r="214">
          <cell r="A214" t="str">
            <v>ADMINISTRATIVE &amp; MANAGEMENT EXPENSES</v>
          </cell>
        </row>
      </sheetData>
      <sheetData sheetId="151">
        <row r="214">
          <cell r="A214" t="str">
            <v>ADMINISTRATIVE &amp; MANAGEMENT EXPENSES</v>
          </cell>
        </row>
      </sheetData>
      <sheetData sheetId="152">
        <row r="214">
          <cell r="A214" t="str">
            <v>ADMINISTRATIVE &amp; MANAGEMENT EXPENSES</v>
          </cell>
        </row>
      </sheetData>
      <sheetData sheetId="153">
        <row r="214">
          <cell r="A214" t="str">
            <v>ADMINISTRATIVE &amp; MANAGEMENT EXPENSES</v>
          </cell>
        </row>
      </sheetData>
      <sheetData sheetId="154">
        <row r="214">
          <cell r="A214" t="str">
            <v>ADMINISTRATIVE &amp; MANAGEMENT EXPENSES</v>
          </cell>
        </row>
      </sheetData>
      <sheetData sheetId="155">
        <row r="214">
          <cell r="A214" t="str">
            <v>ADMINISTRATIVE &amp; MANAGEMENT EXPENSES</v>
          </cell>
        </row>
      </sheetData>
      <sheetData sheetId="156">
        <row r="214">
          <cell r="A214" t="str">
            <v>ADMINISTRATIVE &amp; MANAGEMENT EXPENSES</v>
          </cell>
        </row>
      </sheetData>
      <sheetData sheetId="157">
        <row r="214">
          <cell r="A214" t="str">
            <v>ADMINISTRATIVE &amp; MANAGEMENT EXPENSES</v>
          </cell>
        </row>
      </sheetData>
      <sheetData sheetId="158">
        <row r="214">
          <cell r="A214" t="str">
            <v>ADMINISTRATIVE &amp; MANAGEMENT EXPENSES</v>
          </cell>
        </row>
      </sheetData>
      <sheetData sheetId="159">
        <row r="214">
          <cell r="A214" t="str">
            <v>ADMINISTRATIVE &amp; MANAGEMENT EXPENSES</v>
          </cell>
        </row>
      </sheetData>
      <sheetData sheetId="160">
        <row r="214">
          <cell r="A214" t="str">
            <v>ADMINISTRATIVE &amp; MANAGEMENT EXPENSES</v>
          </cell>
        </row>
      </sheetData>
      <sheetData sheetId="161">
        <row r="214">
          <cell r="A214" t="str">
            <v>ADMINISTRATIVE &amp; MANAGEMENT EXPENSES</v>
          </cell>
        </row>
      </sheetData>
      <sheetData sheetId="162">
        <row r="214">
          <cell r="A214" t="str">
            <v>ADMINISTRATIVE &amp; MANAGEMENT EXPENSES</v>
          </cell>
        </row>
      </sheetData>
      <sheetData sheetId="163">
        <row r="214">
          <cell r="A214" t="str">
            <v>ADMINISTRATIVE &amp; MANAGEMENT EXPENSES</v>
          </cell>
        </row>
      </sheetData>
      <sheetData sheetId="164">
        <row r="214">
          <cell r="A214" t="str">
            <v>ADMINISTRATIVE &amp; MANAGEMENT EXPENSES</v>
          </cell>
        </row>
      </sheetData>
      <sheetData sheetId="165"/>
      <sheetData sheetId="166"/>
      <sheetData sheetId="167">
        <row r="214">
          <cell r="A214" t="str">
            <v>ADMINISTRATIVE &amp; MANAGEMENT EXPENSES</v>
          </cell>
        </row>
      </sheetData>
      <sheetData sheetId="168">
        <row r="214">
          <cell r="A214" t="str">
            <v>ADMINISTRATIVE &amp; MANAGEMENT EXPENSES</v>
          </cell>
        </row>
      </sheetData>
      <sheetData sheetId="169"/>
      <sheetData sheetId="170"/>
      <sheetData sheetId="171"/>
      <sheetData sheetId="172"/>
      <sheetData sheetId="173">
        <row r="214">
          <cell r="A214" t="str">
            <v>ADMINISTRATIVE &amp; MANAGEMENT EXPENSES</v>
          </cell>
        </row>
      </sheetData>
      <sheetData sheetId="174">
        <row r="214">
          <cell r="A214" t="str">
            <v>ADMINISTRATIVE &amp; MANAGEMENT EXPENSES</v>
          </cell>
        </row>
      </sheetData>
      <sheetData sheetId="175">
        <row r="214">
          <cell r="A214" t="str">
            <v>ADMINISTRATIVE &amp; MANAGEMENT EXPENSES</v>
          </cell>
        </row>
      </sheetData>
      <sheetData sheetId="176">
        <row r="214">
          <cell r="A214" t="str">
            <v>ADMINISTRATIVE &amp; MANAGEMENT EXPENSES</v>
          </cell>
        </row>
      </sheetData>
      <sheetData sheetId="177"/>
      <sheetData sheetId="178"/>
      <sheetData sheetId="179">
        <row r="214">
          <cell r="A214" t="str">
            <v>ADMINISTRATIVE &amp; MANAGEMENT EXPENSES</v>
          </cell>
        </row>
      </sheetData>
      <sheetData sheetId="180">
        <row r="214">
          <cell r="A214" t="str">
            <v>ADMINISTRATIVE &amp; MANAGEMENT EXPENSES</v>
          </cell>
        </row>
      </sheetData>
      <sheetData sheetId="181"/>
      <sheetData sheetId="182"/>
      <sheetData sheetId="183" refreshError="1"/>
      <sheetData sheetId="184" refreshError="1"/>
      <sheetData sheetId="185" refreshError="1"/>
      <sheetData sheetId="186" refreshError="1"/>
      <sheetData sheetId="187" refreshError="1"/>
      <sheetData sheetId="188" refreshError="1"/>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FIR"/>
      <sheetName val="Letter"/>
      <sheetName val="Price Offer"/>
      <sheetName val="Terms"/>
      <sheetName val="WorkingSea"/>
      <sheetName val="Working-Air"/>
      <sheetName val="Frt-Breakup"/>
    </sheetNames>
    <sheetDataSet>
      <sheetData sheetId="0"/>
      <sheetData sheetId="1">
        <row r="27">
          <cell r="F27" t="str">
            <v>Gurcharan Singh</v>
          </cell>
        </row>
      </sheetData>
      <sheetData sheetId="2"/>
      <sheetData sheetId="3"/>
      <sheetData sheetId="4"/>
      <sheetData sheetId="5"/>
      <sheetData sheetId="6"/>
      <sheetData sheetId="7">
        <row r="11">
          <cell r="AE11" t="str">
            <v>NE</v>
          </cell>
        </row>
        <row r="18">
          <cell r="AL18" t="str">
            <v>Enquiry</v>
          </cell>
        </row>
        <row r="19">
          <cell r="AL19" t="str">
            <v>Tender</v>
          </cell>
        </row>
        <row r="25">
          <cell r="AL25" t="str">
            <v>Sea</v>
          </cell>
        </row>
        <row r="26">
          <cell r="AL26" t="str">
            <v>Air</v>
          </cell>
        </row>
        <row r="27">
          <cell r="AL27" t="str">
            <v>Road</v>
          </cell>
        </row>
        <row r="28">
          <cell r="AL28" t="str">
            <v>Sea &amp; Air</v>
          </cell>
        </row>
        <row r="29">
          <cell r="AL29" t="str">
            <v>Road &amp; Air</v>
          </cell>
        </row>
        <row r="43">
          <cell r="AE43" t="str">
            <v>Harshil Narula</v>
          </cell>
        </row>
        <row r="44">
          <cell r="AE44" t="str">
            <v>Manohar Lal</v>
          </cell>
        </row>
        <row r="45">
          <cell r="AE45" t="str">
            <v>Sanjay Mohan</v>
          </cell>
        </row>
        <row r="46">
          <cell r="AE46" t="str">
            <v>Rohit Wasan</v>
          </cell>
        </row>
        <row r="47">
          <cell r="AE47" t="str">
            <v>Rattandeep Kaur</v>
          </cell>
        </row>
        <row r="48">
          <cell r="AE48" t="str">
            <v>Ruby Rana</v>
          </cell>
        </row>
        <row r="49">
          <cell r="AE49" t="str">
            <v>Gurcharan Singh</v>
          </cell>
        </row>
        <row r="50">
          <cell r="AE50" t="str">
            <v>Jay Krishna</v>
          </cell>
        </row>
        <row r="51">
          <cell r="AE51" t="str">
            <v>Nitin Kumar</v>
          </cell>
        </row>
        <row r="52">
          <cell r="AE52" t="str">
            <v>Ravichandran M.</v>
          </cell>
        </row>
        <row r="53">
          <cell r="AE53" t="str">
            <v>Manoj Kumar</v>
          </cell>
        </row>
        <row r="54">
          <cell r="AE54" t="str">
            <v>Harsh Sharma</v>
          </cell>
        </row>
        <row r="55">
          <cell r="AE55" t="str">
            <v>Seema Oraon</v>
          </cell>
        </row>
        <row r="56">
          <cell r="AE56" t="str">
            <v>Dharmindra Kumar</v>
          </cell>
        </row>
        <row r="57">
          <cell r="AE57" t="str">
            <v>Anshu Upadhyay</v>
          </cell>
        </row>
        <row r="58">
          <cell r="AE58" t="str">
            <v>Jagdish Bisht</v>
          </cell>
        </row>
        <row r="59">
          <cell r="AE59">
            <v>0</v>
          </cell>
        </row>
        <row r="60">
          <cell r="AE60">
            <v>0</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OC"/>
      <sheetName val="AOC (2)"/>
      <sheetName val="AOC (3)"/>
      <sheetName val="01"/>
      <sheetName val="02"/>
      <sheetName val="03"/>
      <sheetName val="04"/>
      <sheetName val="05"/>
      <sheetName val="06"/>
      <sheetName val="07"/>
      <sheetName val="08"/>
      <sheetName val="09"/>
      <sheetName val="10"/>
      <sheetName val="11"/>
      <sheetName val="12"/>
      <sheetName val="AOC 05.06.10"/>
      <sheetName val="Final Abstract"/>
      <sheetName val="Rate Analysis"/>
      <sheetName val="1"/>
      <sheetName val="VARIABLE"/>
      <sheetName val="Cash2"/>
      <sheetName val="Z"/>
      <sheetName val="TTL"/>
      <sheetName val="Sch.Main Bldg."/>
      <sheetName val="A"/>
      <sheetName val="AOC_(2)"/>
      <sheetName val="AOC_(3)"/>
      <sheetName val="AOC_05_06_10"/>
      <sheetName val="Final_Abstract"/>
      <sheetName val="Rate_Analysis"/>
      <sheetName val="AOC_(2)1"/>
      <sheetName val="AOC_(3)1"/>
      <sheetName val="AOC_05_06_101"/>
      <sheetName val="Final_Abstract1"/>
      <sheetName val="Rate_Analysis1"/>
      <sheetName val="Sch_Main_Bldg_"/>
      <sheetName val="Material "/>
      <sheetName val="Labour &amp; Plant"/>
      <sheetName val="AoR Finishing"/>
      <sheetName val="Labour"/>
      <sheetName val="Material"/>
      <sheetName val="Plant &amp;  Machinery"/>
      <sheetName val="data"/>
      <sheetName val="tos-f"/>
    </sheetNames>
    <sheetDataSet>
      <sheetData sheetId="0" refreshError="1"/>
      <sheetData sheetId="1" refreshError="1"/>
      <sheetData sheetId="2" refreshError="1"/>
      <sheetData sheetId="3">
        <row r="43">
          <cell r="H43">
            <v>9239150.1604525</v>
          </cell>
        </row>
      </sheetData>
      <sheetData sheetId="4">
        <row r="24">
          <cell r="H24">
            <v>263332989.72200003</v>
          </cell>
        </row>
      </sheetData>
      <sheetData sheetId="5">
        <row r="21">
          <cell r="H21">
            <v>411825795.83928001</v>
          </cell>
        </row>
      </sheetData>
      <sheetData sheetId="6">
        <row r="33">
          <cell r="H33">
            <v>976019075.6960001</v>
          </cell>
        </row>
      </sheetData>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sheetData sheetId="40" refreshError="1"/>
      <sheetData sheetId="41"/>
      <sheetData sheetId="42" refreshError="1"/>
      <sheetData sheetId="4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r1"/>
      <sheetName val="BOQ"/>
      <sheetName val="covr2"/>
      <sheetName val="SUM QNTY"/>
      <sheetName val="covr3"/>
      <sheetName val="conc"/>
      <sheetName val="S CONC"/>
      <sheetName val="12"/>
      <sheetName val="15"/>
      <sheetName val="18"/>
      <sheetName val="20"/>
      <sheetName val="S REINF"/>
      <sheetName val="QNTY"/>
      <sheetName val="Sheet1"/>
      <sheetName val="covr4"/>
      <sheetName val="covr5"/>
      <sheetName val="protect"/>
      <sheetName val="covr6"/>
      <sheetName val="Salint dt"/>
      <sheetName val="covr7"/>
      <sheetName val="hyd par"/>
      <sheetName val="c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8">
          <cell r="B18">
            <v>560</v>
          </cell>
          <cell r="C18">
            <v>2065</v>
          </cell>
          <cell r="D18">
            <v>1080</v>
          </cell>
          <cell r="E18">
            <v>130</v>
          </cell>
        </row>
        <row r="19">
          <cell r="B19">
            <v>720</v>
          </cell>
          <cell r="C19">
            <v>1905</v>
          </cell>
          <cell r="D19">
            <v>1080</v>
          </cell>
          <cell r="E19">
            <v>135</v>
          </cell>
        </row>
        <row r="20">
          <cell r="B20">
            <v>860</v>
          </cell>
          <cell r="C20">
            <v>1765</v>
          </cell>
          <cell r="D20">
            <v>1080</v>
          </cell>
          <cell r="E20">
            <v>135</v>
          </cell>
        </row>
        <row r="21">
          <cell r="B21">
            <v>960</v>
          </cell>
          <cell r="C21">
            <v>1665</v>
          </cell>
          <cell r="D21">
            <v>1085</v>
          </cell>
          <cell r="E21">
            <v>140</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guide"/>
      <sheetName val="Summary CPA"/>
      <sheetName val="Scope input"/>
      <sheetName val="BOM"/>
      <sheetName val="Background"/>
      <sheetName val="X-connect"/>
      <sheetName val="Non -IT Scope"/>
      <sheetName val="Bid"/>
      <sheetName val="Spending"/>
      <sheetName val="Vendors"/>
      <sheetName val="Line Item"/>
      <sheetName val="Vendor Charts"/>
      <sheetName val="Line Item Charts"/>
      <sheetName val="project"/>
      <sheetName val="Line Item %"/>
    </sheetNames>
    <sheetDataSet>
      <sheetData sheetId="0"/>
      <sheetData sheetId="1"/>
      <sheetData sheetId="2"/>
      <sheetData sheetId="3"/>
      <sheetData sheetId="4">
        <row r="9">
          <cell r="V9" t="str">
            <v>Std.</v>
          </cell>
        </row>
        <row r="10">
          <cell r="K10" t="str">
            <v>Proj. Cabling</v>
          </cell>
          <cell r="L10" t="str">
            <v>Cap.</v>
          </cell>
          <cell r="V10" t="str">
            <v>Hard</v>
          </cell>
        </row>
        <row r="11">
          <cell r="K11" t="str">
            <v>Sust. Cabling</v>
          </cell>
          <cell r="L11" t="str">
            <v>Exp.</v>
          </cell>
          <cell r="V11" t="str">
            <v>V. Hard</v>
          </cell>
        </row>
        <row r="12">
          <cell r="K12" t="str">
            <v>Electrical</v>
          </cell>
        </row>
        <row r="13">
          <cell r="K13" t="str">
            <v>A/V</v>
          </cell>
        </row>
        <row r="14">
          <cell r="K14" t="str">
            <v>Design</v>
          </cell>
        </row>
        <row r="15">
          <cell r="K15" t="str">
            <v>Intel</v>
          </cell>
        </row>
      </sheetData>
      <sheetData sheetId="5"/>
      <sheetData sheetId="6"/>
      <sheetData sheetId="7"/>
      <sheetData sheetId="8"/>
      <sheetData sheetId="9"/>
      <sheetData sheetId="10"/>
      <sheetData sheetId="11"/>
      <sheetData sheetId="12"/>
      <sheetData sheetId="13"/>
      <sheetData sheetId="1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Tender Summary"/>
      <sheetName val="Cost summary"/>
      <sheetName val="management"/>
      <sheetName val="labour"/>
      <sheetName val="material"/>
      <sheetName val="general"/>
      <sheetName val="subcons"/>
      <sheetName val="site est"/>
      <sheetName val="hardware"/>
      <sheetName val="WORK TABLE"/>
      <sheetName val="Staff Acco."/>
      <sheetName val="Background"/>
      <sheetName val="Tender_Summary"/>
      <sheetName val="Cost_summary"/>
      <sheetName val="site_est"/>
      <sheetName val="WORK_TABLE"/>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sheetData sheetId="14"/>
      <sheetData sheetId="15"/>
      <sheetData sheetId="1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OQ"/>
      <sheetName val="DG"/>
      <sheetName val="C.T. Piping"/>
      <sheetName val="labour"/>
      <sheetName val="meas. sheet equip."/>
      <sheetName val="bus dUCT"/>
      <sheetName val="Earthing"/>
      <sheetName val="RATE-HV INST."/>
      <sheetName val="HT CABLE"/>
      <sheetName val="battary charger"/>
      <sheetName val="Safety equipments"/>
      <sheetName val="HT Cable laying &amp; Termination"/>
      <sheetName val="control cables"/>
      <sheetName val="LAYING OF CABLE"/>
      <sheetName val="Control cable termination"/>
      <sheetName val="SUBSTATION panel"/>
      <sheetName val="Cos"/>
      <sheetName val="C_T__Piping"/>
      <sheetName val="meas__sheet_equip_"/>
      <sheetName val="bus_dUCT"/>
      <sheetName val="RATE-HV_INST_"/>
      <sheetName val="HT_CABLE"/>
      <sheetName val="battary_charger"/>
      <sheetName val="Safety_equipments"/>
      <sheetName val="HT_Cable_laying_&amp;_Termination"/>
      <sheetName val="control_cables"/>
      <sheetName val="LAYING_OF_CABLE"/>
      <sheetName val="Control_cable_termination"/>
      <sheetName val="SUBSTATION_panel"/>
    </sheetNames>
    <sheetDataSet>
      <sheetData sheetId="0"/>
      <sheetData sheetId="1"/>
      <sheetData sheetId="2"/>
      <sheetData sheetId="3"/>
      <sheetData sheetId="4">
        <row r="7">
          <cell r="C7">
            <v>206.25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
      <sheetName val="Comparative"/>
      <sheetName val="CMRA"/>
      <sheetName val="ERA"/>
      <sheetName val="CMRA (2)"/>
      <sheetName val="ANX1"/>
      <sheetName val="ANX2"/>
      <sheetName val="ANX3"/>
      <sheetName val="Formula"/>
      <sheetName val="Quotation"/>
      <sheetName val="Sqn_Abs"/>
      <sheetName val="Sqn-Abs"/>
      <sheetName val="dlvoid"/>
      <sheetName val="STAFFSCHED "/>
    </sheetNames>
    <sheetDataSet>
      <sheetData sheetId="0"/>
      <sheetData sheetId="1"/>
      <sheetData sheetId="2"/>
      <sheetData sheetId="3"/>
      <sheetData sheetId="4"/>
      <sheetData sheetId="5"/>
      <sheetData sheetId="6"/>
      <sheetData sheetId="7"/>
      <sheetData sheetId="8" refreshError="1">
        <row r="36">
          <cell r="D36">
            <v>105</v>
          </cell>
        </row>
        <row r="39">
          <cell r="D39">
            <v>135</v>
          </cell>
        </row>
      </sheetData>
      <sheetData sheetId="9" refreshError="1"/>
      <sheetData sheetId="10"/>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ACS(1)"/>
      <sheetName val="CCTV(2)"/>
      <sheetName val="CCTV(old)"/>
      <sheetName val="CCTV(2-2)"/>
      <sheetName val="IAS(3)"/>
      <sheetName val="FAS-C(4)"/>
      <sheetName val="Panels(4-2)"/>
      <sheetName val="FAS-I(5)"/>
      <sheetName val="FAS-I(6)"/>
      <sheetName val="ISS(7)"/>
      <sheetName val="HSF(6)"/>
      <sheetName val="Wiring(6)"/>
      <sheetName val="Currency"/>
      <sheetName val="factors"/>
      <sheetName val="Civil Works"/>
      <sheetName val="BOM"/>
      <sheetName val="Civil_Works"/>
    </sheetNames>
    <sheetDataSet>
      <sheetData sheetId="0" refreshError="1"/>
      <sheetData sheetId="1" refreshError="1"/>
      <sheetData sheetId="2"/>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sheetData sheetId="17" refreshError="1"/>
      <sheetData sheetId="1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iculars"/>
      <sheetName val="Summary"/>
      <sheetName val="Yearwise Brk up - NPV"/>
      <sheetName val="Cashflow"/>
      <sheetName val="Labour"/>
      <sheetName val="Cisco"/>
      <sheetName val="IBM T&amp;L"/>
      <sheetName val="OEM HW-SW-SVS"/>
      <sheetName val="CostDetail Report"/>
      <sheetName val="BlankSheet 2"/>
      <sheetName val="Guide"/>
      <sheetName val="Labels"/>
      <sheetName val="Yearwise_Brk_up_-_NPV"/>
      <sheetName val="IBM_T&amp;L"/>
      <sheetName val="OEM_HW-SW-SVS"/>
      <sheetName val="CostDetail_Report"/>
      <sheetName val="BlankSheet_2"/>
    </sheetNames>
    <sheetDataSet>
      <sheetData sheetId="0"/>
      <sheetData sheetId="1"/>
      <sheetData sheetId="2"/>
      <sheetData sheetId="3"/>
      <sheetData sheetId="4"/>
      <sheetData sheetId="5"/>
      <sheetData sheetId="6"/>
      <sheetData sheetId="7"/>
      <sheetData sheetId="8"/>
      <sheetData sheetId="9"/>
      <sheetData sheetId="10"/>
      <sheetData sheetId="11">
        <row r="3">
          <cell r="E3" t="str">
            <v>Band 3</v>
          </cell>
        </row>
        <row r="7">
          <cell r="A7" t="str">
            <v>Sr</v>
          </cell>
        </row>
        <row r="8">
          <cell r="A8" t="str">
            <v>Med</v>
          </cell>
        </row>
        <row r="9">
          <cell r="A9" t="str">
            <v>Jr</v>
          </cell>
        </row>
        <row r="12">
          <cell r="A12" t="str">
            <v>IBM - FM</v>
          </cell>
          <cell r="C12" t="str">
            <v>FTH - ITS</v>
          </cell>
        </row>
        <row r="13">
          <cell r="A13" t="str">
            <v>IBM - ITS</v>
          </cell>
          <cell r="C13" t="str">
            <v>FTH - SO</v>
          </cell>
        </row>
        <row r="28">
          <cell r="F28" t="str">
            <v xml:space="preserve">24*7 Coverage </v>
          </cell>
        </row>
        <row r="29">
          <cell r="F29" t="str">
            <v>Monday to Saturday Cov</v>
          </cell>
        </row>
        <row r="30">
          <cell r="F30" t="str">
            <v xml:space="preserve">Standard Coverage </v>
          </cell>
        </row>
      </sheetData>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L.T BOQ"/>
      <sheetName val="FIXTURE"/>
      <sheetName val="DG SET"/>
      <sheetName val="SUBSTATION"/>
      <sheetName val="Anal Fixture"/>
      <sheetName val="ANAL MCB DB"/>
      <sheetName val="Sheet2"/>
      <sheetName val="ANAL CABLE"/>
      <sheetName val="ANAL-PANEL"/>
    </sheetNames>
    <sheetDataSet>
      <sheetData sheetId="0"/>
      <sheetData sheetId="1"/>
      <sheetData sheetId="2"/>
      <sheetData sheetId="3"/>
      <sheetData sheetId="4"/>
      <sheetData sheetId="5"/>
      <sheetData sheetId="6"/>
      <sheetData sheetId="7">
        <row r="7">
          <cell r="D7">
            <v>0.18</v>
          </cell>
        </row>
        <row r="10">
          <cell r="D10">
            <v>0.12</v>
          </cell>
        </row>
      </sheetData>
      <sheetData sheetId="8"/>
      <sheetData sheetId="9"/>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ing Main 1"/>
      <sheetName val="Water Req"/>
      <sheetName val="Raw Water Sump"/>
      <sheetName val="Pump Stn.1"/>
      <sheetName val="Pump Stn.1 (2)"/>
      <sheetName val="Pump Stn.2"/>
      <sheetName val="Treatment"/>
      <sheetName val="Rising Main 2"/>
      <sheetName val="Electrical Load"/>
    </sheetNames>
    <sheetDataSet>
      <sheetData sheetId="0" refreshError="1">
        <row r="7">
          <cell r="F7">
            <v>450</v>
          </cell>
        </row>
        <row r="8">
          <cell r="F8">
            <v>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ents"/>
      <sheetName val="BOQ R1"/>
      <sheetName val="BOQ Semi Final"/>
      <sheetName val="BasicAlpha"/>
      <sheetName val="BOQ EE LS"/>
      <sheetName val="BOQ EE Prt"/>
      <sheetName val="BOQ Final"/>
      <sheetName val="Basic Rates"/>
      <sheetName val="SH-I"/>
      <sheetName val="SH-II"/>
      <sheetName val="SH-III"/>
      <sheetName val="SH-IV"/>
      <sheetName val="SH-V"/>
      <sheetName val="Bud Offers"/>
      <sheetName val="Pending"/>
      <sheetName val="BOQ_R1"/>
      <sheetName val="BOQ_Semi_Final"/>
      <sheetName val="BOQ_EE_LS"/>
      <sheetName val="BOQ_EE_Prt"/>
      <sheetName val="BOQ_Final"/>
      <sheetName val="Basic_Rates"/>
      <sheetName val="Bud_Offers"/>
    </sheetNames>
    <sheetDataSet>
      <sheetData sheetId="0"/>
      <sheetData sheetId="1"/>
      <sheetData sheetId="2"/>
      <sheetData sheetId="3"/>
      <sheetData sheetId="4"/>
      <sheetData sheetId="5"/>
      <sheetData sheetId="6"/>
      <sheetData sheetId="7">
        <row r="5">
          <cell r="A5" t="str">
            <v>Sl No</v>
          </cell>
          <cell r="B5" t="str">
            <v>Item No</v>
          </cell>
          <cell r="D5" t="str">
            <v>Description of Item</v>
          </cell>
          <cell r="E5" t="str">
            <v>Dealer / Mfr</v>
          </cell>
          <cell r="F5" t="str">
            <v>Unit</v>
          </cell>
          <cell r="G5" t="str">
            <v>Basic Rate</v>
          </cell>
          <cell r="H5" t="str">
            <v>Discount</v>
          </cell>
          <cell r="I5" t="str">
            <v>ED</v>
          </cell>
          <cell r="J5" t="str">
            <v>ST</v>
          </cell>
          <cell r="K5" t="str">
            <v>P/F</v>
          </cell>
          <cell r="L5" t="str">
            <v>Rate</v>
          </cell>
        </row>
        <row r="6">
          <cell r="A6">
            <v>5001</v>
          </cell>
          <cell r="D6" t="str">
            <v>AHU Controls 2 way valve with modulating thermostat etc</v>
          </cell>
          <cell r="F6" t="str">
            <v>Each</v>
          </cell>
          <cell r="G6">
            <v>0</v>
          </cell>
          <cell r="H6">
            <v>0</v>
          </cell>
          <cell r="J6">
            <v>0</v>
          </cell>
          <cell r="L6">
            <v>0</v>
          </cell>
        </row>
        <row r="7">
          <cell r="A7">
            <v>5002</v>
          </cell>
          <cell r="D7" t="str">
            <v>AHU double skinned with 40kg/sqcm PUF - 10 TR</v>
          </cell>
          <cell r="E7" t="str">
            <v>Caryaire</v>
          </cell>
          <cell r="F7" t="str">
            <v>Each</v>
          </cell>
          <cell r="G7">
            <v>84500</v>
          </cell>
          <cell r="H7">
            <v>0.05</v>
          </cell>
          <cell r="I7">
            <v>0.16</v>
          </cell>
          <cell r="J7">
            <v>0.1</v>
          </cell>
          <cell r="K7">
            <v>0.04</v>
          </cell>
          <cell r="L7">
            <v>111528</v>
          </cell>
        </row>
        <row r="8">
          <cell r="A8">
            <v>5003</v>
          </cell>
          <cell r="D8" t="str">
            <v>AHU double skinned with 40kg/sqcm PUF - 12 TR</v>
          </cell>
          <cell r="E8" t="str">
            <v>Caryaire</v>
          </cell>
          <cell r="F8" t="str">
            <v>Each</v>
          </cell>
          <cell r="G8">
            <v>101500</v>
          </cell>
          <cell r="H8">
            <v>0.05</v>
          </cell>
          <cell r="I8">
            <v>0.16</v>
          </cell>
          <cell r="J8">
            <v>0.1</v>
          </cell>
          <cell r="K8">
            <v>0.04</v>
          </cell>
          <cell r="L8">
            <v>132960</v>
          </cell>
        </row>
        <row r="9">
          <cell r="A9">
            <v>5004</v>
          </cell>
          <cell r="D9" t="str">
            <v>AHU double skinned with 40kg/sqcm PUF - 15 TR</v>
          </cell>
          <cell r="E9" t="str">
            <v>Caryaire</v>
          </cell>
          <cell r="F9" t="str">
            <v>Each</v>
          </cell>
          <cell r="G9">
            <v>113500</v>
          </cell>
          <cell r="H9">
            <v>0.05</v>
          </cell>
          <cell r="I9">
            <v>0.16</v>
          </cell>
          <cell r="J9">
            <v>0.1</v>
          </cell>
          <cell r="K9">
            <v>0.04</v>
          </cell>
          <cell r="L9">
            <v>148088</v>
          </cell>
        </row>
        <row r="10">
          <cell r="A10">
            <v>5005</v>
          </cell>
          <cell r="D10" t="str">
            <v>AHU double skinned with 40kg/sqcm PUF - 20 TR</v>
          </cell>
          <cell r="E10" t="str">
            <v>Caryaire</v>
          </cell>
          <cell r="F10" t="str">
            <v>Each</v>
          </cell>
          <cell r="G10">
            <v>134500</v>
          </cell>
          <cell r="H10">
            <v>0.05</v>
          </cell>
          <cell r="I10">
            <v>0.16</v>
          </cell>
          <cell r="J10">
            <v>0.1</v>
          </cell>
          <cell r="K10">
            <v>0.04</v>
          </cell>
          <cell r="L10">
            <v>174563</v>
          </cell>
        </row>
        <row r="11">
          <cell r="A11">
            <v>5006</v>
          </cell>
          <cell r="D11" t="str">
            <v>AHU double skinned with 40kg/sqcm PUF - 25 TR</v>
          </cell>
          <cell r="E11" t="str">
            <v>Caryaire</v>
          </cell>
          <cell r="F11" t="str">
            <v>Each</v>
          </cell>
          <cell r="G11">
            <v>168100</v>
          </cell>
          <cell r="H11">
            <v>0.05</v>
          </cell>
          <cell r="I11">
            <v>0.16</v>
          </cell>
          <cell r="J11">
            <v>0.1</v>
          </cell>
          <cell r="K11">
            <v>0.04</v>
          </cell>
          <cell r="L11">
            <v>216922</v>
          </cell>
        </row>
        <row r="12">
          <cell r="A12">
            <v>5007</v>
          </cell>
          <cell r="D12" t="str">
            <v>AHU double skinned with 40kg/sqcm PUF - 35 TR</v>
          </cell>
          <cell r="E12" t="str">
            <v>Caryaire</v>
          </cell>
          <cell r="F12" t="str">
            <v>Each</v>
          </cell>
          <cell r="G12">
            <v>218500</v>
          </cell>
          <cell r="H12">
            <v>0.05</v>
          </cell>
          <cell r="I12">
            <v>0.16</v>
          </cell>
          <cell r="J12">
            <v>0.1</v>
          </cell>
          <cell r="K12">
            <v>0.04</v>
          </cell>
          <cell r="L12">
            <v>280460</v>
          </cell>
        </row>
        <row r="13">
          <cell r="A13">
            <v>5008</v>
          </cell>
          <cell r="D13" t="str">
            <v>AHU double skinned with 40kg/sqcm PUF - 5 TR</v>
          </cell>
          <cell r="E13" t="str">
            <v>Caryaire</v>
          </cell>
          <cell r="F13" t="str">
            <v>Each</v>
          </cell>
          <cell r="G13">
            <v>56500</v>
          </cell>
          <cell r="H13">
            <v>0.05</v>
          </cell>
          <cell r="I13">
            <v>0.16</v>
          </cell>
          <cell r="J13">
            <v>0.1</v>
          </cell>
          <cell r="K13">
            <v>0.04</v>
          </cell>
          <cell r="L13">
            <v>76229</v>
          </cell>
        </row>
        <row r="14">
          <cell r="A14">
            <v>5009</v>
          </cell>
          <cell r="D14" t="str">
            <v>Aluminium Foil 7 micron nominal  thickness</v>
          </cell>
          <cell r="E14" t="str">
            <v>UP Twiga</v>
          </cell>
          <cell r="F14" t="str">
            <v>Sq Mtr</v>
          </cell>
          <cell r="G14">
            <v>60</v>
          </cell>
          <cell r="H14">
            <v>0.2</v>
          </cell>
          <cell r="I14">
            <v>0.16</v>
          </cell>
          <cell r="J14">
            <v>0.153</v>
          </cell>
          <cell r="L14">
            <v>64</v>
          </cell>
        </row>
        <row r="15">
          <cell r="A15">
            <v>5010</v>
          </cell>
          <cell r="D15" t="str">
            <v xml:space="preserve">Aluminium perforated sheet 0.5 mm thick </v>
          </cell>
          <cell r="F15" t="str">
            <v>Sq Mtr</v>
          </cell>
          <cell r="G15">
            <v>15</v>
          </cell>
          <cell r="H15">
            <v>0</v>
          </cell>
          <cell r="L15">
            <v>15</v>
          </cell>
        </row>
        <row r="16">
          <cell r="A16">
            <v>5011</v>
          </cell>
          <cell r="D16" t="str">
            <v>Aluminium sheet 0.45 mm thick with roofing grade strip at joints</v>
          </cell>
          <cell r="F16" t="str">
            <v>Sq Mtr</v>
          </cell>
          <cell r="G16">
            <v>75</v>
          </cell>
          <cell r="H16">
            <v>0</v>
          </cell>
          <cell r="L16">
            <v>75</v>
          </cell>
        </row>
        <row r="17">
          <cell r="A17">
            <v>5012</v>
          </cell>
          <cell r="D17" t="str">
            <v>Anti Vibration mountings</v>
          </cell>
          <cell r="E17" t="str">
            <v>MachinoSpares</v>
          </cell>
          <cell r="F17" t="str">
            <v>Each</v>
          </cell>
          <cell r="G17">
            <v>650</v>
          </cell>
          <cell r="H17">
            <v>0.15</v>
          </cell>
          <cell r="J17">
            <v>0.153</v>
          </cell>
          <cell r="K17">
            <v>0.02</v>
          </cell>
          <cell r="L17">
            <v>650</v>
          </cell>
        </row>
        <row r="18">
          <cell r="A18">
            <v>5013</v>
          </cell>
          <cell r="D18" t="str">
            <v>Rubber expansion joint for pump 125 mm dia size</v>
          </cell>
          <cell r="E18" t="str">
            <v>Flexicons</v>
          </cell>
          <cell r="F18" t="str">
            <v>Each</v>
          </cell>
          <cell r="G18">
            <v>3990</v>
          </cell>
          <cell r="H18">
            <v>0.15</v>
          </cell>
          <cell r="J18">
            <v>0.153</v>
          </cell>
          <cell r="K18">
            <v>0.02</v>
          </cell>
          <cell r="L18">
            <v>3989</v>
          </cell>
        </row>
        <row r="19">
          <cell r="A19">
            <v>5014</v>
          </cell>
          <cell r="D19" t="str">
            <v>Concentric Reducer 125 x 150 mm</v>
          </cell>
          <cell r="E19" t="str">
            <v>Shah Tubes Co</v>
          </cell>
          <cell r="F19" t="str">
            <v>Each</v>
          </cell>
          <cell r="G19">
            <v>175</v>
          </cell>
          <cell r="H19">
            <v>0.2</v>
          </cell>
          <cell r="J19">
            <v>0.153</v>
          </cell>
          <cell r="L19">
            <v>161</v>
          </cell>
        </row>
        <row r="20">
          <cell r="A20">
            <v>5015</v>
          </cell>
          <cell r="D20" t="str">
            <v>Concentric Reducer 100 x 150 mm</v>
          </cell>
          <cell r="E20" t="str">
            <v>Shah Tubes Co</v>
          </cell>
          <cell r="F20" t="str">
            <v>Each</v>
          </cell>
          <cell r="G20">
            <v>175</v>
          </cell>
          <cell r="H20">
            <v>0.2</v>
          </cell>
          <cell r="J20">
            <v>0.153</v>
          </cell>
          <cell r="L20">
            <v>161</v>
          </cell>
        </row>
        <row r="21">
          <cell r="A21">
            <v>5016</v>
          </cell>
          <cell r="D21" t="str">
            <v>Concentric Reducer  80 x 150 mm</v>
          </cell>
          <cell r="E21" t="str">
            <v>Shah Tubes Co</v>
          </cell>
          <cell r="F21" t="str">
            <v>Each</v>
          </cell>
          <cell r="G21">
            <v>215</v>
          </cell>
          <cell r="H21">
            <v>0.2</v>
          </cell>
          <cell r="J21">
            <v>0.153</v>
          </cell>
          <cell r="L21">
            <v>198</v>
          </cell>
        </row>
        <row r="22">
          <cell r="A22">
            <v>5017</v>
          </cell>
          <cell r="B22">
            <v>8</v>
          </cell>
          <cell r="C22" t="str">
            <v>ae</v>
          </cell>
          <cell r="D22" t="str">
            <v>Automatic Purge Valve - 40 mm dia</v>
          </cell>
          <cell r="F22" t="str">
            <v>Each</v>
          </cell>
          <cell r="G22">
            <v>1000</v>
          </cell>
          <cell r="H22">
            <v>0</v>
          </cell>
          <cell r="L22">
            <v>1000</v>
          </cell>
        </row>
        <row r="23">
          <cell r="A23">
            <v>5018</v>
          </cell>
          <cell r="B23">
            <v>8</v>
          </cell>
          <cell r="C23" t="str">
            <v>af</v>
          </cell>
          <cell r="D23" t="str">
            <v>Automatic Purge Valve - 25 mm dia</v>
          </cell>
          <cell r="F23" t="str">
            <v>Each</v>
          </cell>
          <cell r="G23">
            <v>750</v>
          </cell>
          <cell r="H23">
            <v>0</v>
          </cell>
          <cell r="L23">
            <v>750</v>
          </cell>
        </row>
        <row r="24">
          <cell r="A24">
            <v>5019</v>
          </cell>
          <cell r="B24">
            <v>8</v>
          </cell>
          <cell r="C24" t="str">
            <v>b</v>
          </cell>
          <cell r="D24" t="str">
            <v>Balancing Valve - 125 mm dia</v>
          </cell>
          <cell r="E24" t="str">
            <v>Advance</v>
          </cell>
          <cell r="F24" t="str">
            <v>Each</v>
          </cell>
          <cell r="G24">
            <v>11657</v>
          </cell>
          <cell r="H24">
            <v>0.15</v>
          </cell>
          <cell r="K24">
            <v>0.02</v>
          </cell>
          <cell r="L24">
            <v>10107</v>
          </cell>
        </row>
        <row r="25">
          <cell r="A25">
            <v>5020</v>
          </cell>
          <cell r="B25">
            <v>10</v>
          </cell>
          <cell r="C25" t="str">
            <v>b</v>
          </cell>
          <cell r="D25" t="str">
            <v>Rubber expansion joint for pump 150 mm dia size</v>
          </cell>
          <cell r="E25" t="str">
            <v>Flexicons</v>
          </cell>
          <cell r="F25" t="str">
            <v>Each</v>
          </cell>
          <cell r="G25">
            <v>4435</v>
          </cell>
          <cell r="H25">
            <v>0.15</v>
          </cell>
          <cell r="J25">
            <v>0.153</v>
          </cell>
          <cell r="K25">
            <v>0.02</v>
          </cell>
          <cell r="L25">
            <v>4433</v>
          </cell>
        </row>
        <row r="26">
          <cell r="A26">
            <v>5021</v>
          </cell>
          <cell r="B26">
            <v>8</v>
          </cell>
          <cell r="C26" t="str">
            <v>ij</v>
          </cell>
          <cell r="D26" t="str">
            <v>Balancing Valve - 20 mm dia (For FCU)</v>
          </cell>
          <cell r="E26" t="str">
            <v>Advance</v>
          </cell>
          <cell r="F26" t="str">
            <v>Each</v>
          </cell>
          <cell r="G26">
            <v>737</v>
          </cell>
          <cell r="H26">
            <v>0.15</v>
          </cell>
          <cell r="K26">
            <v>0.02</v>
          </cell>
          <cell r="L26">
            <v>639</v>
          </cell>
        </row>
        <row r="27">
          <cell r="A27">
            <v>5022</v>
          </cell>
          <cell r="B27">
            <v>8</v>
          </cell>
          <cell r="C27" t="str">
            <v>a</v>
          </cell>
          <cell r="D27" t="str">
            <v>Balancing Valve - 200 mm dia</v>
          </cell>
          <cell r="E27" t="str">
            <v>Advance</v>
          </cell>
          <cell r="F27" t="str">
            <v>Each</v>
          </cell>
          <cell r="G27">
            <v>30743</v>
          </cell>
          <cell r="H27">
            <v>0.15</v>
          </cell>
          <cell r="K27">
            <v>0.02</v>
          </cell>
          <cell r="L27">
            <v>26654</v>
          </cell>
        </row>
        <row r="28">
          <cell r="A28">
            <v>5023</v>
          </cell>
          <cell r="B28">
            <v>10</v>
          </cell>
          <cell r="C28" t="str">
            <v>a</v>
          </cell>
          <cell r="D28" t="str">
            <v>Rubber expansion joint for pump 100 mm dia size</v>
          </cell>
          <cell r="E28" t="str">
            <v>Flexicons</v>
          </cell>
          <cell r="F28" t="str">
            <v>Each</v>
          </cell>
          <cell r="G28">
            <v>3456</v>
          </cell>
          <cell r="H28">
            <v>0.15</v>
          </cell>
          <cell r="J28">
            <v>0.153</v>
          </cell>
          <cell r="K28">
            <v>0.02</v>
          </cell>
          <cell r="L28">
            <v>3455</v>
          </cell>
        </row>
        <row r="29">
          <cell r="A29">
            <v>5024</v>
          </cell>
          <cell r="B29">
            <v>8</v>
          </cell>
          <cell r="C29" t="str">
            <v>h</v>
          </cell>
          <cell r="D29" t="str">
            <v>Balancing Valve - 25 mm dia (For FCU)</v>
          </cell>
          <cell r="E29" t="str">
            <v>Advance</v>
          </cell>
          <cell r="F29" t="str">
            <v>Each</v>
          </cell>
          <cell r="G29">
            <v>891</v>
          </cell>
          <cell r="H29">
            <v>0.15</v>
          </cell>
          <cell r="K29">
            <v>0.02</v>
          </cell>
          <cell r="L29">
            <v>772</v>
          </cell>
        </row>
        <row r="30">
          <cell r="A30">
            <v>5025</v>
          </cell>
          <cell r="B30">
            <v>8</v>
          </cell>
          <cell r="C30" t="str">
            <v>g</v>
          </cell>
          <cell r="D30" t="str">
            <v>Balancing Valve - 32 mm dia (For AHU)</v>
          </cell>
          <cell r="E30" t="str">
            <v>Advance</v>
          </cell>
          <cell r="F30" t="str">
            <v>Each</v>
          </cell>
          <cell r="G30">
            <v>1184</v>
          </cell>
          <cell r="H30">
            <v>0.15</v>
          </cell>
          <cell r="K30">
            <v>0.02</v>
          </cell>
          <cell r="L30">
            <v>1027</v>
          </cell>
        </row>
        <row r="31">
          <cell r="A31">
            <v>5026</v>
          </cell>
          <cell r="B31">
            <v>8</v>
          </cell>
          <cell r="C31" t="str">
            <v>f</v>
          </cell>
          <cell r="D31" t="str">
            <v>Balancing Valve - 40 mm dia (For AHU)</v>
          </cell>
          <cell r="E31" t="str">
            <v>Advance</v>
          </cell>
          <cell r="F31" t="str">
            <v>Each</v>
          </cell>
          <cell r="G31">
            <v>1532</v>
          </cell>
          <cell r="H31">
            <v>0.15</v>
          </cell>
          <cell r="K31">
            <v>0.02</v>
          </cell>
          <cell r="L31">
            <v>1328</v>
          </cell>
        </row>
        <row r="32">
          <cell r="A32">
            <v>5027</v>
          </cell>
          <cell r="B32">
            <v>8</v>
          </cell>
          <cell r="C32" t="str">
            <v>e</v>
          </cell>
          <cell r="D32" t="str">
            <v>Balancing Valve - 50 mm dia (For AHU)</v>
          </cell>
          <cell r="E32" t="str">
            <v>Advance</v>
          </cell>
          <cell r="F32" t="str">
            <v>Each</v>
          </cell>
          <cell r="G32">
            <v>2525</v>
          </cell>
          <cell r="H32">
            <v>0.15</v>
          </cell>
          <cell r="K32">
            <v>0.02</v>
          </cell>
          <cell r="L32">
            <v>2189</v>
          </cell>
        </row>
        <row r="33">
          <cell r="A33">
            <v>5028</v>
          </cell>
          <cell r="B33">
            <v>8</v>
          </cell>
          <cell r="C33" t="str">
            <v>d</v>
          </cell>
          <cell r="D33" t="str">
            <v>Balancing Valve - 65 mm dia (For AHU)</v>
          </cell>
          <cell r="E33" t="str">
            <v>Advance</v>
          </cell>
          <cell r="F33" t="str">
            <v>Each</v>
          </cell>
          <cell r="G33">
            <v>4000</v>
          </cell>
          <cell r="H33">
            <v>0.15</v>
          </cell>
          <cell r="K33">
            <v>0.02</v>
          </cell>
          <cell r="L33">
            <v>3468</v>
          </cell>
        </row>
        <row r="34">
          <cell r="A34">
            <v>5029</v>
          </cell>
          <cell r="B34">
            <v>8</v>
          </cell>
          <cell r="C34" t="str">
            <v>c</v>
          </cell>
          <cell r="D34" t="str">
            <v>Balancing Valve - 80 mm dia (For AHU)</v>
          </cell>
          <cell r="E34" t="str">
            <v>Advance</v>
          </cell>
          <cell r="F34" t="str">
            <v>Each</v>
          </cell>
          <cell r="G34">
            <v>4641</v>
          </cell>
          <cell r="H34">
            <v>0.15</v>
          </cell>
          <cell r="K34">
            <v>0.02</v>
          </cell>
          <cell r="L34">
            <v>4024</v>
          </cell>
        </row>
        <row r="35">
          <cell r="A35">
            <v>5030</v>
          </cell>
          <cell r="B35">
            <v>8</v>
          </cell>
          <cell r="C35" t="str">
            <v>w</v>
          </cell>
          <cell r="D35" t="str">
            <v xml:space="preserve">Ball Valve screw type w/o strainer - 20 mm dia </v>
          </cell>
          <cell r="F35" t="str">
            <v>Each</v>
          </cell>
          <cell r="G35">
            <v>81</v>
          </cell>
          <cell r="H35">
            <v>0.2</v>
          </cell>
          <cell r="J35">
            <v>0.153</v>
          </cell>
          <cell r="L35">
            <v>75</v>
          </cell>
        </row>
        <row r="36">
          <cell r="A36">
            <v>5031</v>
          </cell>
          <cell r="B36">
            <v>8</v>
          </cell>
          <cell r="C36" t="str">
            <v>v</v>
          </cell>
          <cell r="D36" t="str">
            <v xml:space="preserve">Ball Valve screw type w/o strainer - 25 mm dia </v>
          </cell>
          <cell r="F36" t="str">
            <v>Each</v>
          </cell>
          <cell r="G36">
            <v>122</v>
          </cell>
          <cell r="H36">
            <v>0.2</v>
          </cell>
          <cell r="J36">
            <v>0.153</v>
          </cell>
          <cell r="L36">
            <v>113</v>
          </cell>
        </row>
        <row r="37">
          <cell r="A37">
            <v>5032</v>
          </cell>
          <cell r="B37">
            <v>8</v>
          </cell>
          <cell r="C37" t="str">
            <v>u</v>
          </cell>
          <cell r="D37" t="str">
            <v xml:space="preserve">Ball Valve screw type with strainer - 20 mm dia </v>
          </cell>
          <cell r="F37" t="str">
            <v>Each</v>
          </cell>
          <cell r="G37">
            <v>468</v>
          </cell>
          <cell r="H37">
            <v>0.2</v>
          </cell>
          <cell r="J37">
            <v>0.153</v>
          </cell>
          <cell r="L37">
            <v>432</v>
          </cell>
        </row>
        <row r="38">
          <cell r="A38">
            <v>5033</v>
          </cell>
          <cell r="B38">
            <v>8</v>
          </cell>
          <cell r="C38" t="str">
            <v>t</v>
          </cell>
          <cell r="D38" t="str">
            <v xml:space="preserve">Ball Valve screw type with strainer - 25 mm dia </v>
          </cell>
          <cell r="F38" t="str">
            <v>Each</v>
          </cell>
          <cell r="G38">
            <v>535</v>
          </cell>
          <cell r="H38">
            <v>0.2</v>
          </cell>
          <cell r="J38">
            <v>0.153</v>
          </cell>
          <cell r="L38">
            <v>493</v>
          </cell>
        </row>
        <row r="39">
          <cell r="A39">
            <v>5034</v>
          </cell>
          <cell r="D39" t="str">
            <v>Bitumen</v>
          </cell>
          <cell r="E39" t="str">
            <v>IOC/ BPCL</v>
          </cell>
          <cell r="F39" t="str">
            <v>Kg</v>
          </cell>
          <cell r="G39">
            <v>25</v>
          </cell>
          <cell r="H39">
            <v>0</v>
          </cell>
          <cell r="L39">
            <v>25</v>
          </cell>
        </row>
        <row r="40">
          <cell r="A40">
            <v>5035</v>
          </cell>
          <cell r="D40" t="str">
            <v>Brass end coupling set 20 mm dia for kitec pipe (Split ring, Seal, 1 male and 1 female thread connector)</v>
          </cell>
          <cell r="E40" t="str">
            <v>Kitec</v>
          </cell>
          <cell r="F40" t="str">
            <v>Set</v>
          </cell>
          <cell r="G40">
            <v>261.89999999999998</v>
          </cell>
          <cell r="H40">
            <v>0.2</v>
          </cell>
          <cell r="J40">
            <v>0.153</v>
          </cell>
          <cell r="L40">
            <v>242</v>
          </cell>
        </row>
        <row r="41">
          <cell r="A41">
            <v>5036</v>
          </cell>
          <cell r="D41" t="str">
            <v>Brass end coupling set 25 mm dia for kitec pipe (Split ring, Seal, 1 male and 1 female thread connector)</v>
          </cell>
          <cell r="E41" t="str">
            <v>Kitec</v>
          </cell>
          <cell r="F41" t="str">
            <v>Set</v>
          </cell>
          <cell r="G41">
            <v>392.9</v>
          </cell>
          <cell r="H41">
            <v>0.2</v>
          </cell>
          <cell r="J41">
            <v>0.153</v>
          </cell>
          <cell r="L41">
            <v>362</v>
          </cell>
        </row>
        <row r="42">
          <cell r="A42">
            <v>5037</v>
          </cell>
          <cell r="B42">
            <v>8</v>
          </cell>
          <cell r="C42" t="str">
            <v>n</v>
          </cell>
          <cell r="D42" t="str">
            <v>Butterfly Valve - 100 mm dia</v>
          </cell>
          <cell r="E42" t="str">
            <v>Audco</v>
          </cell>
          <cell r="F42" t="str">
            <v>Each</v>
          </cell>
          <cell r="G42">
            <v>1432</v>
          </cell>
          <cell r="H42">
            <v>0.15</v>
          </cell>
          <cell r="I42">
            <v>0.1216</v>
          </cell>
          <cell r="J42">
            <v>0.1</v>
          </cell>
          <cell r="K42">
            <v>0.02</v>
          </cell>
          <cell r="L42">
            <v>1532</v>
          </cell>
        </row>
        <row r="43">
          <cell r="A43">
            <v>5038</v>
          </cell>
          <cell r="B43">
            <v>10</v>
          </cell>
          <cell r="C43" t="str">
            <v>g</v>
          </cell>
          <cell r="D43" t="str">
            <v>Concentric Reducer 125 x 200 mm</v>
          </cell>
          <cell r="E43" t="str">
            <v>Shah Tubes Co</v>
          </cell>
          <cell r="F43" t="str">
            <v>Each</v>
          </cell>
          <cell r="G43">
            <v>375</v>
          </cell>
          <cell r="H43">
            <v>0.2</v>
          </cell>
          <cell r="J43">
            <v>0.153</v>
          </cell>
          <cell r="L43">
            <v>346</v>
          </cell>
        </row>
        <row r="44">
          <cell r="A44">
            <v>5039</v>
          </cell>
          <cell r="B44">
            <v>8</v>
          </cell>
          <cell r="C44" t="str">
            <v>m</v>
          </cell>
          <cell r="D44" t="str">
            <v>Butterfly Valve - 125 mm dia</v>
          </cell>
          <cell r="E44" t="str">
            <v>Audco</v>
          </cell>
          <cell r="F44" t="str">
            <v>Each</v>
          </cell>
          <cell r="G44">
            <v>1829</v>
          </cell>
          <cell r="H44">
            <v>0.15</v>
          </cell>
          <cell r="I44">
            <v>0.1216</v>
          </cell>
          <cell r="J44">
            <v>0.1</v>
          </cell>
          <cell r="K44">
            <v>0.02</v>
          </cell>
          <cell r="L44">
            <v>1956</v>
          </cell>
        </row>
        <row r="45">
          <cell r="A45">
            <v>5040</v>
          </cell>
          <cell r="B45">
            <v>10</v>
          </cell>
          <cell r="C45" t="str">
            <v>f</v>
          </cell>
          <cell r="D45" t="str">
            <v>Concentric Reducer 100 x 200 mm</v>
          </cell>
          <cell r="E45" t="str">
            <v>Shah Tubes Co</v>
          </cell>
          <cell r="F45" t="str">
            <v>Each</v>
          </cell>
          <cell r="G45">
            <v>400</v>
          </cell>
          <cell r="H45">
            <v>0.2</v>
          </cell>
          <cell r="J45">
            <v>0.153</v>
          </cell>
          <cell r="L45">
            <v>369</v>
          </cell>
        </row>
        <row r="46">
          <cell r="A46">
            <v>5041</v>
          </cell>
          <cell r="B46">
            <v>8</v>
          </cell>
          <cell r="C46" t="str">
            <v>l</v>
          </cell>
          <cell r="D46" t="str">
            <v>Butterfly Valve - 200 mm dia</v>
          </cell>
          <cell r="E46" t="str">
            <v>Audco</v>
          </cell>
          <cell r="F46" t="str">
            <v>Each</v>
          </cell>
          <cell r="G46">
            <v>4471</v>
          </cell>
          <cell r="H46">
            <v>0.15</v>
          </cell>
          <cell r="I46">
            <v>0.1216</v>
          </cell>
          <cell r="J46">
            <v>0.1</v>
          </cell>
          <cell r="K46">
            <v>0.02</v>
          </cell>
          <cell r="L46">
            <v>4782</v>
          </cell>
        </row>
        <row r="47">
          <cell r="A47">
            <v>5042</v>
          </cell>
          <cell r="B47">
            <v>10</v>
          </cell>
          <cell r="C47" t="str">
            <v>e</v>
          </cell>
          <cell r="D47" t="str">
            <v>Concentric Reducer 80 x 200 mm</v>
          </cell>
          <cell r="E47" t="str">
            <v>Shah Tubes Co</v>
          </cell>
          <cell r="F47" t="str">
            <v>Each</v>
          </cell>
          <cell r="G47">
            <v>475</v>
          </cell>
          <cell r="H47">
            <v>0.2</v>
          </cell>
          <cell r="J47">
            <v>0.153</v>
          </cell>
          <cell r="L47">
            <v>438</v>
          </cell>
        </row>
        <row r="48">
          <cell r="A48">
            <v>5043</v>
          </cell>
          <cell r="B48">
            <v>8</v>
          </cell>
          <cell r="C48" t="str">
            <v>j</v>
          </cell>
          <cell r="D48" t="str">
            <v>Butterfly Valve - 300 mm dia</v>
          </cell>
          <cell r="E48" t="str">
            <v>Audco</v>
          </cell>
          <cell r="F48" t="str">
            <v>Each</v>
          </cell>
          <cell r="G48">
            <v>7447</v>
          </cell>
          <cell r="H48">
            <v>0.15</v>
          </cell>
          <cell r="I48">
            <v>0.1216</v>
          </cell>
          <cell r="J48">
            <v>0.1</v>
          </cell>
          <cell r="K48">
            <v>0.02</v>
          </cell>
          <cell r="L48">
            <v>7966</v>
          </cell>
        </row>
        <row r="49">
          <cell r="A49">
            <v>5044</v>
          </cell>
          <cell r="B49">
            <v>10</v>
          </cell>
          <cell r="C49" t="str">
            <v>d</v>
          </cell>
          <cell r="D49" t="str">
            <v>Concentric Reducer 50 x 200 mm</v>
          </cell>
          <cell r="E49" t="str">
            <v>Shah Tubes Co</v>
          </cell>
          <cell r="F49" t="str">
            <v>Each</v>
          </cell>
          <cell r="G49">
            <v>475</v>
          </cell>
          <cell r="H49">
            <v>0.2</v>
          </cell>
          <cell r="J49">
            <v>0.153</v>
          </cell>
          <cell r="L49">
            <v>438</v>
          </cell>
        </row>
        <row r="50">
          <cell r="A50">
            <v>5045</v>
          </cell>
          <cell r="B50">
            <v>8</v>
          </cell>
          <cell r="C50" t="str">
            <v>s</v>
          </cell>
          <cell r="D50" t="str">
            <v xml:space="preserve">Ball Valve, CI, 3 piece design - 32 mm dia </v>
          </cell>
          <cell r="E50" t="str">
            <v>Shah Tubes Co</v>
          </cell>
          <cell r="F50" t="str">
            <v>Each</v>
          </cell>
          <cell r="G50">
            <v>335</v>
          </cell>
          <cell r="H50">
            <v>0.2</v>
          </cell>
          <cell r="J50">
            <v>0.153</v>
          </cell>
          <cell r="L50">
            <v>309</v>
          </cell>
        </row>
        <row r="51">
          <cell r="A51">
            <v>5046</v>
          </cell>
          <cell r="B51">
            <v>8</v>
          </cell>
          <cell r="C51" t="str">
            <v>r</v>
          </cell>
          <cell r="D51" t="str">
            <v xml:space="preserve">Ball Valve, CI, 3 piece design - 40 mm dia </v>
          </cell>
          <cell r="E51" t="str">
            <v>Shah Tubes Co</v>
          </cell>
          <cell r="F51" t="str">
            <v>Each</v>
          </cell>
          <cell r="G51">
            <v>350</v>
          </cell>
          <cell r="H51">
            <v>0.2</v>
          </cell>
          <cell r="J51">
            <v>0.153</v>
          </cell>
          <cell r="K51">
            <v>0.02</v>
          </cell>
          <cell r="L51">
            <v>329</v>
          </cell>
        </row>
        <row r="52">
          <cell r="A52">
            <v>5047</v>
          </cell>
          <cell r="B52">
            <v>8</v>
          </cell>
          <cell r="C52" t="str">
            <v>q</v>
          </cell>
          <cell r="D52" t="str">
            <v xml:space="preserve">Butterfly Valve - 50 mm dia </v>
          </cell>
          <cell r="E52" t="str">
            <v>Audco</v>
          </cell>
          <cell r="F52" t="str">
            <v>Each</v>
          </cell>
          <cell r="G52">
            <v>862</v>
          </cell>
          <cell r="H52">
            <v>0.15</v>
          </cell>
          <cell r="I52">
            <v>0.1216</v>
          </cell>
          <cell r="J52">
            <v>0.1</v>
          </cell>
          <cell r="K52">
            <v>0.02</v>
          </cell>
          <cell r="L52">
            <v>922</v>
          </cell>
        </row>
        <row r="53">
          <cell r="A53">
            <v>5048</v>
          </cell>
          <cell r="B53">
            <v>8</v>
          </cell>
          <cell r="C53" t="str">
            <v>p</v>
          </cell>
          <cell r="D53" t="str">
            <v xml:space="preserve">Butterfly Valve - 65 mm dia </v>
          </cell>
          <cell r="E53" t="str">
            <v>Audco</v>
          </cell>
          <cell r="F53" t="str">
            <v>Each</v>
          </cell>
          <cell r="G53">
            <v>1008</v>
          </cell>
          <cell r="H53">
            <v>0.15</v>
          </cell>
          <cell r="I53">
            <v>0.1216</v>
          </cell>
          <cell r="J53">
            <v>0.1</v>
          </cell>
          <cell r="K53">
            <v>0.02</v>
          </cell>
          <cell r="L53">
            <v>1078</v>
          </cell>
        </row>
        <row r="54">
          <cell r="A54">
            <v>5049</v>
          </cell>
          <cell r="B54">
            <v>8</v>
          </cell>
          <cell r="C54" t="str">
            <v>o</v>
          </cell>
          <cell r="D54" t="str">
            <v xml:space="preserve">Butterfly Valve - 80 mm dia </v>
          </cell>
          <cell r="E54" t="str">
            <v>Audco</v>
          </cell>
          <cell r="F54" t="str">
            <v>Each</v>
          </cell>
          <cell r="G54">
            <v>1126</v>
          </cell>
          <cell r="H54">
            <v>0.15</v>
          </cell>
          <cell r="I54">
            <v>0.1216</v>
          </cell>
          <cell r="J54">
            <v>0.1</v>
          </cell>
          <cell r="K54">
            <v>0.02</v>
          </cell>
          <cell r="L54">
            <v>1204</v>
          </cell>
        </row>
        <row r="55">
          <cell r="A55">
            <v>5050</v>
          </cell>
          <cell r="D55" t="str">
            <v>Cement plaster 10mm thick of 2 layers I/c colouring to match the wall</v>
          </cell>
          <cell r="F55" t="str">
            <v>Sq Mtr</v>
          </cell>
          <cell r="G55">
            <v>110</v>
          </cell>
          <cell r="H55">
            <v>0</v>
          </cell>
          <cell r="L55">
            <v>110</v>
          </cell>
        </row>
        <row r="56">
          <cell r="A56">
            <v>5051</v>
          </cell>
          <cell r="D56" t="str">
            <v xml:space="preserve">Chicken mesh 0.5 mm x 20 mm </v>
          </cell>
          <cell r="F56" t="str">
            <v>Sq Mtr</v>
          </cell>
          <cell r="G56">
            <v>25</v>
          </cell>
          <cell r="H56">
            <v>0</v>
          </cell>
          <cell r="L56">
            <v>25</v>
          </cell>
        </row>
        <row r="57">
          <cell r="A57">
            <v>5052</v>
          </cell>
          <cell r="D57" t="str">
            <v xml:space="preserve">Chilled Water Pumpset 2430 LPM @ 30 m Head Split casing including suitable hp 415 Volts, 3 ph, 50 Hz motor, base plate, Coupling guard, Foundation bolts </v>
          </cell>
          <cell r="E57" t="str">
            <v>Mather Platt / Rahul Machinery &amp; Engg Co</v>
          </cell>
          <cell r="F57" t="str">
            <v>Each</v>
          </cell>
          <cell r="G57">
            <v>98175</v>
          </cell>
          <cell r="H57">
            <v>0.05</v>
          </cell>
          <cell r="I57">
            <v>0.16</v>
          </cell>
          <cell r="J57">
            <v>0.158</v>
          </cell>
          <cell r="K57">
            <v>2.5000000000000001E-2</v>
          </cell>
          <cell r="L57">
            <v>128415</v>
          </cell>
        </row>
        <row r="58">
          <cell r="A58">
            <v>5053</v>
          </cell>
          <cell r="D58" t="str">
            <v xml:space="preserve">Chilled Water Pumpset 972 LPM @ 30 m Head Split casing including suitable hp 415 Volts, 3 ph, 50 Hz motor, base plate, Coupling guard, Foundation bolts </v>
          </cell>
          <cell r="E58" t="str">
            <v>Mather Platt / Rahul Machinery &amp; Engg Co</v>
          </cell>
          <cell r="F58" t="str">
            <v>Each</v>
          </cell>
          <cell r="G58">
            <v>65975</v>
          </cell>
          <cell r="H58">
            <v>0.05</v>
          </cell>
          <cell r="I58">
            <v>0.16</v>
          </cell>
          <cell r="J58">
            <v>0.158</v>
          </cell>
          <cell r="K58">
            <v>2.5000000000000001E-2</v>
          </cell>
          <cell r="L58">
            <v>86297</v>
          </cell>
        </row>
        <row r="59">
          <cell r="A59">
            <v>5054</v>
          </cell>
          <cell r="D59" t="str">
            <v>Chiller 200 TR with all accessories and microprocessor control</v>
          </cell>
          <cell r="E59" t="str">
            <v>Voltas</v>
          </cell>
          <cell r="F59" t="str">
            <v>Set</v>
          </cell>
          <cell r="G59">
            <v>4420000</v>
          </cell>
          <cell r="H59">
            <v>0.05</v>
          </cell>
          <cell r="L59">
            <v>4199000</v>
          </cell>
        </row>
        <row r="60">
          <cell r="A60">
            <v>5055</v>
          </cell>
          <cell r="D60" t="str">
            <v>Chiller 80 TR with all accessories and microprocessor control</v>
          </cell>
          <cell r="E60" t="str">
            <v>Voltas</v>
          </cell>
          <cell r="F60" t="str">
            <v>Set</v>
          </cell>
          <cell r="G60">
            <v>2580000</v>
          </cell>
          <cell r="H60">
            <v>0.05</v>
          </cell>
          <cell r="L60">
            <v>2451000</v>
          </cell>
        </row>
        <row r="61">
          <cell r="A61">
            <v>5056</v>
          </cell>
          <cell r="D61" t="str">
            <v>Cold sealing compound</v>
          </cell>
          <cell r="F61" t="str">
            <v>Kg</v>
          </cell>
          <cell r="G61">
            <v>90</v>
          </cell>
          <cell r="H61">
            <v>0</v>
          </cell>
          <cell r="L61">
            <v>90</v>
          </cell>
        </row>
        <row r="62">
          <cell r="A62">
            <v>5057</v>
          </cell>
          <cell r="D62" t="str">
            <v xml:space="preserve">Condensor Water Pumpset 1200 LPM @ 25 m Head Split casing including suitable hp 415 Volts, 3 ph, 50 Hz motor, base plate, Coupling guard, Foundation bolts </v>
          </cell>
          <cell r="E62" t="str">
            <v>Mather Platt / Rahul Machinery &amp; Engg Co</v>
          </cell>
          <cell r="F62" t="str">
            <v>Each</v>
          </cell>
          <cell r="G62">
            <v>67240</v>
          </cell>
          <cell r="H62">
            <v>0.05</v>
          </cell>
          <cell r="I62">
            <v>0.16</v>
          </cell>
          <cell r="J62">
            <v>0.158</v>
          </cell>
          <cell r="K62">
            <v>2.5000000000000001E-2</v>
          </cell>
          <cell r="L62">
            <v>87951</v>
          </cell>
        </row>
        <row r="63">
          <cell r="A63">
            <v>5058</v>
          </cell>
          <cell r="D63" t="str">
            <v xml:space="preserve">Condensor Water Pumpset 2970 LPM @ 25 m Head Split casing including suitable hp 415 Volts, 3 ph, 50 Hz motor, base plate, Coupling guard, Foundation bolts </v>
          </cell>
          <cell r="E63" t="str">
            <v>Mather Platt / Rahul Machinery &amp; Engg Co</v>
          </cell>
          <cell r="F63" t="str">
            <v>Each</v>
          </cell>
          <cell r="G63">
            <v>100540</v>
          </cell>
          <cell r="H63">
            <v>0.05</v>
          </cell>
          <cell r="I63">
            <v>0.16</v>
          </cell>
          <cell r="J63">
            <v>0.158</v>
          </cell>
          <cell r="K63">
            <v>2.5000000000000001E-2</v>
          </cell>
          <cell r="L63">
            <v>131508</v>
          </cell>
        </row>
        <row r="64">
          <cell r="A64">
            <v>5059</v>
          </cell>
          <cell r="D64" t="str">
            <v>Digital Pressure Gauge</v>
          </cell>
          <cell r="F64" t="str">
            <v>Each</v>
          </cell>
          <cell r="G64">
            <v>5000</v>
          </cell>
          <cell r="H64">
            <v>0</v>
          </cell>
          <cell r="L64">
            <v>5000</v>
          </cell>
        </row>
        <row r="65">
          <cell r="A65">
            <v>5060</v>
          </cell>
          <cell r="D65" t="str">
            <v>Digital Thermometers</v>
          </cell>
          <cell r="F65" t="str">
            <v>Each</v>
          </cell>
          <cell r="G65">
            <v>4000</v>
          </cell>
          <cell r="H65">
            <v>0</v>
          </cell>
          <cell r="L65">
            <v>4000</v>
          </cell>
        </row>
        <row r="66">
          <cell r="A66">
            <v>5061</v>
          </cell>
          <cell r="D66" t="str">
            <v>Elastomeric insulation for 20 dia pipe, 13mm thick</v>
          </cell>
          <cell r="E66" t="str">
            <v>Armacell Insulation</v>
          </cell>
          <cell r="F66" t="str">
            <v>Metre</v>
          </cell>
          <cell r="G66">
            <v>51</v>
          </cell>
          <cell r="H66">
            <v>0.2</v>
          </cell>
          <cell r="I66">
            <v>0.01</v>
          </cell>
          <cell r="J66">
            <v>0.153</v>
          </cell>
          <cell r="K66">
            <v>0.02</v>
          </cell>
          <cell r="L66">
            <v>48</v>
          </cell>
        </row>
        <row r="67">
          <cell r="A67">
            <v>5062</v>
          </cell>
          <cell r="D67" t="str">
            <v>Elastomeric insulation for 25 dia pipe, 13mm thick</v>
          </cell>
          <cell r="E67" t="str">
            <v>Armacell Insulation</v>
          </cell>
          <cell r="F67" t="str">
            <v>Metre</v>
          </cell>
          <cell r="G67">
            <v>60.3</v>
          </cell>
          <cell r="H67">
            <v>0.2</v>
          </cell>
          <cell r="I67">
            <v>0.01</v>
          </cell>
          <cell r="J67">
            <v>0.153</v>
          </cell>
          <cell r="K67">
            <v>0.02</v>
          </cell>
          <cell r="L67">
            <v>57</v>
          </cell>
        </row>
        <row r="68">
          <cell r="A68">
            <v>5063</v>
          </cell>
          <cell r="D68" t="str">
            <v>Elastomeric insulation for 50 dia pipe, 9mm thick</v>
          </cell>
          <cell r="E68" t="str">
            <v>Armacell Insulation</v>
          </cell>
          <cell r="F68" t="str">
            <v>Each</v>
          </cell>
          <cell r="G68">
            <v>71</v>
          </cell>
          <cell r="H68">
            <v>0.2</v>
          </cell>
          <cell r="I68">
            <v>0.01</v>
          </cell>
          <cell r="J68">
            <v>0.153</v>
          </cell>
          <cell r="K68">
            <v>0.02</v>
          </cell>
          <cell r="L68">
            <v>67</v>
          </cell>
        </row>
        <row r="69">
          <cell r="A69">
            <v>5064</v>
          </cell>
          <cell r="D69" t="str">
            <v>Elbows GI 25 mm</v>
          </cell>
          <cell r="E69" t="str">
            <v>ISI Marked</v>
          </cell>
          <cell r="F69" t="str">
            <v>Each</v>
          </cell>
          <cell r="G69">
            <v>23.2</v>
          </cell>
          <cell r="H69">
            <v>0.2</v>
          </cell>
          <cell r="J69">
            <v>0.153</v>
          </cell>
          <cell r="L69">
            <v>21</v>
          </cell>
        </row>
        <row r="70">
          <cell r="A70">
            <v>5065</v>
          </cell>
          <cell r="D70" t="str">
            <v>Elbows GI 50 mm</v>
          </cell>
          <cell r="E70" t="str">
            <v>ISI Marked</v>
          </cell>
          <cell r="F70" t="str">
            <v>Each</v>
          </cell>
          <cell r="G70">
            <v>76.900000000000006</v>
          </cell>
          <cell r="H70">
            <v>0.2</v>
          </cell>
          <cell r="J70">
            <v>0.153</v>
          </cell>
          <cell r="L70">
            <v>71</v>
          </cell>
        </row>
        <row r="71">
          <cell r="A71">
            <v>5066</v>
          </cell>
          <cell r="D71" t="str">
            <v xml:space="preserve">Expanded polystyrene pipe 100 mm dia sections and 50 mm thick </v>
          </cell>
          <cell r="E71" t="str">
            <v>Maghard/Beardsell</v>
          </cell>
          <cell r="F71" t="str">
            <v>Metre</v>
          </cell>
          <cell r="G71">
            <v>106</v>
          </cell>
          <cell r="H71">
            <v>0.15</v>
          </cell>
          <cell r="J71">
            <v>5.0000000000000001E-3</v>
          </cell>
          <cell r="K71">
            <v>0.02</v>
          </cell>
          <cell r="L71">
            <v>92</v>
          </cell>
        </row>
        <row r="72">
          <cell r="A72">
            <v>5067</v>
          </cell>
          <cell r="D72" t="str">
            <v xml:space="preserve">Expanded polystyrene pipe sections 125 mm dia and 50 mm thick </v>
          </cell>
          <cell r="E72" t="str">
            <v>Maghard/Beardsell</v>
          </cell>
          <cell r="F72" t="str">
            <v>Metre</v>
          </cell>
          <cell r="G72">
            <v>122.5</v>
          </cell>
          <cell r="H72">
            <v>0.15</v>
          </cell>
          <cell r="J72">
            <v>5.0000000000000001E-3</v>
          </cell>
          <cell r="K72">
            <v>0.02</v>
          </cell>
          <cell r="L72">
            <v>107</v>
          </cell>
        </row>
        <row r="73">
          <cell r="A73">
            <v>5068</v>
          </cell>
          <cell r="D73" t="str">
            <v xml:space="preserve">Expanded polystyrene pipe sections 150 mm dia and 50 mm thick </v>
          </cell>
          <cell r="E73" t="str">
            <v>Maghard/Beardsell</v>
          </cell>
          <cell r="F73" t="str">
            <v>Metre</v>
          </cell>
          <cell r="G73">
            <v>138</v>
          </cell>
          <cell r="H73">
            <v>0.15</v>
          </cell>
          <cell r="J73">
            <v>5.0000000000000001E-3</v>
          </cell>
          <cell r="K73">
            <v>0.02</v>
          </cell>
          <cell r="L73">
            <v>138</v>
          </cell>
        </row>
        <row r="74">
          <cell r="A74">
            <v>5069</v>
          </cell>
          <cell r="D74" t="str">
            <v xml:space="preserve">Expanded polystyrene pipe sections 200 mm dia and 75 mm thick </v>
          </cell>
          <cell r="E74" t="str">
            <v>Maghard/Beardsell</v>
          </cell>
          <cell r="F74" t="str">
            <v>Metre</v>
          </cell>
          <cell r="G74">
            <v>281</v>
          </cell>
          <cell r="H74">
            <v>0.15</v>
          </cell>
          <cell r="J74">
            <v>5.0000000000000001E-3</v>
          </cell>
          <cell r="K74">
            <v>0.02</v>
          </cell>
          <cell r="L74">
            <v>245</v>
          </cell>
        </row>
        <row r="75">
          <cell r="A75">
            <v>5070</v>
          </cell>
          <cell r="D75" t="str">
            <v xml:space="preserve">Expanded polystyrene pipe sections 250 mm dia and 75 mm thick </v>
          </cell>
          <cell r="E75" t="str">
            <v>Maghard/Beardsell</v>
          </cell>
          <cell r="F75" t="str">
            <v>Metre</v>
          </cell>
          <cell r="G75">
            <v>329</v>
          </cell>
          <cell r="H75">
            <v>0.15</v>
          </cell>
          <cell r="J75">
            <v>5.0000000000000001E-3</v>
          </cell>
          <cell r="K75">
            <v>0.02</v>
          </cell>
          <cell r="L75">
            <v>287</v>
          </cell>
        </row>
        <row r="76">
          <cell r="A76">
            <v>5071</v>
          </cell>
          <cell r="D76" t="str">
            <v>Expanded polystyrene pipe sections 32 mm dia and 50 mm thick</v>
          </cell>
          <cell r="E76" t="str">
            <v>Maghard/Beardsell</v>
          </cell>
          <cell r="F76" t="str">
            <v>Metre</v>
          </cell>
          <cell r="G76">
            <v>60.5</v>
          </cell>
          <cell r="H76">
            <v>0.15</v>
          </cell>
          <cell r="J76">
            <v>5.0000000000000001E-3</v>
          </cell>
          <cell r="K76">
            <v>0.02</v>
          </cell>
          <cell r="L76">
            <v>53</v>
          </cell>
        </row>
        <row r="77">
          <cell r="A77">
            <v>5072</v>
          </cell>
          <cell r="D77" t="str">
            <v>Expanded polystyrene pipe sections 40 mm dia and 50 mm thick</v>
          </cell>
          <cell r="E77" t="str">
            <v>Maghard/Beardsell</v>
          </cell>
          <cell r="F77" t="str">
            <v>Metre</v>
          </cell>
          <cell r="G77">
            <v>64.3</v>
          </cell>
          <cell r="H77">
            <v>0.15</v>
          </cell>
          <cell r="J77">
            <v>5.0000000000000001E-3</v>
          </cell>
          <cell r="K77">
            <v>0.02</v>
          </cell>
          <cell r="L77">
            <v>56</v>
          </cell>
        </row>
        <row r="78">
          <cell r="A78">
            <v>5073</v>
          </cell>
          <cell r="D78" t="str">
            <v>Expanded polystyrene pipe sections 50 mm dia and 50 mm thick</v>
          </cell>
          <cell r="E78" t="str">
            <v>Maghard/Beardsell</v>
          </cell>
          <cell r="F78" t="str">
            <v>Metre</v>
          </cell>
          <cell r="G78">
            <v>71</v>
          </cell>
          <cell r="H78">
            <v>0.15</v>
          </cell>
          <cell r="J78">
            <v>5.0000000000000001E-3</v>
          </cell>
          <cell r="K78">
            <v>0.02</v>
          </cell>
          <cell r="L78">
            <v>62</v>
          </cell>
        </row>
        <row r="79">
          <cell r="A79">
            <v>5074</v>
          </cell>
          <cell r="D79" t="str">
            <v>Expanded polystyrene pipe sections 65 mm dia and 50 mm thick</v>
          </cell>
          <cell r="E79" t="str">
            <v>Maghard/Beardsell</v>
          </cell>
          <cell r="F79" t="str">
            <v>Metre</v>
          </cell>
          <cell r="G79">
            <v>82</v>
          </cell>
          <cell r="H79">
            <v>0.15</v>
          </cell>
          <cell r="J79">
            <v>5.0000000000000001E-3</v>
          </cell>
          <cell r="K79">
            <v>0.02</v>
          </cell>
          <cell r="L79">
            <v>71</v>
          </cell>
        </row>
        <row r="80">
          <cell r="A80">
            <v>5075</v>
          </cell>
          <cell r="D80" t="str">
            <v xml:space="preserve">Expanded polystyrene pipe sections 80 mm dia and 50 mm thick </v>
          </cell>
          <cell r="E80" t="str">
            <v>Maghard/Beardsell</v>
          </cell>
          <cell r="F80" t="str">
            <v>Metre</v>
          </cell>
          <cell r="G80">
            <v>90</v>
          </cell>
          <cell r="H80">
            <v>0.15</v>
          </cell>
          <cell r="J80">
            <v>5.0000000000000001E-3</v>
          </cell>
          <cell r="K80">
            <v>0.02</v>
          </cell>
          <cell r="L80">
            <v>78</v>
          </cell>
        </row>
        <row r="81">
          <cell r="A81">
            <v>5076</v>
          </cell>
          <cell r="D81" t="str">
            <v>Fan coil Unit 1.5 TR</v>
          </cell>
          <cell r="F81" t="str">
            <v>Each</v>
          </cell>
          <cell r="H81">
            <v>0</v>
          </cell>
          <cell r="L81">
            <v>0</v>
          </cell>
        </row>
        <row r="82">
          <cell r="A82">
            <v>5077</v>
          </cell>
          <cell r="D82" t="str">
            <v>Fan coil Unit 2.0 TR</v>
          </cell>
          <cell r="F82" t="str">
            <v>Set</v>
          </cell>
          <cell r="H82">
            <v>0</v>
          </cell>
          <cell r="L82">
            <v>0</v>
          </cell>
        </row>
        <row r="83">
          <cell r="A83">
            <v>5078</v>
          </cell>
          <cell r="D83" t="str">
            <v>Fibreglass insulation 25 mm thick, 32 Kg / CuM dense</v>
          </cell>
          <cell r="E83" t="str">
            <v>UP Twiga</v>
          </cell>
          <cell r="F83" t="str">
            <v>Sq Mtr</v>
          </cell>
          <cell r="G83">
            <v>79</v>
          </cell>
          <cell r="H83">
            <v>0.2</v>
          </cell>
          <cell r="I83">
            <v>0.16</v>
          </cell>
          <cell r="J83">
            <v>0.153</v>
          </cell>
          <cell r="K83">
            <v>0.02</v>
          </cell>
          <cell r="L83">
            <v>86</v>
          </cell>
        </row>
        <row r="84">
          <cell r="A84">
            <v>5079</v>
          </cell>
          <cell r="D84" t="str">
            <v>Fibreglass insulation 50 mm thick, 32 Kg / CuM dense</v>
          </cell>
          <cell r="E84" t="str">
            <v>UP Twiga</v>
          </cell>
          <cell r="F84" t="str">
            <v>Sq Mtr</v>
          </cell>
          <cell r="G84">
            <v>158.5</v>
          </cell>
          <cell r="H84">
            <v>0.2</v>
          </cell>
          <cell r="I84">
            <v>0.16</v>
          </cell>
          <cell r="J84">
            <v>0.153</v>
          </cell>
          <cell r="K84">
            <v>0.02</v>
          </cell>
          <cell r="L84">
            <v>173</v>
          </cell>
        </row>
        <row r="85">
          <cell r="A85">
            <v>5080</v>
          </cell>
          <cell r="D85" t="str">
            <v>Fire damper with fusible link, spring return actuators</v>
          </cell>
          <cell r="E85" t="str">
            <v>Caryaire</v>
          </cell>
          <cell r="F85" t="str">
            <v>Sq Mtr</v>
          </cell>
          <cell r="G85">
            <v>22320</v>
          </cell>
          <cell r="H85">
            <v>0.05</v>
          </cell>
          <cell r="I85">
            <v>0.16</v>
          </cell>
          <cell r="J85">
            <v>0.1</v>
          </cell>
          <cell r="K85">
            <v>0.04</v>
          </cell>
          <cell r="L85">
            <v>28139</v>
          </cell>
        </row>
        <row r="86">
          <cell r="A86">
            <v>5081</v>
          </cell>
          <cell r="D86" t="str">
            <v>Rubber expansion joint for pump 80 mm dia size</v>
          </cell>
          <cell r="E86" t="str">
            <v>Flexicons</v>
          </cell>
          <cell r="F86" t="str">
            <v>Each</v>
          </cell>
          <cell r="G86">
            <v>2442</v>
          </cell>
          <cell r="H86">
            <v>0.15</v>
          </cell>
          <cell r="I86">
            <v>0.153</v>
          </cell>
          <cell r="K86">
            <v>0.02</v>
          </cell>
          <cell r="L86">
            <v>2441</v>
          </cell>
        </row>
        <row r="87">
          <cell r="A87">
            <v>5082</v>
          </cell>
          <cell r="D87" t="str">
            <v>Rubber expansion joint for pump 50 mm dia size</v>
          </cell>
          <cell r="E87" t="str">
            <v>Flexicons</v>
          </cell>
          <cell r="F87" t="str">
            <v>Each</v>
          </cell>
          <cell r="G87">
            <v>1835</v>
          </cell>
          <cell r="H87">
            <v>0.15</v>
          </cell>
          <cell r="I87">
            <v>0.153</v>
          </cell>
          <cell r="K87">
            <v>0.02</v>
          </cell>
          <cell r="L87">
            <v>1834</v>
          </cell>
        </row>
        <row r="88">
          <cell r="A88">
            <v>5083</v>
          </cell>
          <cell r="D88" t="str">
            <v>Float Valve</v>
          </cell>
          <cell r="F88" t="str">
            <v>Each</v>
          </cell>
          <cell r="G88">
            <v>200</v>
          </cell>
          <cell r="H88">
            <v>0</v>
          </cell>
          <cell r="L88">
            <v>200</v>
          </cell>
        </row>
        <row r="89">
          <cell r="A89">
            <v>5084</v>
          </cell>
          <cell r="D89" t="str">
            <v>Floating foundation for Chilled water pumpset 1</v>
          </cell>
          <cell r="F89" t="str">
            <v>Cu Mtr</v>
          </cell>
          <cell r="G89">
            <v>2400</v>
          </cell>
          <cell r="H89">
            <v>0</v>
          </cell>
          <cell r="L89">
            <v>2400</v>
          </cell>
        </row>
        <row r="90">
          <cell r="A90">
            <v>5085</v>
          </cell>
          <cell r="D90" t="str">
            <v>Floating foundation for Chilled water pumpset 2</v>
          </cell>
          <cell r="F90" t="str">
            <v>Cu Mtr</v>
          </cell>
          <cell r="G90">
            <v>2400</v>
          </cell>
          <cell r="H90">
            <v>0</v>
          </cell>
          <cell r="L90">
            <v>2400</v>
          </cell>
        </row>
        <row r="91">
          <cell r="A91">
            <v>5086</v>
          </cell>
          <cell r="D91" t="str">
            <v>Floating foundation for Condensor pumpset 1</v>
          </cell>
          <cell r="F91" t="str">
            <v>Cu Mtr</v>
          </cell>
          <cell r="G91">
            <v>2400</v>
          </cell>
          <cell r="H91">
            <v>0</v>
          </cell>
          <cell r="L91">
            <v>2400</v>
          </cell>
        </row>
        <row r="92">
          <cell r="A92">
            <v>5087</v>
          </cell>
          <cell r="D92" t="str">
            <v>Floating foundation for Condensor pumpset 2</v>
          </cell>
          <cell r="F92" t="str">
            <v>Cu Mtr</v>
          </cell>
          <cell r="G92">
            <v>2400</v>
          </cell>
          <cell r="H92">
            <v>0</v>
          </cell>
          <cell r="L92">
            <v>2400</v>
          </cell>
        </row>
        <row r="93">
          <cell r="A93">
            <v>5088</v>
          </cell>
          <cell r="D93" t="str">
            <v>Fresh air grille with GSS frame,  Aluminium louvres with bird screen and VCD</v>
          </cell>
          <cell r="E93" t="str">
            <v>Caryaire</v>
          </cell>
          <cell r="F93" t="str">
            <v>Sq Mtr</v>
          </cell>
          <cell r="G93">
            <v>7250</v>
          </cell>
          <cell r="H93">
            <v>0.05</v>
          </cell>
          <cell r="I93">
            <v>0.16</v>
          </cell>
          <cell r="J93">
            <v>0.1</v>
          </cell>
          <cell r="K93">
            <v>0.04</v>
          </cell>
          <cell r="L93">
            <v>9140</v>
          </cell>
        </row>
        <row r="94">
          <cell r="A94">
            <v>5089</v>
          </cell>
          <cell r="D94" t="str">
            <v xml:space="preserve">FRP Induced Draft Cooling Tower 300 TR </v>
          </cell>
          <cell r="E94" t="str">
            <v>Advance</v>
          </cell>
          <cell r="F94" t="str">
            <v>Each</v>
          </cell>
          <cell r="G94">
            <v>255000</v>
          </cell>
          <cell r="H94">
            <v>0.05</v>
          </cell>
          <cell r="I94">
            <v>0</v>
          </cell>
          <cell r="J94">
            <v>0.1</v>
          </cell>
          <cell r="K94">
            <v>0.04</v>
          </cell>
          <cell r="L94">
            <v>277134.03999999998</v>
          </cell>
        </row>
        <row r="95">
          <cell r="A95">
            <v>5090</v>
          </cell>
          <cell r="B95">
            <v>10</v>
          </cell>
          <cell r="C95" t="str">
            <v>k</v>
          </cell>
          <cell r="D95" t="str">
            <v>G.M Gate Valve - 25 mm dia</v>
          </cell>
          <cell r="E95" t="str">
            <v>Leader</v>
          </cell>
          <cell r="F95" t="str">
            <v>Each</v>
          </cell>
          <cell r="G95">
            <v>577</v>
          </cell>
          <cell r="H95">
            <v>0.2</v>
          </cell>
          <cell r="J95">
            <v>0.153</v>
          </cell>
          <cell r="L95">
            <v>532</v>
          </cell>
        </row>
        <row r="96">
          <cell r="A96">
            <v>5091</v>
          </cell>
          <cell r="B96">
            <v>10</v>
          </cell>
          <cell r="C96" t="str">
            <v>j</v>
          </cell>
          <cell r="D96" t="str">
            <v>G.M Gate Valve - 50 mm dia</v>
          </cell>
          <cell r="E96" t="str">
            <v>Leader</v>
          </cell>
          <cell r="F96" t="str">
            <v>Each</v>
          </cell>
          <cell r="G96">
            <v>1520</v>
          </cell>
          <cell r="H96">
            <v>0.2</v>
          </cell>
          <cell r="J96">
            <v>0.153</v>
          </cell>
          <cell r="L96">
            <v>1402</v>
          </cell>
        </row>
        <row r="97">
          <cell r="A97">
            <v>5092</v>
          </cell>
          <cell r="D97" t="str">
            <v>Clamps for GI Drain pipe 50mm dia</v>
          </cell>
          <cell r="E97" t="str">
            <v>Fabricated</v>
          </cell>
          <cell r="F97" t="str">
            <v>Each</v>
          </cell>
          <cell r="G97">
            <v>25</v>
          </cell>
          <cell r="H97">
            <v>0</v>
          </cell>
          <cell r="L97">
            <v>25</v>
          </cell>
        </row>
        <row r="98">
          <cell r="A98">
            <v>5093</v>
          </cell>
          <cell r="D98" t="str">
            <v>GI Binding wire</v>
          </cell>
          <cell r="F98" t="str">
            <v>Kg</v>
          </cell>
          <cell r="G98">
            <v>20</v>
          </cell>
          <cell r="H98">
            <v>0</v>
          </cell>
          <cell r="L98">
            <v>20</v>
          </cell>
        </row>
        <row r="99">
          <cell r="A99">
            <v>5094</v>
          </cell>
          <cell r="D99" t="str">
            <v xml:space="preserve">GI U Channel 25mm x 50mm x 50mm x 50mm x 25mm </v>
          </cell>
          <cell r="F99" t="str">
            <v>Metre</v>
          </cell>
          <cell r="G99">
            <v>20</v>
          </cell>
          <cell r="H99">
            <v>0</v>
          </cell>
          <cell r="L99">
            <v>20</v>
          </cell>
        </row>
        <row r="100">
          <cell r="A100">
            <v>5095</v>
          </cell>
          <cell r="D100" t="str">
            <v>GI pipe 25 mm dia</v>
          </cell>
          <cell r="E100" t="str">
            <v>TATA / ITC</v>
          </cell>
          <cell r="F100" t="str">
            <v>Metre</v>
          </cell>
          <cell r="G100">
            <v>33</v>
          </cell>
          <cell r="H100">
            <v>0.2</v>
          </cell>
          <cell r="J100">
            <v>0.153</v>
          </cell>
          <cell r="L100">
            <v>30</v>
          </cell>
        </row>
        <row r="101">
          <cell r="A101">
            <v>5096</v>
          </cell>
          <cell r="D101" t="str">
            <v>GI pipe 50 mm dia</v>
          </cell>
          <cell r="E101" t="str">
            <v>TATA / ITC</v>
          </cell>
          <cell r="F101" t="str">
            <v>Metre</v>
          </cell>
          <cell r="G101">
            <v>57</v>
          </cell>
          <cell r="H101">
            <v>0.2</v>
          </cell>
          <cell r="J101">
            <v>0.153</v>
          </cell>
          <cell r="L101">
            <v>53</v>
          </cell>
        </row>
        <row r="102">
          <cell r="A102">
            <v>5097</v>
          </cell>
          <cell r="D102" t="str">
            <v xml:space="preserve">GI section 25 mm x 25 mm from 1.25 mm thick </v>
          </cell>
          <cell r="F102" t="str">
            <v>Sq Mtr</v>
          </cell>
          <cell r="G102">
            <v>120</v>
          </cell>
          <cell r="H102">
            <v>0</v>
          </cell>
          <cell r="L102">
            <v>120</v>
          </cell>
        </row>
        <row r="103">
          <cell r="A103">
            <v>5098</v>
          </cell>
          <cell r="D103" t="str">
            <v>Glass yarn reinforced aluminium tape 50 mm width</v>
          </cell>
          <cell r="E103" t="str">
            <v>UP Twiga</v>
          </cell>
          <cell r="F103" t="str">
            <v>Metre</v>
          </cell>
          <cell r="G103">
            <v>4.5</v>
          </cell>
          <cell r="H103">
            <v>0.2</v>
          </cell>
          <cell r="I103">
            <v>0.16</v>
          </cell>
          <cell r="J103">
            <v>0.153</v>
          </cell>
          <cell r="K103">
            <v>0.02</v>
          </cell>
          <cell r="L103">
            <v>5</v>
          </cell>
        </row>
        <row r="104">
          <cell r="A104">
            <v>5099</v>
          </cell>
          <cell r="D104" t="str">
            <v xml:space="preserve">GSS Sheet 0.63 mm (24 SWG) </v>
          </cell>
          <cell r="F104" t="str">
            <v>Sq Mtr</v>
          </cell>
          <cell r="G104">
            <v>18.149999999999999</v>
          </cell>
          <cell r="H104">
            <v>0</v>
          </cell>
          <cell r="L104">
            <v>18</v>
          </cell>
        </row>
        <row r="105">
          <cell r="A105">
            <v>5100</v>
          </cell>
          <cell r="D105" t="str">
            <v>GSS Sheet 0.80 mm (22 SWG)</v>
          </cell>
          <cell r="F105" t="str">
            <v>Sq Mtr</v>
          </cell>
          <cell r="G105">
            <v>22</v>
          </cell>
          <cell r="H105">
            <v>0</v>
          </cell>
          <cell r="L105">
            <v>22</v>
          </cell>
        </row>
        <row r="106">
          <cell r="A106">
            <v>5101</v>
          </cell>
          <cell r="D106" t="str">
            <v>GSS Sheet 1.00 mm (20 SWG)</v>
          </cell>
          <cell r="F106" t="str">
            <v>Sq Mtr</v>
          </cell>
          <cell r="G106">
            <v>25</v>
          </cell>
          <cell r="H106">
            <v>0</v>
          </cell>
          <cell r="L106">
            <v>25</v>
          </cell>
        </row>
        <row r="107">
          <cell r="A107">
            <v>5102</v>
          </cell>
          <cell r="D107" t="str">
            <v>GSS Sheet 1.25 mm (18 SWG)</v>
          </cell>
          <cell r="F107" t="str">
            <v>Sq Mtr</v>
          </cell>
          <cell r="G107">
            <v>30</v>
          </cell>
          <cell r="H107">
            <v>0</v>
          </cell>
          <cell r="L107">
            <v>30</v>
          </cell>
        </row>
        <row r="108">
          <cell r="A108">
            <v>5103</v>
          </cell>
          <cell r="D108" t="str">
            <v xml:space="preserve">Insulation for PVC Expansion tank of 500 Lts capacity </v>
          </cell>
          <cell r="F108" t="str">
            <v>LS</v>
          </cell>
          <cell r="G108">
            <v>1000</v>
          </cell>
          <cell r="H108">
            <v>0</v>
          </cell>
          <cell r="L108">
            <v>1000</v>
          </cell>
        </row>
        <row r="109">
          <cell r="A109">
            <v>5104</v>
          </cell>
          <cell r="D109" t="str">
            <v>Masonry Supports for the Expansion tank</v>
          </cell>
          <cell r="F109" t="str">
            <v>Job</v>
          </cell>
          <cell r="G109">
            <v>500</v>
          </cell>
          <cell r="H109">
            <v>0</v>
          </cell>
          <cell r="L109">
            <v>500</v>
          </cell>
        </row>
        <row r="110">
          <cell r="A110">
            <v>5105</v>
          </cell>
          <cell r="D110" t="str">
            <v>Insulation for Ch water Pumpset 1</v>
          </cell>
          <cell r="F110" t="str">
            <v>Lot</v>
          </cell>
          <cell r="G110">
            <v>1000</v>
          </cell>
          <cell r="H110">
            <v>0</v>
          </cell>
          <cell r="L110">
            <v>1000</v>
          </cell>
        </row>
        <row r="111">
          <cell r="A111">
            <v>5106</v>
          </cell>
          <cell r="D111" t="str">
            <v>Insulation for Ch water Pumpset 2</v>
          </cell>
          <cell r="F111" t="str">
            <v>Lot</v>
          </cell>
          <cell r="G111">
            <v>1000</v>
          </cell>
          <cell r="H111">
            <v>0</v>
          </cell>
          <cell r="L111">
            <v>1000</v>
          </cell>
        </row>
        <row r="112">
          <cell r="A112">
            <v>5107</v>
          </cell>
          <cell r="D112" t="str">
            <v>Kitchen Hoods of 14 SWG</v>
          </cell>
          <cell r="F112" t="str">
            <v>Each</v>
          </cell>
          <cell r="H112">
            <v>0</v>
          </cell>
          <cell r="L112">
            <v>0</v>
          </cell>
        </row>
        <row r="113">
          <cell r="A113">
            <v>5108</v>
          </cell>
          <cell r="D113" t="str">
            <v>Kitchen Scrubbers of 8000 CFM capacity</v>
          </cell>
          <cell r="F113" t="str">
            <v>Each</v>
          </cell>
          <cell r="H113">
            <v>0</v>
          </cell>
          <cell r="L113">
            <v>0</v>
          </cell>
        </row>
        <row r="114">
          <cell r="A114">
            <v>5109</v>
          </cell>
          <cell r="D114" t="str">
            <v>Kitec pipe 20 mm dia Model 2025</v>
          </cell>
          <cell r="E114" t="str">
            <v>Kitec</v>
          </cell>
          <cell r="F114" t="str">
            <v>Metre</v>
          </cell>
          <cell r="G114">
            <v>119</v>
          </cell>
          <cell r="H114">
            <v>0.2</v>
          </cell>
          <cell r="J114">
            <v>0.153</v>
          </cell>
          <cell r="L114">
            <v>110</v>
          </cell>
        </row>
        <row r="115">
          <cell r="A115">
            <v>5110</v>
          </cell>
          <cell r="D115" t="str">
            <v>Kitec pipe 25 mm dia Model 2532</v>
          </cell>
          <cell r="E115" t="str">
            <v>Kitec</v>
          </cell>
          <cell r="F115" t="str">
            <v>Metre</v>
          </cell>
          <cell r="G115">
            <v>163</v>
          </cell>
          <cell r="H115">
            <v>0.2</v>
          </cell>
          <cell r="J115">
            <v>0.153</v>
          </cell>
          <cell r="L115">
            <v>150</v>
          </cell>
        </row>
        <row r="116">
          <cell r="A116">
            <v>5111</v>
          </cell>
          <cell r="D116" t="str">
            <v>Masonry supports</v>
          </cell>
          <cell r="E116" t="str">
            <v>Contractor</v>
          </cell>
          <cell r="F116" t="str">
            <v>Each</v>
          </cell>
          <cell r="G116">
            <v>75</v>
          </cell>
          <cell r="H116">
            <v>0</v>
          </cell>
          <cell r="L116">
            <v>75</v>
          </cell>
        </row>
        <row r="117">
          <cell r="A117">
            <v>5112</v>
          </cell>
          <cell r="B117">
            <v>8</v>
          </cell>
          <cell r="C117" t="str">
            <v>k</v>
          </cell>
          <cell r="D117" t="str">
            <v>Motorized Butterfly Valve - 150 mm dia</v>
          </cell>
          <cell r="E117" t="str">
            <v>Siemens</v>
          </cell>
          <cell r="F117" t="str">
            <v>Each</v>
          </cell>
          <cell r="G117">
            <v>32680</v>
          </cell>
          <cell r="H117">
            <v>0.05</v>
          </cell>
          <cell r="J117">
            <v>0.153</v>
          </cell>
          <cell r="K117">
            <v>0.02</v>
          </cell>
          <cell r="L117">
            <v>36512</v>
          </cell>
        </row>
        <row r="118">
          <cell r="A118">
            <v>5113</v>
          </cell>
          <cell r="D118" t="str">
            <v xml:space="preserve">MS pipe heavy class 100 mm dia </v>
          </cell>
          <cell r="E118" t="str">
            <v>TATA / ITC</v>
          </cell>
          <cell r="F118" t="str">
            <v>Metre</v>
          </cell>
          <cell r="G118">
            <v>120</v>
          </cell>
          <cell r="H118">
            <v>0.2</v>
          </cell>
          <cell r="J118">
            <v>0.153</v>
          </cell>
          <cell r="L118">
            <v>111</v>
          </cell>
        </row>
        <row r="119">
          <cell r="A119">
            <v>5114</v>
          </cell>
          <cell r="D119" t="str">
            <v xml:space="preserve">MS pipe heavy class 125 mm dia </v>
          </cell>
          <cell r="E119" t="str">
            <v>TATA / ITC</v>
          </cell>
          <cell r="F119" t="str">
            <v>Metre</v>
          </cell>
          <cell r="G119">
            <v>155</v>
          </cell>
          <cell r="H119">
            <v>0.2</v>
          </cell>
          <cell r="J119">
            <v>0.153</v>
          </cell>
          <cell r="L119">
            <v>143</v>
          </cell>
        </row>
        <row r="120">
          <cell r="A120">
            <v>5115</v>
          </cell>
          <cell r="D120" t="str">
            <v xml:space="preserve">MS pipe heavy class 150 mm dia </v>
          </cell>
          <cell r="E120" t="str">
            <v>TATA / ITC</v>
          </cell>
          <cell r="F120" t="str">
            <v>Metre</v>
          </cell>
          <cell r="G120">
            <v>175</v>
          </cell>
          <cell r="H120">
            <v>0.2</v>
          </cell>
          <cell r="J120">
            <v>0.153</v>
          </cell>
          <cell r="L120">
            <v>161</v>
          </cell>
        </row>
        <row r="121">
          <cell r="A121">
            <v>5116</v>
          </cell>
          <cell r="D121" t="str">
            <v xml:space="preserve">MS pipe heavy class 20 mm dia </v>
          </cell>
          <cell r="E121" t="str">
            <v>TATA / ITC</v>
          </cell>
          <cell r="F121" t="str">
            <v>Metre</v>
          </cell>
          <cell r="G121">
            <v>24</v>
          </cell>
          <cell r="H121">
            <v>0.2</v>
          </cell>
          <cell r="J121">
            <v>0.153</v>
          </cell>
          <cell r="L121">
            <v>22</v>
          </cell>
        </row>
        <row r="122">
          <cell r="A122">
            <v>5117</v>
          </cell>
          <cell r="D122" t="str">
            <v xml:space="preserve">MS pipe heavy class 25 mm dia </v>
          </cell>
          <cell r="E122" t="str">
            <v>TATA / ITC</v>
          </cell>
          <cell r="F122" t="str">
            <v>Metre</v>
          </cell>
          <cell r="G122">
            <v>33</v>
          </cell>
          <cell r="H122">
            <v>0.2</v>
          </cell>
          <cell r="J122">
            <v>0.153</v>
          </cell>
          <cell r="L122">
            <v>30</v>
          </cell>
        </row>
        <row r="123">
          <cell r="A123">
            <v>5118</v>
          </cell>
          <cell r="D123" t="str">
            <v xml:space="preserve">MS pipe heavy class 32 mm dia </v>
          </cell>
          <cell r="E123" t="str">
            <v>TATA / ITC</v>
          </cell>
          <cell r="F123" t="str">
            <v>Metre</v>
          </cell>
          <cell r="G123">
            <v>42</v>
          </cell>
          <cell r="H123">
            <v>0.2</v>
          </cell>
          <cell r="J123">
            <v>0.153</v>
          </cell>
          <cell r="L123">
            <v>39</v>
          </cell>
        </row>
        <row r="124">
          <cell r="A124">
            <v>5119</v>
          </cell>
          <cell r="D124" t="str">
            <v xml:space="preserve">MS pipe heavy class 40 mm dia </v>
          </cell>
          <cell r="E124" t="str">
            <v>TATA / ITC</v>
          </cell>
          <cell r="F124" t="str">
            <v>Metre</v>
          </cell>
          <cell r="G124">
            <v>44</v>
          </cell>
          <cell r="H124">
            <v>0.2</v>
          </cell>
          <cell r="J124">
            <v>0.153</v>
          </cell>
          <cell r="L124">
            <v>41</v>
          </cell>
        </row>
        <row r="125">
          <cell r="A125">
            <v>5120</v>
          </cell>
          <cell r="D125" t="str">
            <v xml:space="preserve">MS pipe heavy class 50 mm dia </v>
          </cell>
          <cell r="E125" t="str">
            <v>TATA / ITC</v>
          </cell>
          <cell r="F125" t="str">
            <v>Metre</v>
          </cell>
          <cell r="G125">
            <v>59</v>
          </cell>
          <cell r="H125">
            <v>0.2</v>
          </cell>
          <cell r="J125">
            <v>0.153</v>
          </cell>
          <cell r="L125">
            <v>54</v>
          </cell>
        </row>
        <row r="126">
          <cell r="A126">
            <v>5121</v>
          </cell>
          <cell r="D126" t="str">
            <v xml:space="preserve">MS pipe heavy class 65 mm dia </v>
          </cell>
          <cell r="E126" t="str">
            <v>TATA / ITC</v>
          </cell>
          <cell r="F126" t="str">
            <v>Metre</v>
          </cell>
          <cell r="G126">
            <v>76</v>
          </cell>
          <cell r="H126">
            <v>0.2</v>
          </cell>
          <cell r="J126">
            <v>0.153</v>
          </cell>
          <cell r="L126">
            <v>70</v>
          </cell>
        </row>
        <row r="127">
          <cell r="A127">
            <v>5122</v>
          </cell>
          <cell r="D127" t="str">
            <v xml:space="preserve">MS pipe heavy class 80 mm dia </v>
          </cell>
          <cell r="E127" t="str">
            <v>TATA / ITC</v>
          </cell>
          <cell r="F127" t="str">
            <v>Metre</v>
          </cell>
          <cell r="G127">
            <v>98</v>
          </cell>
          <cell r="H127">
            <v>0.2</v>
          </cell>
          <cell r="J127">
            <v>0.153</v>
          </cell>
          <cell r="L127">
            <v>90</v>
          </cell>
        </row>
        <row r="128">
          <cell r="A128">
            <v>5123</v>
          </cell>
          <cell r="B128">
            <v>8</v>
          </cell>
          <cell r="C128" t="str">
            <v>ad</v>
          </cell>
          <cell r="D128" t="str">
            <v>Non Return Valve - 150 mm dia</v>
          </cell>
          <cell r="E128" t="str">
            <v>Leader</v>
          </cell>
          <cell r="F128" t="str">
            <v>Each</v>
          </cell>
          <cell r="G128">
            <v>10122</v>
          </cell>
          <cell r="H128">
            <v>0.2</v>
          </cell>
          <cell r="J128">
            <v>0.153</v>
          </cell>
          <cell r="L128">
            <v>9337</v>
          </cell>
        </row>
        <row r="129">
          <cell r="A129">
            <v>5124</v>
          </cell>
          <cell r="B129">
            <v>10</v>
          </cell>
          <cell r="C129" t="str">
            <v>I</v>
          </cell>
          <cell r="D129" t="str">
            <v>Non Return Valve - 100 mm dia</v>
          </cell>
          <cell r="E129" t="str">
            <v>Leader</v>
          </cell>
          <cell r="F129" t="str">
            <v>Each</v>
          </cell>
          <cell r="G129">
            <v>5795</v>
          </cell>
          <cell r="H129">
            <v>0.2</v>
          </cell>
          <cell r="J129">
            <v>0.153</v>
          </cell>
          <cell r="L129">
            <v>5345</v>
          </cell>
        </row>
        <row r="130">
          <cell r="A130">
            <v>5125</v>
          </cell>
          <cell r="D130" t="str">
            <v>Polythene sheet 120 gm/ sq mtr</v>
          </cell>
          <cell r="F130" t="str">
            <v>Sq Mtr</v>
          </cell>
          <cell r="G130">
            <v>10</v>
          </cell>
          <cell r="H130">
            <v>0</v>
          </cell>
          <cell r="L130">
            <v>10</v>
          </cell>
        </row>
        <row r="131">
          <cell r="A131">
            <v>5126</v>
          </cell>
          <cell r="D131" t="str">
            <v xml:space="preserve">Portable differential pressure mercury manometer </v>
          </cell>
          <cell r="F131" t="str">
            <v>Each</v>
          </cell>
          <cell r="G131">
            <v>2000</v>
          </cell>
          <cell r="H131">
            <v>0</v>
          </cell>
          <cell r="L131">
            <v>2000</v>
          </cell>
        </row>
        <row r="132">
          <cell r="A132">
            <v>5127</v>
          </cell>
          <cell r="B132">
            <v>10</v>
          </cell>
          <cell r="C132" t="str">
            <v>c</v>
          </cell>
          <cell r="D132" t="str">
            <v>Pot Strainer - 200 mm dia (For Cooling Tower)</v>
          </cell>
          <cell r="E132" t="str">
            <v>AEW</v>
          </cell>
          <cell r="F132" t="str">
            <v>Each</v>
          </cell>
          <cell r="G132">
            <v>9058.5</v>
          </cell>
          <cell r="H132">
            <v>0</v>
          </cell>
          <cell r="L132">
            <v>9059</v>
          </cell>
        </row>
        <row r="133">
          <cell r="A133">
            <v>5128</v>
          </cell>
          <cell r="D133" t="str">
            <v>Pressure Differential switch</v>
          </cell>
          <cell r="E133" t="str">
            <v>Waaree</v>
          </cell>
          <cell r="F133" t="str">
            <v>Each</v>
          </cell>
          <cell r="G133">
            <v>5400</v>
          </cell>
          <cell r="H133">
            <v>0.15</v>
          </cell>
          <cell r="K133">
            <v>0.01</v>
          </cell>
          <cell r="L133">
            <v>4636</v>
          </cell>
        </row>
        <row r="134">
          <cell r="A134">
            <v>5129</v>
          </cell>
          <cell r="D134" t="str">
            <v>PVC Tank 500 Ltrs</v>
          </cell>
          <cell r="F134" t="str">
            <v>Each</v>
          </cell>
          <cell r="G134">
            <v>2000</v>
          </cell>
          <cell r="H134">
            <v>0</v>
          </cell>
          <cell r="L134">
            <v>2000</v>
          </cell>
        </row>
        <row r="135">
          <cell r="A135">
            <v>5130</v>
          </cell>
          <cell r="D135" t="str">
            <v>Vent and drain, overflow, quickfill  connections for the PVC Expansion tank</v>
          </cell>
          <cell r="F135" t="str">
            <v>LS</v>
          </cell>
          <cell r="G135">
            <v>650</v>
          </cell>
          <cell r="H135">
            <v>0</v>
          </cell>
          <cell r="L135">
            <v>650</v>
          </cell>
        </row>
        <row r="136">
          <cell r="A136">
            <v>5131</v>
          </cell>
          <cell r="D136" t="str">
            <v>Non Return Valve - 200 mm dia</v>
          </cell>
          <cell r="E136" t="str">
            <v>Leader</v>
          </cell>
          <cell r="F136" t="str">
            <v>Each</v>
          </cell>
          <cell r="G136">
            <v>13500</v>
          </cell>
          <cell r="H136">
            <v>0</v>
          </cell>
          <cell r="L136">
            <v>13500</v>
          </cell>
        </row>
        <row r="137">
          <cell r="A137">
            <v>5132</v>
          </cell>
          <cell r="D137" t="str">
            <v>Return air diffuser Aluminium 450 mm x 450 mm</v>
          </cell>
          <cell r="E137" t="str">
            <v>Caryaire</v>
          </cell>
          <cell r="F137" t="str">
            <v>Each</v>
          </cell>
          <cell r="G137">
            <v>850</v>
          </cell>
          <cell r="H137">
            <v>0.05</v>
          </cell>
          <cell r="I137">
            <v>0.16</v>
          </cell>
          <cell r="J137">
            <v>0.1</v>
          </cell>
          <cell r="K137">
            <v>0.04</v>
          </cell>
          <cell r="L137">
            <v>1072</v>
          </cell>
        </row>
        <row r="138">
          <cell r="A138">
            <v>5133</v>
          </cell>
          <cell r="D138" t="str">
            <v>Return air grille Aluminium 150mm wide</v>
          </cell>
          <cell r="E138" t="str">
            <v>Caryaire</v>
          </cell>
          <cell r="F138" t="str">
            <v>Metre</v>
          </cell>
          <cell r="G138">
            <v>3500</v>
          </cell>
          <cell r="H138">
            <v>0.05</v>
          </cell>
          <cell r="I138">
            <v>0.16</v>
          </cell>
          <cell r="J138">
            <v>0.1</v>
          </cell>
          <cell r="K138">
            <v>0.04</v>
          </cell>
          <cell r="L138">
            <v>4412</v>
          </cell>
        </row>
        <row r="139">
          <cell r="A139">
            <v>5134</v>
          </cell>
          <cell r="D139" t="str">
            <v>Sockets GI 25 mm</v>
          </cell>
          <cell r="E139" t="str">
            <v>Shah Tubes Co</v>
          </cell>
          <cell r="F139" t="str">
            <v>Each</v>
          </cell>
          <cell r="H139">
            <v>0.2</v>
          </cell>
          <cell r="J139">
            <v>0.153</v>
          </cell>
          <cell r="L139">
            <v>0</v>
          </cell>
        </row>
        <row r="140">
          <cell r="A140">
            <v>5135</v>
          </cell>
          <cell r="D140" t="str">
            <v>Sockets GI 50 mm</v>
          </cell>
          <cell r="E140" t="str">
            <v>Shah Tubes Co</v>
          </cell>
          <cell r="F140" t="str">
            <v>Each</v>
          </cell>
          <cell r="G140">
            <v>25</v>
          </cell>
          <cell r="H140">
            <v>0.2</v>
          </cell>
          <cell r="J140">
            <v>0.153</v>
          </cell>
          <cell r="L140">
            <v>23</v>
          </cell>
        </row>
        <row r="141">
          <cell r="A141">
            <v>5136</v>
          </cell>
          <cell r="D141" t="str">
            <v>Black steel welded pipe 300mm dia , made from 6mm thick plate</v>
          </cell>
          <cell r="E141" t="str">
            <v>Jindal</v>
          </cell>
          <cell r="F141" t="str">
            <v>Metre</v>
          </cell>
          <cell r="G141">
            <v>418</v>
          </cell>
          <cell r="H141">
            <v>0.2</v>
          </cell>
          <cell r="J141">
            <v>0.153</v>
          </cell>
          <cell r="L141">
            <v>386</v>
          </cell>
        </row>
        <row r="142">
          <cell r="A142">
            <v>5137</v>
          </cell>
          <cell r="D142" t="str">
            <v>Rubber gaskets 6mm thick</v>
          </cell>
          <cell r="F142" t="str">
            <v>Each</v>
          </cell>
          <cell r="G142">
            <v>50</v>
          </cell>
          <cell r="H142">
            <v>0</v>
          </cell>
          <cell r="L142">
            <v>50</v>
          </cell>
        </row>
        <row r="143">
          <cell r="A143">
            <v>5138</v>
          </cell>
          <cell r="D143" t="str">
            <v>Supply air diffuser Aluminium with VCD 450 mm x 450 mm</v>
          </cell>
          <cell r="E143" t="str">
            <v>Caryaire</v>
          </cell>
          <cell r="F143" t="str">
            <v>Each</v>
          </cell>
          <cell r="G143">
            <v>1270</v>
          </cell>
          <cell r="H143">
            <v>0.05</v>
          </cell>
          <cell r="I143">
            <v>0.16</v>
          </cell>
          <cell r="J143">
            <v>0.1</v>
          </cell>
          <cell r="K143">
            <v>0.04</v>
          </cell>
          <cell r="L143">
            <v>1601</v>
          </cell>
        </row>
        <row r="144">
          <cell r="A144">
            <v>5139</v>
          </cell>
          <cell r="D144" t="str">
            <v>Supply air grille Aluminium with VCD 150 mm wide</v>
          </cell>
          <cell r="E144" t="str">
            <v>Caryaire</v>
          </cell>
          <cell r="F144" t="str">
            <v>Metre</v>
          </cell>
          <cell r="G144">
            <v>6250</v>
          </cell>
          <cell r="H144">
            <v>0.05</v>
          </cell>
          <cell r="I144">
            <v>0.16</v>
          </cell>
          <cell r="J144">
            <v>0.1</v>
          </cell>
          <cell r="K144">
            <v>0.04</v>
          </cell>
          <cell r="L144">
            <v>7879</v>
          </cell>
        </row>
        <row r="145">
          <cell r="A145">
            <v>5140</v>
          </cell>
          <cell r="D145" t="str">
            <v>Tees GI 25 mm</v>
          </cell>
          <cell r="E145" t="str">
            <v>ISI Marked</v>
          </cell>
          <cell r="F145" t="str">
            <v>Each</v>
          </cell>
          <cell r="G145">
            <v>36.6</v>
          </cell>
          <cell r="H145">
            <v>0.2</v>
          </cell>
          <cell r="J145">
            <v>0.153</v>
          </cell>
          <cell r="L145">
            <v>34</v>
          </cell>
        </row>
        <row r="146">
          <cell r="A146">
            <v>5141</v>
          </cell>
          <cell r="D146" t="str">
            <v>Tees GI 50 mm</v>
          </cell>
          <cell r="E146" t="str">
            <v>ISI Marked</v>
          </cell>
          <cell r="F146" t="str">
            <v>Each</v>
          </cell>
          <cell r="G146">
            <v>125.8</v>
          </cell>
          <cell r="H146">
            <v>0.2</v>
          </cell>
          <cell r="J146">
            <v>0.153</v>
          </cell>
          <cell r="L146">
            <v>116</v>
          </cell>
        </row>
        <row r="147">
          <cell r="A147">
            <v>5142</v>
          </cell>
          <cell r="D147" t="str">
            <v>Tube Axial Fan 1000 CFM</v>
          </cell>
          <cell r="E147" t="str">
            <v>Caryaire</v>
          </cell>
          <cell r="F147" t="str">
            <v>Each</v>
          </cell>
          <cell r="G147">
            <v>32000</v>
          </cell>
          <cell r="H147">
            <v>0.05</v>
          </cell>
          <cell r="I147">
            <v>0.16</v>
          </cell>
          <cell r="J147">
            <v>0.1</v>
          </cell>
          <cell r="K147">
            <v>0.04</v>
          </cell>
          <cell r="L147">
            <v>40342</v>
          </cell>
        </row>
        <row r="148">
          <cell r="A148">
            <v>5143</v>
          </cell>
          <cell r="D148" t="str">
            <v>Tube Axial Fan 4500 CFM</v>
          </cell>
          <cell r="E148" t="str">
            <v>Caryaire</v>
          </cell>
          <cell r="F148" t="str">
            <v>Each</v>
          </cell>
          <cell r="G148">
            <v>40000</v>
          </cell>
          <cell r="H148">
            <v>0.05</v>
          </cell>
          <cell r="I148">
            <v>0.16</v>
          </cell>
          <cell r="J148">
            <v>0.1</v>
          </cell>
          <cell r="K148">
            <v>0.04</v>
          </cell>
          <cell r="L148">
            <v>50428</v>
          </cell>
        </row>
        <row r="149">
          <cell r="A149">
            <v>5144</v>
          </cell>
          <cell r="D149" t="str">
            <v>Tube Axial Fan 5000 CFM</v>
          </cell>
          <cell r="E149" t="str">
            <v>Caryaire</v>
          </cell>
          <cell r="F149" t="str">
            <v>Each</v>
          </cell>
          <cell r="G149">
            <v>40000</v>
          </cell>
          <cell r="H149">
            <v>0.05</v>
          </cell>
          <cell r="I149">
            <v>0.16</v>
          </cell>
          <cell r="J149">
            <v>0.1</v>
          </cell>
          <cell r="K149">
            <v>0.04</v>
          </cell>
          <cell r="L149">
            <v>50428</v>
          </cell>
        </row>
        <row r="150">
          <cell r="A150">
            <v>5145</v>
          </cell>
          <cell r="D150" t="str">
            <v>Aluminium lugs 150 sqmm</v>
          </cell>
          <cell r="E150" t="str">
            <v>Jainson</v>
          </cell>
          <cell r="F150" t="str">
            <v>Each</v>
          </cell>
          <cell r="G150">
            <v>42.309999999999995</v>
          </cell>
          <cell r="H150">
            <v>0.3</v>
          </cell>
          <cell r="I150">
            <v>0.16</v>
          </cell>
          <cell r="J150">
            <v>0.153</v>
          </cell>
          <cell r="L150">
            <v>40</v>
          </cell>
        </row>
        <row r="151">
          <cell r="A151">
            <v>5146</v>
          </cell>
          <cell r="D151" t="str">
            <v>Ventilation fan, axial type, single speed 1000 CFM with suitable 1 ph, 230 V, 50 Hz AC motor and base frame</v>
          </cell>
          <cell r="E151" t="str">
            <v>Caryaire</v>
          </cell>
          <cell r="F151" t="str">
            <v>Each</v>
          </cell>
          <cell r="G151">
            <v>30400</v>
          </cell>
          <cell r="H151">
            <v>0.05</v>
          </cell>
          <cell r="I151">
            <v>0.16</v>
          </cell>
          <cell r="J151">
            <v>0.1</v>
          </cell>
          <cell r="K151">
            <v>0.04</v>
          </cell>
          <cell r="L151">
            <v>38325</v>
          </cell>
        </row>
        <row r="152">
          <cell r="A152">
            <v>5147</v>
          </cell>
          <cell r="D152" t="str">
            <v>Ventilation fan, axial type, single speed 4500 CFM with suitable 3 ph, 415 V, 50 Hz AC motor and base frame</v>
          </cell>
          <cell r="E152" t="str">
            <v>Caryaire</v>
          </cell>
          <cell r="F152" t="str">
            <v>Each</v>
          </cell>
          <cell r="G152">
            <v>40000</v>
          </cell>
          <cell r="H152">
            <v>0.05</v>
          </cell>
          <cell r="I152">
            <v>0.16</v>
          </cell>
          <cell r="J152">
            <v>0.1</v>
          </cell>
          <cell r="K152">
            <v>0.04</v>
          </cell>
          <cell r="L152">
            <v>50428</v>
          </cell>
        </row>
        <row r="153">
          <cell r="A153">
            <v>5148</v>
          </cell>
          <cell r="D153" t="str">
            <v>Ventilation fan, axial type, single speed 5000 CFM with suitable 3 ph, 415 V, 50 Hz AC motor and base frame</v>
          </cell>
          <cell r="E153" t="str">
            <v>Caryaire</v>
          </cell>
          <cell r="F153" t="str">
            <v>Each</v>
          </cell>
          <cell r="G153">
            <v>40000</v>
          </cell>
          <cell r="H153">
            <v>0.05</v>
          </cell>
          <cell r="I153">
            <v>0.16</v>
          </cell>
          <cell r="J153">
            <v>0.1</v>
          </cell>
          <cell r="K153">
            <v>0.04</v>
          </cell>
          <cell r="L153">
            <v>50428</v>
          </cell>
        </row>
        <row r="154">
          <cell r="A154">
            <v>5149</v>
          </cell>
          <cell r="D154" t="str">
            <v>Ventilation fan, centrifugal type, double speed 21000 / 42000 CFM with suitable 3 ph, 415 V, 50 Hz AC motor and base frame</v>
          </cell>
          <cell r="E154" t="str">
            <v>Caryaire</v>
          </cell>
          <cell r="F154" t="str">
            <v>Each</v>
          </cell>
          <cell r="G154">
            <v>154400</v>
          </cell>
          <cell r="H154">
            <v>0.05</v>
          </cell>
          <cell r="I154">
            <v>0.16</v>
          </cell>
          <cell r="J154">
            <v>0.1</v>
          </cell>
          <cell r="K154">
            <v>0.04</v>
          </cell>
          <cell r="L154">
            <v>194650</v>
          </cell>
        </row>
        <row r="155">
          <cell r="A155">
            <v>5150</v>
          </cell>
          <cell r="D155" t="str">
            <v>Ventilation fan, centrifugal type, double speed 28000 / 56000 CFM with suitable 3 ph, 415 V, 50 Hz AC motor and base frame</v>
          </cell>
          <cell r="E155" t="str">
            <v>Caryaire</v>
          </cell>
          <cell r="F155" t="str">
            <v>Each</v>
          </cell>
          <cell r="G155">
            <v>226550</v>
          </cell>
          <cell r="H155">
            <v>0.05</v>
          </cell>
          <cell r="I155">
            <v>0.16</v>
          </cell>
          <cell r="J155">
            <v>0.1</v>
          </cell>
          <cell r="K155">
            <v>0.04</v>
          </cell>
          <cell r="L155">
            <v>285609</v>
          </cell>
        </row>
        <row r="156">
          <cell r="A156">
            <v>5151</v>
          </cell>
          <cell r="D156" t="str">
            <v>Ventilation fan, centrifugal type, double speed 30000 / 60000 CFM with suitable 3 ph, 415 V, 50 Hz AC motor and base frame</v>
          </cell>
          <cell r="E156" t="str">
            <v>Caryaire</v>
          </cell>
          <cell r="F156" t="str">
            <v>Each</v>
          </cell>
          <cell r="G156">
            <v>226550</v>
          </cell>
          <cell r="H156">
            <v>0.05</v>
          </cell>
          <cell r="I156">
            <v>0.16</v>
          </cell>
          <cell r="J156">
            <v>0.1</v>
          </cell>
          <cell r="K156">
            <v>0.04</v>
          </cell>
          <cell r="L156">
            <v>285609</v>
          </cell>
        </row>
        <row r="157">
          <cell r="A157">
            <v>5152</v>
          </cell>
          <cell r="D157" t="str">
            <v>Ventilation fan, centrifugal type, double speed 33000 / 66000 CFM with suitable 3 ph, 415 V, 50 Hz AC motor and base frame</v>
          </cell>
          <cell r="E157" t="str">
            <v>Caryaire</v>
          </cell>
          <cell r="F157" t="str">
            <v>Each</v>
          </cell>
          <cell r="G157">
            <v>226550</v>
          </cell>
          <cell r="H157">
            <v>0.05</v>
          </cell>
          <cell r="I157">
            <v>0.16</v>
          </cell>
          <cell r="J157">
            <v>0.1</v>
          </cell>
          <cell r="K157">
            <v>0.04</v>
          </cell>
          <cell r="L157">
            <v>285609</v>
          </cell>
        </row>
        <row r="158">
          <cell r="A158">
            <v>5153</v>
          </cell>
          <cell r="D158" t="str">
            <v>Ventilation fan, centrifugal type, single speed 15000 CFM with suitable 3 ph, 415 V, 50 Hz AC motor and base frame</v>
          </cell>
          <cell r="E158" t="str">
            <v>Caryaire</v>
          </cell>
          <cell r="F158" t="str">
            <v>Each</v>
          </cell>
          <cell r="G158">
            <v>164000</v>
          </cell>
          <cell r="H158">
            <v>0.05</v>
          </cell>
          <cell r="I158">
            <v>0.16</v>
          </cell>
          <cell r="J158">
            <v>0.1</v>
          </cell>
          <cell r="K158">
            <v>0.04</v>
          </cell>
          <cell r="L158">
            <v>206753</v>
          </cell>
        </row>
        <row r="159">
          <cell r="A159">
            <v>5154</v>
          </cell>
          <cell r="D159" t="str">
            <v>Ventilation fan, centrifugal type, single speed 20000 CFM with suitable 3 ph, 415 V, 50 Hz AC motor and base frame</v>
          </cell>
          <cell r="E159" t="str">
            <v>Caryaire</v>
          </cell>
          <cell r="F159" t="str">
            <v>Each</v>
          </cell>
          <cell r="G159">
            <v>187500</v>
          </cell>
          <cell r="H159">
            <v>0.05</v>
          </cell>
          <cell r="I159">
            <v>0.16</v>
          </cell>
          <cell r="J159">
            <v>0.1</v>
          </cell>
          <cell r="K159">
            <v>0.04</v>
          </cell>
          <cell r="L159">
            <v>236379</v>
          </cell>
        </row>
        <row r="160">
          <cell r="A160">
            <v>5155</v>
          </cell>
          <cell r="D160" t="str">
            <v>Ventilation fan, centrifugal type, single speed 6500 CFM with suitable 3 ph, 415 V, 50 Hz AC motor and base frame</v>
          </cell>
          <cell r="E160" t="str">
            <v>Caryaire</v>
          </cell>
          <cell r="F160" t="str">
            <v>Each</v>
          </cell>
          <cell r="G160">
            <v>69000</v>
          </cell>
          <cell r="H160">
            <v>0.05</v>
          </cell>
          <cell r="I160">
            <v>0.16</v>
          </cell>
          <cell r="J160">
            <v>0.1</v>
          </cell>
          <cell r="K160">
            <v>0.04</v>
          </cell>
          <cell r="L160">
            <v>86987</v>
          </cell>
        </row>
        <row r="161">
          <cell r="A161">
            <v>5156</v>
          </cell>
          <cell r="D161" t="str">
            <v>Ventilation fan, centrifugal type, single speed 8000 CFM with suitable 3 ph, 415 V, 50 Hz AC motor and base frame</v>
          </cell>
          <cell r="E161" t="str">
            <v>Caryaire</v>
          </cell>
          <cell r="F161" t="str">
            <v>Each</v>
          </cell>
          <cell r="G161">
            <v>77400</v>
          </cell>
          <cell r="H161">
            <v>0.05</v>
          </cell>
          <cell r="I161">
            <v>0.16</v>
          </cell>
          <cell r="J161">
            <v>0.1</v>
          </cell>
          <cell r="K161">
            <v>0.04</v>
          </cell>
          <cell r="L161">
            <v>97577</v>
          </cell>
        </row>
        <row r="162">
          <cell r="A162">
            <v>5157</v>
          </cell>
          <cell r="D162" t="str">
            <v>Black steel welded pipe 200mm dia , made from 6mm thick plate</v>
          </cell>
          <cell r="E162" t="str">
            <v>Jindal</v>
          </cell>
          <cell r="F162" t="str">
            <v>Metre</v>
          </cell>
          <cell r="G162">
            <v>285</v>
          </cell>
          <cell r="H162">
            <v>0.2</v>
          </cell>
          <cell r="J162">
            <v>0.153</v>
          </cell>
          <cell r="L162">
            <v>263</v>
          </cell>
        </row>
        <row r="163">
          <cell r="A163">
            <v>5158</v>
          </cell>
          <cell r="D163" t="str">
            <v>Black steel welded pipe 250mm dia , made from 6mm thick plate</v>
          </cell>
          <cell r="E163" t="str">
            <v>Jindal</v>
          </cell>
          <cell r="F163" t="str">
            <v>Metre</v>
          </cell>
          <cell r="G163">
            <v>360</v>
          </cell>
          <cell r="H163">
            <v>0.2</v>
          </cell>
          <cell r="J163">
            <v>0.153</v>
          </cell>
          <cell r="L163">
            <v>332</v>
          </cell>
        </row>
        <row r="164">
          <cell r="A164">
            <v>5159</v>
          </cell>
          <cell r="D164" t="str">
            <v>Welding</v>
          </cell>
          <cell r="F164" t="str">
            <v>mm</v>
          </cell>
          <cell r="G164">
            <v>0.1</v>
          </cell>
          <cell r="H164">
            <v>0</v>
          </cell>
          <cell r="L164">
            <v>0.1</v>
          </cell>
        </row>
        <row r="165">
          <cell r="A165">
            <v>5160</v>
          </cell>
          <cell r="B165">
            <v>8</v>
          </cell>
          <cell r="C165" t="str">
            <v>x</v>
          </cell>
          <cell r="D165" t="str">
            <v>Y Strainer - 125 mm dia</v>
          </cell>
          <cell r="E165" t="str">
            <v>Leader</v>
          </cell>
          <cell r="F165" t="str">
            <v>Each</v>
          </cell>
          <cell r="G165">
            <v>7997</v>
          </cell>
          <cell r="H165">
            <v>0.2</v>
          </cell>
          <cell r="J165">
            <v>0.153</v>
          </cell>
          <cell r="L165">
            <v>7376</v>
          </cell>
        </row>
        <row r="166">
          <cell r="A166">
            <v>5161</v>
          </cell>
          <cell r="B166">
            <v>10</v>
          </cell>
          <cell r="C166" t="str">
            <v>h</v>
          </cell>
          <cell r="D166" t="str">
            <v>Y Strainer - 25 mm dia</v>
          </cell>
          <cell r="E166" t="str">
            <v>Leader</v>
          </cell>
          <cell r="F166" t="str">
            <v>Each</v>
          </cell>
          <cell r="G166">
            <v>1184</v>
          </cell>
          <cell r="H166">
            <v>0.2</v>
          </cell>
          <cell r="J166">
            <v>0.153</v>
          </cell>
          <cell r="L166">
            <v>1092</v>
          </cell>
        </row>
        <row r="167">
          <cell r="A167">
            <v>5162</v>
          </cell>
          <cell r="B167">
            <v>8</v>
          </cell>
          <cell r="C167" t="str">
            <v>ac</v>
          </cell>
          <cell r="D167" t="str">
            <v>Y Strainer - 32 mm dia</v>
          </cell>
          <cell r="E167" t="str">
            <v>Leader</v>
          </cell>
          <cell r="F167" t="str">
            <v>Each</v>
          </cell>
          <cell r="G167">
            <v>1500</v>
          </cell>
          <cell r="H167">
            <v>0</v>
          </cell>
          <cell r="L167">
            <v>1500</v>
          </cell>
        </row>
        <row r="168">
          <cell r="A168">
            <v>5163</v>
          </cell>
          <cell r="B168">
            <v>8</v>
          </cell>
          <cell r="C168" t="str">
            <v>ab</v>
          </cell>
          <cell r="D168" t="str">
            <v>Y Strainer - 40 mm dia</v>
          </cell>
          <cell r="E168" t="str">
            <v>Leader</v>
          </cell>
          <cell r="F168" t="str">
            <v>Each</v>
          </cell>
          <cell r="G168">
            <v>1865</v>
          </cell>
          <cell r="H168">
            <v>0.2</v>
          </cell>
          <cell r="J168">
            <v>0.153</v>
          </cell>
          <cell r="L168">
            <v>1720</v>
          </cell>
        </row>
        <row r="169">
          <cell r="A169">
            <v>5164</v>
          </cell>
          <cell r="B169">
            <v>8</v>
          </cell>
          <cell r="C169" t="str">
            <v>aa</v>
          </cell>
          <cell r="D169" t="str">
            <v>Y Strainer - 50 mm dia</v>
          </cell>
          <cell r="E169" t="str">
            <v>Leader</v>
          </cell>
          <cell r="F169" t="str">
            <v>Each</v>
          </cell>
          <cell r="G169">
            <v>3032</v>
          </cell>
          <cell r="H169">
            <v>0.2</v>
          </cell>
          <cell r="J169">
            <v>0.153</v>
          </cell>
          <cell r="L169">
            <v>2797</v>
          </cell>
        </row>
        <row r="170">
          <cell r="A170">
            <v>5165</v>
          </cell>
          <cell r="B170">
            <v>8</v>
          </cell>
          <cell r="C170" t="str">
            <v>z</v>
          </cell>
          <cell r="D170" t="str">
            <v>Y Strainer - 65 mm dia</v>
          </cell>
          <cell r="E170" t="str">
            <v>Leader</v>
          </cell>
          <cell r="F170" t="str">
            <v>Each</v>
          </cell>
          <cell r="G170">
            <v>3343</v>
          </cell>
          <cell r="H170">
            <v>0.2</v>
          </cell>
          <cell r="J170">
            <v>0.153</v>
          </cell>
          <cell r="L170">
            <v>3084</v>
          </cell>
        </row>
        <row r="171">
          <cell r="A171">
            <v>5166</v>
          </cell>
          <cell r="B171">
            <v>8</v>
          </cell>
          <cell r="C171" t="str">
            <v>y</v>
          </cell>
          <cell r="D171" t="str">
            <v>Y Strainer - 80 mm dia</v>
          </cell>
          <cell r="E171" t="str">
            <v>Leader</v>
          </cell>
          <cell r="F171" t="str">
            <v>Each</v>
          </cell>
          <cell r="G171">
            <v>4116</v>
          </cell>
          <cell r="H171">
            <v>0.2</v>
          </cell>
          <cell r="J171">
            <v>0.153</v>
          </cell>
          <cell r="L171">
            <v>3797</v>
          </cell>
        </row>
        <row r="172">
          <cell r="A172">
            <v>5167</v>
          </cell>
          <cell r="D172" t="str">
            <v>Supporting structural work for the Cooling tower</v>
          </cell>
          <cell r="E172" t="str">
            <v>Contractor</v>
          </cell>
          <cell r="F172" t="str">
            <v>LS</v>
          </cell>
          <cell r="G172">
            <v>10000</v>
          </cell>
          <cell r="H172">
            <v>0</v>
          </cell>
          <cell r="L172">
            <v>10000</v>
          </cell>
        </row>
        <row r="173">
          <cell r="A173">
            <v>5168</v>
          </cell>
          <cell r="D173" t="str">
            <v>Insulation of exposed brass parts of FCU</v>
          </cell>
          <cell r="E173" t="str">
            <v>Contractor</v>
          </cell>
          <cell r="F173" t="str">
            <v>LS</v>
          </cell>
          <cell r="G173">
            <v>100</v>
          </cell>
          <cell r="H173">
            <v>0</v>
          </cell>
          <cell r="L173">
            <v>100</v>
          </cell>
        </row>
        <row r="174">
          <cell r="A174">
            <v>5169</v>
          </cell>
          <cell r="D174" t="str">
            <v>Mounting arrangement I/c threaded steel rods, anchor fasteners etc</v>
          </cell>
          <cell r="F174" t="str">
            <v>LS</v>
          </cell>
          <cell r="G174">
            <v>200</v>
          </cell>
          <cell r="H174">
            <v>0</v>
          </cell>
          <cell r="L174">
            <v>200</v>
          </cell>
        </row>
        <row r="175">
          <cell r="A175">
            <v>5170</v>
          </cell>
          <cell r="D175" t="str">
            <v>Flange set ( Class SORF-150) suitable for 50mm dia Valve with bolts and nuts</v>
          </cell>
          <cell r="E175" t="str">
            <v>Shah Tubes Co</v>
          </cell>
          <cell r="F175" t="str">
            <v>Set</v>
          </cell>
          <cell r="G175">
            <v>250</v>
          </cell>
          <cell r="H175">
            <v>0.2</v>
          </cell>
          <cell r="J175">
            <v>0.153</v>
          </cell>
          <cell r="L175">
            <v>231</v>
          </cell>
        </row>
        <row r="176">
          <cell r="A176">
            <v>5171</v>
          </cell>
          <cell r="D176" t="str">
            <v>Flange set ( Class SORF-150 ) suitable for 65mm dia Valve with bolts and nuts</v>
          </cell>
          <cell r="E176" t="str">
            <v>Shah Tubes Co</v>
          </cell>
          <cell r="F176" t="str">
            <v>Set</v>
          </cell>
          <cell r="G176">
            <v>390</v>
          </cell>
          <cell r="H176">
            <v>0.2</v>
          </cell>
          <cell r="J176">
            <v>0.153</v>
          </cell>
          <cell r="L176">
            <v>360</v>
          </cell>
        </row>
        <row r="177">
          <cell r="A177">
            <v>5172</v>
          </cell>
          <cell r="D177" t="str">
            <v>Flange set ( Class SORF-150 ) suitable for 80mm dia Valve with bolts and nuts</v>
          </cell>
          <cell r="E177" t="str">
            <v>Shah Tubes Co</v>
          </cell>
          <cell r="F177" t="str">
            <v>Set</v>
          </cell>
          <cell r="G177">
            <v>450</v>
          </cell>
          <cell r="H177">
            <v>0.2</v>
          </cell>
          <cell r="J177">
            <v>0.153</v>
          </cell>
          <cell r="L177">
            <v>415</v>
          </cell>
        </row>
        <row r="178">
          <cell r="A178">
            <v>5173</v>
          </cell>
          <cell r="D178" t="str">
            <v>Flange set ( Class SORF-150 ) suitable for 100mm dia Valve with bolts and nuts</v>
          </cell>
          <cell r="E178" t="str">
            <v>Shah Tubes Co</v>
          </cell>
          <cell r="F178" t="str">
            <v>Set</v>
          </cell>
          <cell r="G178">
            <v>640</v>
          </cell>
          <cell r="H178">
            <v>0.2</v>
          </cell>
          <cell r="J178">
            <v>0.153</v>
          </cell>
          <cell r="L178">
            <v>590</v>
          </cell>
        </row>
        <row r="179">
          <cell r="A179">
            <v>5174</v>
          </cell>
          <cell r="D179" t="str">
            <v>Flange set ( Class SORF-150 ) suitable for 125mm dia Valve with bolts and nuts</v>
          </cell>
          <cell r="E179" t="str">
            <v>Shah Tubes Co</v>
          </cell>
          <cell r="F179" t="str">
            <v>Set</v>
          </cell>
          <cell r="G179">
            <v>840</v>
          </cell>
          <cell r="H179">
            <v>0.2</v>
          </cell>
          <cell r="J179">
            <v>0.153</v>
          </cell>
          <cell r="L179">
            <v>775</v>
          </cell>
        </row>
        <row r="180">
          <cell r="A180">
            <v>5175</v>
          </cell>
          <cell r="D180" t="str">
            <v>Flange set ( Class SORF-150 ) suitable for 150mm dia Valve with bolts and nuts</v>
          </cell>
          <cell r="E180" t="str">
            <v>Shah Tubes Co</v>
          </cell>
          <cell r="F180" t="str">
            <v>Set</v>
          </cell>
          <cell r="G180">
            <v>900</v>
          </cell>
          <cell r="H180">
            <v>0.2</v>
          </cell>
          <cell r="J180">
            <v>0.153</v>
          </cell>
          <cell r="L180">
            <v>830</v>
          </cell>
        </row>
        <row r="181">
          <cell r="A181">
            <v>5176</v>
          </cell>
          <cell r="D181" t="str">
            <v>Flange set ( Class SORF-150 ) suitable for 200mm dia Valve with bolts and nuts</v>
          </cell>
          <cell r="E181" t="str">
            <v>Shah Tubes Co</v>
          </cell>
          <cell r="F181" t="str">
            <v>Set</v>
          </cell>
          <cell r="G181">
            <v>1600</v>
          </cell>
          <cell r="H181">
            <v>0.2</v>
          </cell>
          <cell r="J181">
            <v>0.153</v>
          </cell>
          <cell r="L181">
            <v>1476</v>
          </cell>
        </row>
        <row r="182">
          <cell r="A182">
            <v>5177</v>
          </cell>
          <cell r="D182" t="str">
            <v>Flange set ( Class SORF-150 ) suitable for 250mm dia Valve with bolts and nuts</v>
          </cell>
          <cell r="E182" t="str">
            <v>Shah Tubes Co</v>
          </cell>
          <cell r="F182" t="str">
            <v>Set</v>
          </cell>
          <cell r="G182">
            <v>2420</v>
          </cell>
          <cell r="H182">
            <v>0.2</v>
          </cell>
          <cell r="J182">
            <v>0.153</v>
          </cell>
          <cell r="L182">
            <v>2232</v>
          </cell>
        </row>
        <row r="183">
          <cell r="A183">
            <v>5178</v>
          </cell>
          <cell r="D183" t="str">
            <v>Flange set ( Class SORF-150 ) suitable for 300mm dia Valve with bolts and nuts</v>
          </cell>
          <cell r="E183" t="str">
            <v>Shah Tubes Co</v>
          </cell>
          <cell r="F183" t="str">
            <v>Set</v>
          </cell>
          <cell r="G183">
            <v>3750</v>
          </cell>
          <cell r="H183">
            <v>0.2</v>
          </cell>
          <cell r="J183">
            <v>0.153</v>
          </cell>
          <cell r="L183">
            <v>3459</v>
          </cell>
        </row>
        <row r="184">
          <cell r="A184">
            <v>5179</v>
          </cell>
          <cell r="D184" t="str">
            <v>MS Angle 25 x 25 x 6 mm angle iron support</v>
          </cell>
          <cell r="F184" t="str">
            <v>Kg</v>
          </cell>
          <cell r="G184">
            <v>20</v>
          </cell>
          <cell r="H184">
            <v>0</v>
          </cell>
          <cell r="L184">
            <v>20</v>
          </cell>
        </row>
        <row r="185">
          <cell r="A185">
            <v>5180</v>
          </cell>
          <cell r="D185" t="str">
            <v>MS Angle 40 x 40 x 6 mm angle iron support</v>
          </cell>
          <cell r="F185" t="str">
            <v>Kg</v>
          </cell>
          <cell r="G185">
            <v>20</v>
          </cell>
          <cell r="H185">
            <v>0</v>
          </cell>
          <cell r="L185">
            <v>20</v>
          </cell>
        </row>
        <row r="186">
          <cell r="A186">
            <v>5181</v>
          </cell>
          <cell r="D186" t="str">
            <v>MS Angle 50 x 50 x 6 mm angle iron support</v>
          </cell>
          <cell r="F186" t="str">
            <v>Kg</v>
          </cell>
          <cell r="G186">
            <v>20</v>
          </cell>
          <cell r="H186">
            <v>0</v>
          </cell>
          <cell r="L186">
            <v>20</v>
          </cell>
        </row>
        <row r="187">
          <cell r="A187">
            <v>5182</v>
          </cell>
          <cell r="D187" t="str">
            <v>ISMC Channel 100 mm x 50 mm</v>
          </cell>
          <cell r="F187" t="str">
            <v>Kg</v>
          </cell>
          <cell r="G187">
            <v>20</v>
          </cell>
          <cell r="H187">
            <v>0</v>
          </cell>
          <cell r="L187">
            <v>20</v>
          </cell>
        </row>
        <row r="188">
          <cell r="A188">
            <v>5183</v>
          </cell>
          <cell r="D188" t="str">
            <v>Anchor Fasteners 20 x 150 mm</v>
          </cell>
          <cell r="F188" t="str">
            <v>Each</v>
          </cell>
          <cell r="G188">
            <v>33.5</v>
          </cell>
          <cell r="H188">
            <v>0.2</v>
          </cell>
          <cell r="J188">
            <v>0.15</v>
          </cell>
          <cell r="L188">
            <v>31</v>
          </cell>
        </row>
        <row r="189">
          <cell r="A189">
            <v>5184</v>
          </cell>
          <cell r="D189" t="str">
            <v>Polythene faced Hessain cloth</v>
          </cell>
          <cell r="F189" t="str">
            <v>Sq Mtr</v>
          </cell>
          <cell r="G189">
            <v>8</v>
          </cell>
          <cell r="H189">
            <v>0</v>
          </cell>
          <cell r="L189">
            <v>8</v>
          </cell>
        </row>
        <row r="190">
          <cell r="A190">
            <v>5185</v>
          </cell>
          <cell r="D190" t="str">
            <v>Balancing Valve 150 mm dia</v>
          </cell>
          <cell r="G190">
            <v>12500</v>
          </cell>
          <cell r="H190">
            <v>0</v>
          </cell>
          <cell r="L190">
            <v>12500</v>
          </cell>
        </row>
        <row r="191">
          <cell r="A191">
            <v>5186</v>
          </cell>
          <cell r="D191" t="str">
            <v>Balancing Valve 100 mm dia</v>
          </cell>
          <cell r="G191">
            <v>10500</v>
          </cell>
          <cell r="H191">
            <v>0</v>
          </cell>
          <cell r="L191">
            <v>10500</v>
          </cell>
        </row>
        <row r="192">
          <cell r="A192">
            <v>5187</v>
          </cell>
          <cell r="D192" t="str">
            <v>Insulation for the above valve / strainer etc. (above 150mm dia)</v>
          </cell>
          <cell r="F192" t="str">
            <v>LS</v>
          </cell>
          <cell r="G192">
            <v>300</v>
          </cell>
          <cell r="H192">
            <v>0</v>
          </cell>
          <cell r="L192">
            <v>300</v>
          </cell>
        </row>
        <row r="193">
          <cell r="A193">
            <v>5188</v>
          </cell>
          <cell r="D193" t="str">
            <v>Insulation for the above valve / strainer etc. (below 150mm dia)</v>
          </cell>
          <cell r="F193" t="str">
            <v>LS</v>
          </cell>
          <cell r="G193">
            <v>200</v>
          </cell>
          <cell r="H193">
            <v>0</v>
          </cell>
          <cell r="L193">
            <v>200</v>
          </cell>
        </row>
        <row r="194">
          <cell r="A194">
            <v>5189</v>
          </cell>
          <cell r="D194" t="str">
            <v>Flange set (ASTM A105) suitable for 40mm dia Valve with bolts and nuts</v>
          </cell>
          <cell r="E194" t="str">
            <v>Shah Tubes Co</v>
          </cell>
          <cell r="F194" t="str">
            <v>Set</v>
          </cell>
          <cell r="G194">
            <v>140</v>
          </cell>
          <cell r="H194">
            <v>0.2</v>
          </cell>
          <cell r="J194">
            <v>0.153</v>
          </cell>
          <cell r="L194">
            <v>129</v>
          </cell>
        </row>
        <row r="195">
          <cell r="A195">
            <v>5190</v>
          </cell>
          <cell r="D195" t="str">
            <v>Flange set (ASTM A105) suitable for 32mm dia Valve with bolts and nuts</v>
          </cell>
          <cell r="E195" t="str">
            <v>Shah Tubes Co</v>
          </cell>
          <cell r="F195" t="str">
            <v>Set</v>
          </cell>
          <cell r="G195">
            <v>130</v>
          </cell>
          <cell r="H195">
            <v>0.2</v>
          </cell>
          <cell r="J195">
            <v>0.153</v>
          </cell>
          <cell r="L195">
            <v>120</v>
          </cell>
        </row>
        <row r="196">
          <cell r="A196">
            <v>5191</v>
          </cell>
          <cell r="D196" t="str">
            <v>Flange set (ASTM A105) suitable for 25mm dia Valve with bolts and nuts</v>
          </cell>
          <cell r="E196" t="str">
            <v>Shah Tubes Co</v>
          </cell>
          <cell r="F196" t="str">
            <v>Set</v>
          </cell>
          <cell r="G196">
            <v>98</v>
          </cell>
          <cell r="H196">
            <v>0.2</v>
          </cell>
          <cell r="J196">
            <v>0.153</v>
          </cell>
          <cell r="L196">
            <v>90</v>
          </cell>
        </row>
        <row r="197">
          <cell r="A197">
            <v>5192</v>
          </cell>
          <cell r="D197" t="str">
            <v>Flange set (ASTM A105) suitable for 20mm dia Valve with bolts and nuts</v>
          </cell>
          <cell r="E197" t="str">
            <v>Shah Tubes Co</v>
          </cell>
          <cell r="F197" t="str">
            <v>Set</v>
          </cell>
          <cell r="G197">
            <v>74</v>
          </cell>
          <cell r="H197">
            <v>0.2</v>
          </cell>
          <cell r="J197">
            <v>0.153</v>
          </cell>
          <cell r="L197">
            <v>68</v>
          </cell>
        </row>
        <row r="198">
          <cell r="A198">
            <v>5193</v>
          </cell>
          <cell r="D198" t="str">
            <v>Butterfly Valve - 150 mm dia</v>
          </cell>
          <cell r="F198" t="str">
            <v>Each</v>
          </cell>
          <cell r="G198">
            <v>2721</v>
          </cell>
          <cell r="H198">
            <v>0</v>
          </cell>
          <cell r="I198">
            <v>0.1216</v>
          </cell>
          <cell r="J198">
            <v>0.1</v>
          </cell>
          <cell r="K198">
            <v>0.02</v>
          </cell>
          <cell r="L198">
            <v>3424</v>
          </cell>
        </row>
        <row r="199">
          <cell r="A199">
            <v>5194</v>
          </cell>
          <cell r="D199" t="str">
            <v>Y Strainer - 200 mm dia</v>
          </cell>
          <cell r="E199" t="str">
            <v>Leader</v>
          </cell>
          <cell r="F199" t="str">
            <v>Each</v>
          </cell>
          <cell r="G199">
            <v>16993</v>
          </cell>
          <cell r="H199">
            <v>0.2</v>
          </cell>
          <cell r="J199">
            <v>0.153</v>
          </cell>
          <cell r="L199">
            <v>15674</v>
          </cell>
        </row>
        <row r="200">
          <cell r="A200">
            <v>5195</v>
          </cell>
          <cell r="D200" t="str">
            <v>Y Strainer - 150 mm dia</v>
          </cell>
          <cell r="E200" t="str">
            <v>Leader</v>
          </cell>
          <cell r="F200" t="str">
            <v>Each</v>
          </cell>
          <cell r="G200">
            <v>12533</v>
          </cell>
          <cell r="H200">
            <v>0.2</v>
          </cell>
          <cell r="J200">
            <v>0.153</v>
          </cell>
          <cell r="L200">
            <v>11560</v>
          </cell>
        </row>
        <row r="201">
          <cell r="A201">
            <v>5196</v>
          </cell>
          <cell r="D201" t="str">
            <v>Y Strainer - 125 mm dia</v>
          </cell>
          <cell r="E201" t="str">
            <v>Leader</v>
          </cell>
          <cell r="F201" t="str">
            <v>Each</v>
          </cell>
          <cell r="G201">
            <v>7997</v>
          </cell>
          <cell r="H201">
            <v>0.2</v>
          </cell>
          <cell r="J201">
            <v>0.153</v>
          </cell>
          <cell r="L201">
            <v>7376</v>
          </cell>
        </row>
        <row r="202">
          <cell r="A202">
            <v>5197</v>
          </cell>
          <cell r="D202" t="str">
            <v>Y Strainer - 100 mm dia</v>
          </cell>
          <cell r="E202" t="str">
            <v>Prime</v>
          </cell>
          <cell r="F202" t="str">
            <v>Each</v>
          </cell>
          <cell r="G202">
            <v>5208</v>
          </cell>
          <cell r="H202">
            <v>0.2</v>
          </cell>
          <cell r="J202">
            <v>0.153</v>
          </cell>
          <cell r="L202">
            <v>4804</v>
          </cell>
        </row>
        <row r="203">
          <cell r="A203">
            <v>5198</v>
          </cell>
          <cell r="D203" t="str">
            <v>Motorized Butterfly Valve - 100 mm dia</v>
          </cell>
          <cell r="E203" t="str">
            <v>Siemens</v>
          </cell>
          <cell r="F203" t="str">
            <v>Each</v>
          </cell>
          <cell r="G203">
            <v>21930</v>
          </cell>
          <cell r="H203">
            <v>0.05</v>
          </cell>
          <cell r="K203">
            <v>0.02</v>
          </cell>
          <cell r="L203">
            <v>21250</v>
          </cell>
        </row>
        <row r="204">
          <cell r="A204">
            <v>5199</v>
          </cell>
          <cell r="D204" t="str">
            <v>Motorized 2 way - 25 mm dia</v>
          </cell>
          <cell r="E204" t="str">
            <v>Siemens</v>
          </cell>
          <cell r="F204" t="str">
            <v>Each</v>
          </cell>
          <cell r="G204">
            <v>4315</v>
          </cell>
          <cell r="H204">
            <v>0.05</v>
          </cell>
          <cell r="K204">
            <v>0.02</v>
          </cell>
          <cell r="L204">
            <v>4181</v>
          </cell>
        </row>
        <row r="205">
          <cell r="A205">
            <v>5200</v>
          </cell>
          <cell r="D205" t="str">
            <v>Motorized 2 way - 20 mm dia</v>
          </cell>
          <cell r="E205" t="str">
            <v>Siemens</v>
          </cell>
          <cell r="F205" t="str">
            <v>Each</v>
          </cell>
          <cell r="G205">
            <v>3815</v>
          </cell>
          <cell r="H205">
            <v>0.05</v>
          </cell>
          <cell r="K205">
            <v>0.02</v>
          </cell>
          <cell r="L205">
            <v>3697</v>
          </cell>
        </row>
        <row r="206">
          <cell r="A206">
            <v>5201</v>
          </cell>
          <cell r="D206" t="str">
            <v>Motorized Butterfly Valve - 200 mm dia</v>
          </cell>
          <cell r="E206" t="str">
            <v>Siemens</v>
          </cell>
          <cell r="F206" t="str">
            <v>Each</v>
          </cell>
          <cell r="G206">
            <v>45000</v>
          </cell>
          <cell r="H206">
            <v>0</v>
          </cell>
          <cell r="L206">
            <v>45000</v>
          </cell>
        </row>
        <row r="207">
          <cell r="A207">
            <v>5202</v>
          </cell>
          <cell r="D207" t="str">
            <v>Motorized 3 Way Modulating Valve - 250 mm dia</v>
          </cell>
          <cell r="F207" t="str">
            <v>Each</v>
          </cell>
          <cell r="G207">
            <v>9500</v>
          </cell>
          <cell r="H207">
            <v>0</v>
          </cell>
          <cell r="I207">
            <v>0.1216</v>
          </cell>
          <cell r="J207">
            <v>0.1</v>
          </cell>
          <cell r="K207">
            <v>0.02</v>
          </cell>
          <cell r="L207">
            <v>11955</v>
          </cell>
        </row>
        <row r="208">
          <cell r="A208">
            <v>5203</v>
          </cell>
          <cell r="D208" t="str">
            <v>Wooden frame ( for ducting work)</v>
          </cell>
          <cell r="F208" t="str">
            <v>LS</v>
          </cell>
          <cell r="G208">
            <v>60</v>
          </cell>
          <cell r="H208">
            <v>0</v>
          </cell>
          <cell r="L208">
            <v>60</v>
          </cell>
        </row>
        <row r="209">
          <cell r="A209">
            <v>5204</v>
          </cell>
          <cell r="D209" t="str">
            <v>Supply of 90 minutes rating fire damper</v>
          </cell>
          <cell r="E209" t="str">
            <v>Caryaire</v>
          </cell>
          <cell r="F209" t="str">
            <v>Sq Mtr</v>
          </cell>
          <cell r="G209">
            <v>6250</v>
          </cell>
          <cell r="H209">
            <v>0.05</v>
          </cell>
          <cell r="I209">
            <v>0.16</v>
          </cell>
          <cell r="J209">
            <v>0.1</v>
          </cell>
          <cell r="K209">
            <v>0.04</v>
          </cell>
          <cell r="L209">
            <v>7879</v>
          </cell>
        </row>
        <row r="210">
          <cell r="A210">
            <v>5205</v>
          </cell>
          <cell r="D210" t="str">
            <v>Supply of GSS frame with extruded Aluminium louvres with bird screen and damper Model AG 639 B as per schedule (Quotation from "Caryaire" 6014 / BOM / 10392 dated 19/08/2003)</v>
          </cell>
          <cell r="E210" t="str">
            <v>Caryaire</v>
          </cell>
          <cell r="F210" t="str">
            <v>Sq Mtr</v>
          </cell>
          <cell r="G210">
            <v>7250</v>
          </cell>
          <cell r="H210">
            <v>0.05</v>
          </cell>
          <cell r="I210">
            <v>0.16</v>
          </cell>
          <cell r="J210">
            <v>0.1</v>
          </cell>
          <cell r="K210">
            <v>0.04</v>
          </cell>
          <cell r="L210">
            <v>9140</v>
          </cell>
        </row>
        <row r="211">
          <cell r="A211">
            <v>5206</v>
          </cell>
          <cell r="D211" t="str">
            <v>Supply of powder coated extruded Aluminium supply air grilles 150mm wide with Volume control damper Model ANL 441 B as per schedule (Quotation from "Caryaire" 6014 / BOM / 10392 dated 19/08/2003)</v>
          </cell>
          <cell r="E211" t="str">
            <v>Caryaire</v>
          </cell>
          <cell r="F211" t="str">
            <v>Metre</v>
          </cell>
          <cell r="G211">
            <v>6250</v>
          </cell>
          <cell r="H211">
            <v>0.05</v>
          </cell>
          <cell r="I211">
            <v>0.16</v>
          </cell>
          <cell r="J211">
            <v>0.1</v>
          </cell>
          <cell r="K211">
            <v>0.04</v>
          </cell>
          <cell r="L211">
            <v>7879</v>
          </cell>
        </row>
        <row r="212">
          <cell r="A212">
            <v>5207</v>
          </cell>
          <cell r="D212" t="str">
            <v>Supply of powder coated extruded Aluminium return air grilles 150mm wide with Volume control damper Model ANL 441  as per schedule (Quotation from "Caryaire" 6014 / BOM / 10392 dated 19/08/2003)</v>
          </cell>
          <cell r="E212" t="str">
            <v>Caryaire</v>
          </cell>
          <cell r="F212" t="str">
            <v>Metre</v>
          </cell>
          <cell r="G212">
            <v>3500</v>
          </cell>
          <cell r="H212">
            <v>0.05</v>
          </cell>
          <cell r="I212">
            <v>0.16</v>
          </cell>
          <cell r="J212">
            <v>0.1</v>
          </cell>
          <cell r="K212">
            <v>0.04</v>
          </cell>
          <cell r="L212">
            <v>4412</v>
          </cell>
        </row>
        <row r="213">
          <cell r="A213">
            <v>5208</v>
          </cell>
          <cell r="D213" t="str">
            <v>Supply of square powder coated extruded Aluminium supply air diffuser 450mm x 450mm size with Volume control damper Model AS 704 B as per schedule (Quotation from "Caryaire" 6014 / BOM / 10392 dated 19/08/2003)</v>
          </cell>
          <cell r="E213" t="str">
            <v>Caryaire</v>
          </cell>
          <cell r="F213" t="str">
            <v>Each</v>
          </cell>
          <cell r="G213">
            <v>1270</v>
          </cell>
          <cell r="H213">
            <v>0.05</v>
          </cell>
          <cell r="I213">
            <v>0.16</v>
          </cell>
          <cell r="J213">
            <v>0.1</v>
          </cell>
          <cell r="K213">
            <v>0.04</v>
          </cell>
          <cell r="L213">
            <v>1601</v>
          </cell>
        </row>
        <row r="214">
          <cell r="A214">
            <v>5209</v>
          </cell>
          <cell r="D214" t="str">
            <v>Supply of square powder coated extruded Aluminium return air diffuser 450mm x 450mm size Model AS 704 as per schedule (Quotation from "Caryaire" 6014 / BOM / 10392 dated 19/08/2003)</v>
          </cell>
          <cell r="E214" t="str">
            <v>Caryaire</v>
          </cell>
          <cell r="F214" t="str">
            <v>Each</v>
          </cell>
          <cell r="G214">
            <v>850</v>
          </cell>
          <cell r="H214">
            <v>0.05</v>
          </cell>
          <cell r="I214">
            <v>0.16</v>
          </cell>
          <cell r="J214">
            <v>0.1</v>
          </cell>
          <cell r="K214">
            <v>0.04</v>
          </cell>
          <cell r="L214">
            <v>1072</v>
          </cell>
        </row>
        <row r="215">
          <cell r="A215">
            <v>5210</v>
          </cell>
          <cell r="D215" t="str">
            <v>Reinforced fibre glass tissue extra facing</v>
          </cell>
          <cell r="E215" t="str">
            <v>UP Twiga</v>
          </cell>
          <cell r="F215" t="str">
            <v>Sq Mtr</v>
          </cell>
          <cell r="G215">
            <v>30</v>
          </cell>
          <cell r="H215">
            <v>0.2</v>
          </cell>
          <cell r="I215">
            <v>0.16</v>
          </cell>
          <cell r="J215">
            <v>0.153</v>
          </cell>
          <cell r="L215">
            <v>32</v>
          </cell>
        </row>
        <row r="216">
          <cell r="A216">
            <v>5211</v>
          </cell>
          <cell r="D216" t="str">
            <v>Motorized 2 Way Modulating Valve - 25 mm dia suitable for 5 TR AHU</v>
          </cell>
          <cell r="E216" t="str">
            <v>Siemens</v>
          </cell>
          <cell r="F216" t="str">
            <v>Each</v>
          </cell>
          <cell r="G216">
            <v>7910</v>
          </cell>
          <cell r="H216">
            <v>0.05</v>
          </cell>
          <cell r="K216">
            <v>0.02</v>
          </cell>
          <cell r="L216">
            <v>7665</v>
          </cell>
        </row>
        <row r="217">
          <cell r="A217">
            <v>5212</v>
          </cell>
          <cell r="D217" t="str">
            <v>Motorized 2 Way Modulating Valve - 25 mm dia suitable for 10 TR AHU</v>
          </cell>
          <cell r="E217" t="str">
            <v>Siemens</v>
          </cell>
          <cell r="F217" t="str">
            <v>Each</v>
          </cell>
          <cell r="G217">
            <v>10310</v>
          </cell>
          <cell r="H217">
            <v>0.05</v>
          </cell>
          <cell r="K217">
            <v>0.02</v>
          </cell>
          <cell r="L217">
            <v>9990</v>
          </cell>
        </row>
        <row r="218">
          <cell r="A218">
            <v>5213</v>
          </cell>
          <cell r="D218" t="str">
            <v>Motorized 2 Way Modulating Valve - 32 mm dia suitable for 12 TR AHU</v>
          </cell>
          <cell r="E218" t="str">
            <v>Siemens</v>
          </cell>
          <cell r="F218" t="str">
            <v>Each</v>
          </cell>
          <cell r="G218">
            <v>11670</v>
          </cell>
          <cell r="H218">
            <v>0.05</v>
          </cell>
          <cell r="K218">
            <v>0.02</v>
          </cell>
          <cell r="L218">
            <v>11308</v>
          </cell>
        </row>
        <row r="219">
          <cell r="A219">
            <v>5214</v>
          </cell>
          <cell r="D219" t="str">
            <v>Motorized 2 Way Modulating Valve - 32 mm dia suitable for 15 TR AHU</v>
          </cell>
          <cell r="E219" t="str">
            <v>Siemens</v>
          </cell>
          <cell r="F219" t="str">
            <v>Each</v>
          </cell>
          <cell r="G219">
            <v>11670</v>
          </cell>
          <cell r="H219">
            <v>0.05</v>
          </cell>
          <cell r="K219">
            <v>0.02</v>
          </cell>
          <cell r="L219">
            <v>11308</v>
          </cell>
        </row>
        <row r="220">
          <cell r="A220">
            <v>5215</v>
          </cell>
          <cell r="D220" t="str">
            <v>Motorized 2 Way Modulating Valve - 40 mm dia suitable for 20 TR AHU</v>
          </cell>
          <cell r="E220" t="str">
            <v>Siemens</v>
          </cell>
          <cell r="F220" t="str">
            <v>Each</v>
          </cell>
          <cell r="G220">
            <v>13190</v>
          </cell>
          <cell r="H220">
            <v>0.05</v>
          </cell>
          <cell r="K220">
            <v>0.02</v>
          </cell>
          <cell r="L220">
            <v>12781</v>
          </cell>
        </row>
        <row r="221">
          <cell r="A221">
            <v>5216</v>
          </cell>
          <cell r="D221" t="str">
            <v>Motorized 2 Way Modulating Valve - 40 mm dia suitable for 25 TR AHU</v>
          </cell>
          <cell r="E221" t="str">
            <v>Siemens</v>
          </cell>
          <cell r="F221" t="str">
            <v>Each</v>
          </cell>
          <cell r="G221">
            <v>13190</v>
          </cell>
          <cell r="H221">
            <v>0.05</v>
          </cell>
          <cell r="K221">
            <v>0.02</v>
          </cell>
          <cell r="L221">
            <v>12781</v>
          </cell>
        </row>
        <row r="222">
          <cell r="A222">
            <v>5217</v>
          </cell>
          <cell r="D222" t="str">
            <v>Motorized 2 Way Modulating Valve - 50 mm dia suitable for 35 TR AHU</v>
          </cell>
          <cell r="E222" t="str">
            <v>Siemens</v>
          </cell>
          <cell r="F222" t="str">
            <v>Each</v>
          </cell>
          <cell r="G222">
            <v>24160</v>
          </cell>
          <cell r="H222">
            <v>0.05</v>
          </cell>
          <cell r="K222">
            <v>0.02</v>
          </cell>
          <cell r="L222">
            <v>23411</v>
          </cell>
        </row>
        <row r="223">
          <cell r="A223">
            <v>5218</v>
          </cell>
          <cell r="D223" t="str">
            <v>Fusible links, spring return actuators and control panel for operation of fire dampers with remote panel to operate and test the damper etc</v>
          </cell>
          <cell r="E223" t="str">
            <v>Caryaire</v>
          </cell>
          <cell r="F223" t="str">
            <v>Set</v>
          </cell>
          <cell r="G223">
            <v>9820</v>
          </cell>
          <cell r="H223">
            <v>0.05</v>
          </cell>
          <cell r="I223">
            <v>0.16</v>
          </cell>
          <cell r="J223">
            <v>0.1</v>
          </cell>
          <cell r="K223">
            <v>0.04</v>
          </cell>
          <cell r="L223">
            <v>12380</v>
          </cell>
        </row>
        <row r="224">
          <cell r="A224">
            <v>5219</v>
          </cell>
          <cell r="D224" t="str">
            <v>Copper Conductor Cable armoured 3 x 2.5</v>
          </cell>
          <cell r="E224" t="str">
            <v>Finolex</v>
          </cell>
          <cell r="F224" t="str">
            <v>Metre</v>
          </cell>
          <cell r="G224">
            <v>72.5</v>
          </cell>
          <cell r="H224">
            <v>0.3</v>
          </cell>
          <cell r="I224">
            <v>0.38500000000000001</v>
          </cell>
          <cell r="J224">
            <v>0.16</v>
          </cell>
          <cell r="K224">
            <v>0.153</v>
          </cell>
          <cell r="L224">
            <v>94</v>
          </cell>
        </row>
        <row r="225">
          <cell r="A225">
            <v>5220</v>
          </cell>
          <cell r="D225" t="str">
            <v>Copper Conductor Cable armoured 3 x 4.0</v>
          </cell>
          <cell r="E225" t="str">
            <v>Finolex</v>
          </cell>
          <cell r="F225" t="str">
            <v>Metre</v>
          </cell>
          <cell r="G225">
            <v>94.8</v>
          </cell>
          <cell r="H225">
            <v>0.3</v>
          </cell>
          <cell r="I225">
            <v>0.38500000000000001</v>
          </cell>
          <cell r="J225">
            <v>0.16</v>
          </cell>
          <cell r="K225">
            <v>0.153</v>
          </cell>
          <cell r="L225">
            <v>123</v>
          </cell>
        </row>
        <row r="226">
          <cell r="A226">
            <v>5221</v>
          </cell>
          <cell r="D226" t="str">
            <v>Copper Conductor Cable armoured 3 x 6.0</v>
          </cell>
          <cell r="E226" t="str">
            <v>Finolex</v>
          </cell>
          <cell r="F226" t="str">
            <v>Metre</v>
          </cell>
          <cell r="G226">
            <v>120</v>
          </cell>
          <cell r="H226">
            <v>0.3</v>
          </cell>
          <cell r="I226">
            <v>0.38500000000000001</v>
          </cell>
          <cell r="J226">
            <v>0.16</v>
          </cell>
          <cell r="K226">
            <v>0.153</v>
          </cell>
          <cell r="L226">
            <v>156</v>
          </cell>
        </row>
        <row r="227">
          <cell r="A227">
            <v>5222</v>
          </cell>
          <cell r="D227" t="str">
            <v>Copper Conductor Cable armoured 4 x 4.0</v>
          </cell>
          <cell r="E227" t="str">
            <v>Finolex</v>
          </cell>
          <cell r="F227" t="str">
            <v>Metre</v>
          </cell>
          <cell r="G227">
            <v>113.9</v>
          </cell>
          <cell r="H227">
            <v>0.3</v>
          </cell>
          <cell r="I227">
            <v>0.38500000000000001</v>
          </cell>
          <cell r="J227">
            <v>0.16</v>
          </cell>
          <cell r="K227">
            <v>0.153</v>
          </cell>
          <cell r="L227">
            <v>148</v>
          </cell>
        </row>
        <row r="228">
          <cell r="A228">
            <v>5223</v>
          </cell>
          <cell r="D228" t="str">
            <v>Copper Conductor Cable armoured 4 x 6.0</v>
          </cell>
          <cell r="E228" t="str">
            <v>Finolex</v>
          </cell>
          <cell r="F228" t="str">
            <v>Metre</v>
          </cell>
          <cell r="G228">
            <v>146.9</v>
          </cell>
          <cell r="H228">
            <v>0.3</v>
          </cell>
          <cell r="I228">
            <v>0.38500000000000001</v>
          </cell>
          <cell r="J228">
            <v>0.16</v>
          </cell>
          <cell r="K228">
            <v>0.153</v>
          </cell>
          <cell r="L228">
            <v>190</v>
          </cell>
        </row>
        <row r="229">
          <cell r="A229">
            <v>5224</v>
          </cell>
          <cell r="D229" t="str">
            <v>Aluminium Conductor Cable armoured 3.5 x 150</v>
          </cell>
          <cell r="E229" t="str">
            <v>Finolex</v>
          </cell>
          <cell r="F229" t="str">
            <v>Metre</v>
          </cell>
          <cell r="G229">
            <v>469.9</v>
          </cell>
          <cell r="H229">
            <v>0.3</v>
          </cell>
          <cell r="I229">
            <v>0.35</v>
          </cell>
          <cell r="J229">
            <v>0.16</v>
          </cell>
          <cell r="K229">
            <v>0.153</v>
          </cell>
          <cell r="L229">
            <v>594</v>
          </cell>
        </row>
        <row r="230">
          <cell r="A230">
            <v>5225</v>
          </cell>
          <cell r="D230" t="str">
            <v>Saddles</v>
          </cell>
          <cell r="F230" t="str">
            <v>Each</v>
          </cell>
          <cell r="G230">
            <v>0.5</v>
          </cell>
          <cell r="H230">
            <v>0</v>
          </cell>
          <cell r="L230">
            <v>0.5</v>
          </cell>
        </row>
        <row r="231">
          <cell r="A231">
            <v>5226</v>
          </cell>
          <cell r="D231" t="str">
            <v>Screws</v>
          </cell>
          <cell r="F231" t="str">
            <v>Each</v>
          </cell>
          <cell r="G231">
            <v>0.25</v>
          </cell>
          <cell r="H231">
            <v>0</v>
          </cell>
          <cell r="L231">
            <v>0.25</v>
          </cell>
        </row>
        <row r="232">
          <cell r="A232">
            <v>5227</v>
          </cell>
          <cell r="D232" t="str">
            <v xml:space="preserve">Bolts and nuts 16 mm x 40 mm </v>
          </cell>
          <cell r="F232" t="str">
            <v>Each</v>
          </cell>
          <cell r="G232">
            <v>2.25</v>
          </cell>
          <cell r="H232">
            <v>0</v>
          </cell>
          <cell r="L232">
            <v>2.25</v>
          </cell>
        </row>
        <row r="233">
          <cell r="A233">
            <v>5228</v>
          </cell>
          <cell r="D233" t="str">
            <v xml:space="preserve">Flat Iron 50 mm x 6 mm </v>
          </cell>
          <cell r="F233" t="str">
            <v>Kg</v>
          </cell>
          <cell r="G233">
            <v>18</v>
          </cell>
          <cell r="H233">
            <v>0</v>
          </cell>
          <cell r="L233">
            <v>18</v>
          </cell>
        </row>
        <row r="234">
          <cell r="A234">
            <v>5229</v>
          </cell>
          <cell r="D234" t="str">
            <v>Brass compression gland 3.5 x 150 sqmm</v>
          </cell>
          <cell r="E234" t="str">
            <v>Jainson</v>
          </cell>
          <cell r="F234" t="str">
            <v>Each</v>
          </cell>
          <cell r="G234">
            <v>144.75</v>
          </cell>
          <cell r="H234">
            <v>0.3</v>
          </cell>
          <cell r="I234">
            <v>0.16</v>
          </cell>
          <cell r="J234">
            <v>0.153</v>
          </cell>
          <cell r="L234">
            <v>136</v>
          </cell>
        </row>
        <row r="235">
          <cell r="A235">
            <v>5230</v>
          </cell>
          <cell r="D235" t="str">
            <v>Brass compression gland 3 x 2.5 sqmm</v>
          </cell>
          <cell r="E235" t="str">
            <v>Jainson</v>
          </cell>
          <cell r="F235" t="str">
            <v>Each</v>
          </cell>
          <cell r="G235">
            <v>10.85</v>
          </cell>
          <cell r="H235">
            <v>0.3</v>
          </cell>
          <cell r="I235">
            <v>0.16</v>
          </cell>
          <cell r="J235">
            <v>0.153</v>
          </cell>
          <cell r="L235">
            <v>10</v>
          </cell>
        </row>
        <row r="236">
          <cell r="A236">
            <v>5231</v>
          </cell>
          <cell r="D236" t="str">
            <v>Brass compression gland 3 x 4 sqmm</v>
          </cell>
          <cell r="E236" t="str">
            <v>Jainson</v>
          </cell>
          <cell r="F236" t="str">
            <v>Each</v>
          </cell>
          <cell r="G236">
            <v>12.6</v>
          </cell>
          <cell r="H236">
            <v>0.3</v>
          </cell>
          <cell r="I236">
            <v>0.16</v>
          </cell>
          <cell r="J236">
            <v>0.153</v>
          </cell>
          <cell r="L236">
            <v>12</v>
          </cell>
        </row>
        <row r="237">
          <cell r="A237">
            <v>5232</v>
          </cell>
          <cell r="D237" t="str">
            <v>Brass compression gland 3 x 6 sqmm</v>
          </cell>
          <cell r="E237" t="str">
            <v>Jainson</v>
          </cell>
          <cell r="F237" t="str">
            <v>Each</v>
          </cell>
          <cell r="G237">
            <v>12.6</v>
          </cell>
          <cell r="H237">
            <v>0.3</v>
          </cell>
          <cell r="I237">
            <v>0.16</v>
          </cell>
          <cell r="J237">
            <v>0.153</v>
          </cell>
          <cell r="L237">
            <v>12</v>
          </cell>
        </row>
        <row r="238">
          <cell r="A238">
            <v>5233</v>
          </cell>
          <cell r="D238" t="str">
            <v>Brass compression gland 4 x 4 sqmm</v>
          </cell>
          <cell r="E238" t="str">
            <v>Jainson</v>
          </cell>
          <cell r="F238" t="str">
            <v>Each</v>
          </cell>
          <cell r="G238">
            <v>17.899999999999999</v>
          </cell>
          <cell r="H238">
            <v>0.3</v>
          </cell>
          <cell r="I238">
            <v>0.16</v>
          </cell>
          <cell r="J238">
            <v>0.153</v>
          </cell>
          <cell r="L238">
            <v>17</v>
          </cell>
        </row>
        <row r="239">
          <cell r="A239">
            <v>5234</v>
          </cell>
          <cell r="D239" t="str">
            <v>Brass compression gland 4 x 6 sqmm</v>
          </cell>
          <cell r="E239" t="str">
            <v>Jainson</v>
          </cell>
          <cell r="F239" t="str">
            <v>Each</v>
          </cell>
          <cell r="G239">
            <v>17.899999999999999</v>
          </cell>
          <cell r="H239">
            <v>0.3</v>
          </cell>
          <cell r="I239">
            <v>0.16</v>
          </cell>
          <cell r="J239">
            <v>0.153</v>
          </cell>
          <cell r="L239">
            <v>17</v>
          </cell>
        </row>
        <row r="240">
          <cell r="A240">
            <v>5235</v>
          </cell>
          <cell r="D240" t="str">
            <v>Copper lugs set 3 x 2.5 sqmm</v>
          </cell>
          <cell r="E240" t="str">
            <v>Jainson</v>
          </cell>
          <cell r="F240" t="str">
            <v>Set</v>
          </cell>
          <cell r="G240">
            <v>13.559999999999999</v>
          </cell>
          <cell r="H240">
            <v>0.3</v>
          </cell>
          <cell r="I240">
            <v>0.16</v>
          </cell>
          <cell r="J240">
            <v>0.153</v>
          </cell>
          <cell r="L240">
            <v>13</v>
          </cell>
        </row>
        <row r="241">
          <cell r="A241">
            <v>5236</v>
          </cell>
          <cell r="D241" t="str">
            <v>Copper lugs set 3 x 4 sqmm</v>
          </cell>
          <cell r="E241" t="str">
            <v>Jainson</v>
          </cell>
          <cell r="F241" t="str">
            <v>Set</v>
          </cell>
          <cell r="G241">
            <v>13.559999999999999</v>
          </cell>
          <cell r="H241">
            <v>0.3</v>
          </cell>
          <cell r="I241">
            <v>0.16</v>
          </cell>
          <cell r="J241">
            <v>0.153</v>
          </cell>
          <cell r="L241">
            <v>13</v>
          </cell>
        </row>
        <row r="242">
          <cell r="A242">
            <v>5237</v>
          </cell>
          <cell r="D242" t="str">
            <v>Copper lugs set 3 x 6 sqmm</v>
          </cell>
          <cell r="E242" t="str">
            <v>Jainson</v>
          </cell>
          <cell r="F242" t="str">
            <v>Set</v>
          </cell>
          <cell r="G242">
            <v>13.950000000000001</v>
          </cell>
          <cell r="H242">
            <v>0.3</v>
          </cell>
          <cell r="I242">
            <v>0.16</v>
          </cell>
          <cell r="J242">
            <v>0.153</v>
          </cell>
          <cell r="L242">
            <v>13</v>
          </cell>
        </row>
        <row r="243">
          <cell r="A243">
            <v>5238</v>
          </cell>
          <cell r="D243" t="str">
            <v>Copper lugs set 4 x 4 sqmm</v>
          </cell>
          <cell r="E243" t="str">
            <v>Jainson</v>
          </cell>
          <cell r="F243" t="str">
            <v>Set</v>
          </cell>
          <cell r="G243">
            <v>18.079999999999998</v>
          </cell>
          <cell r="H243">
            <v>0.3</v>
          </cell>
          <cell r="I243">
            <v>0.16</v>
          </cell>
          <cell r="J243">
            <v>0.153</v>
          </cell>
          <cell r="L243">
            <v>17</v>
          </cell>
        </row>
        <row r="244">
          <cell r="A244">
            <v>5239</v>
          </cell>
          <cell r="D244" t="str">
            <v>Copper lugs set 4 x 6 sqmm</v>
          </cell>
          <cell r="E244" t="str">
            <v>Jainson</v>
          </cell>
          <cell r="F244" t="str">
            <v>Set</v>
          </cell>
          <cell r="G244">
            <v>18.600000000000001</v>
          </cell>
          <cell r="H244">
            <v>0.3</v>
          </cell>
          <cell r="I244">
            <v>0.16</v>
          </cell>
          <cell r="J244">
            <v>0.153</v>
          </cell>
          <cell r="L244">
            <v>17</v>
          </cell>
        </row>
        <row r="245">
          <cell r="A245">
            <v>5240</v>
          </cell>
          <cell r="D245" t="str">
            <v>Copper pipe 15 mm o/d x 0.7 m thick</v>
          </cell>
          <cell r="E245" t="str">
            <v>VSM</v>
          </cell>
          <cell r="F245" t="str">
            <v>Metre</v>
          </cell>
          <cell r="G245">
            <v>59.055118110236215</v>
          </cell>
          <cell r="H245">
            <v>0.05</v>
          </cell>
          <cell r="J245">
            <v>5.0000000000000001E-3</v>
          </cell>
          <cell r="K245">
            <v>0.02</v>
          </cell>
          <cell r="L245">
            <v>58</v>
          </cell>
        </row>
        <row r="246">
          <cell r="A246">
            <v>5241</v>
          </cell>
          <cell r="D246" t="str">
            <v>Copper pipe 28 mm o/d x 0.9 m thick</v>
          </cell>
          <cell r="E246" t="str">
            <v>VSM</v>
          </cell>
          <cell r="F246" t="str">
            <v>Metre</v>
          </cell>
          <cell r="G246">
            <v>135.82677165354329</v>
          </cell>
          <cell r="H246">
            <v>0.05</v>
          </cell>
          <cell r="J246">
            <v>5.0000000000000001E-3</v>
          </cell>
          <cell r="K246">
            <v>0.02</v>
          </cell>
          <cell r="L246">
            <v>132</v>
          </cell>
        </row>
        <row r="247">
          <cell r="A247">
            <v>5242</v>
          </cell>
          <cell r="D247" t="str">
            <v>Supports for copper pipe</v>
          </cell>
          <cell r="E247" t="str">
            <v>Contractor</v>
          </cell>
          <cell r="F247" t="str">
            <v>Set</v>
          </cell>
          <cell r="G247">
            <v>25</v>
          </cell>
          <cell r="H247">
            <v>0</v>
          </cell>
          <cell r="L247">
            <v>25</v>
          </cell>
        </row>
        <row r="248">
          <cell r="A248">
            <v>5243</v>
          </cell>
          <cell r="D248" t="str">
            <v>Elastomeric insulation for 15mm o/d pipe, 25mm thick</v>
          </cell>
          <cell r="E248" t="str">
            <v>Armacell Insulation</v>
          </cell>
          <cell r="F248" t="str">
            <v>Metre</v>
          </cell>
          <cell r="G248">
            <v>142.30000000000001</v>
          </cell>
          <cell r="H248">
            <v>0.2</v>
          </cell>
          <cell r="I248">
            <v>0.01</v>
          </cell>
          <cell r="J248">
            <v>0.153</v>
          </cell>
          <cell r="K248">
            <v>0.02</v>
          </cell>
          <cell r="L248">
            <v>135</v>
          </cell>
        </row>
        <row r="249">
          <cell r="A249">
            <v>5245</v>
          </cell>
          <cell r="D249" t="str">
            <v>Elastomeric insulation for 28mm o/d pipe, 25mm thick</v>
          </cell>
          <cell r="E249" t="str">
            <v>Armacell Insulation</v>
          </cell>
          <cell r="F249" t="str">
            <v>Metre</v>
          </cell>
          <cell r="G249">
            <v>172.3</v>
          </cell>
          <cell r="H249">
            <v>0.2</v>
          </cell>
          <cell r="I249">
            <v>0.01</v>
          </cell>
          <cell r="J249">
            <v>0.153</v>
          </cell>
          <cell r="K249">
            <v>0.02</v>
          </cell>
          <cell r="L249">
            <v>164</v>
          </cell>
        </row>
        <row r="250">
          <cell r="A250">
            <v>5246</v>
          </cell>
          <cell r="D250" t="str">
            <v>Fibreglass insulation 40 mm thick, 32 Kg / CuM dense</v>
          </cell>
          <cell r="E250" t="str">
            <v>UP Twiga</v>
          </cell>
          <cell r="F250" t="str">
            <v>Sq Mtr</v>
          </cell>
          <cell r="G250">
            <v>146.5</v>
          </cell>
          <cell r="H250">
            <v>0.2</v>
          </cell>
          <cell r="I250">
            <v>0.16</v>
          </cell>
          <cell r="J250">
            <v>0.153</v>
          </cell>
          <cell r="K250">
            <v>0.02</v>
          </cell>
          <cell r="L250">
            <v>160</v>
          </cell>
        </row>
        <row r="251">
          <cell r="A251">
            <v>5247</v>
          </cell>
          <cell r="D251" t="str">
            <v>Copper Brazing</v>
          </cell>
          <cell r="F251" t="str">
            <v>mm</v>
          </cell>
          <cell r="G251">
            <v>0.1</v>
          </cell>
          <cell r="H251">
            <v>0</v>
          </cell>
          <cell r="L251">
            <v>0.1</v>
          </cell>
        </row>
        <row r="252">
          <cell r="A252">
            <v>5248</v>
          </cell>
          <cell r="D252" t="str">
            <v>Roof Extractor, axial type, single speed 1000 CFM with suitable 3 ph, 400 V, 50 Hz AC motor and base frame</v>
          </cell>
          <cell r="E252" t="str">
            <v>Caryaire</v>
          </cell>
          <cell r="F252" t="str">
            <v>Set</v>
          </cell>
          <cell r="G252">
            <v>41000</v>
          </cell>
          <cell r="H252">
            <v>0.05</v>
          </cell>
          <cell r="I252">
            <v>0.16</v>
          </cell>
          <cell r="J252">
            <v>0.1</v>
          </cell>
          <cell r="K252">
            <v>0.04</v>
          </cell>
          <cell r="L252">
            <v>56688</v>
          </cell>
        </row>
        <row r="253">
          <cell r="A253">
            <v>5249</v>
          </cell>
          <cell r="D253" t="str">
            <v>Roof Extractor, axial type, single speed 1500 CFM with suitable 3 ph, 400 V, 50 Hz AC motor and base frame</v>
          </cell>
          <cell r="E253" t="str">
            <v>Caryaire</v>
          </cell>
          <cell r="F253" t="str">
            <v>Set</v>
          </cell>
          <cell r="G253">
            <v>49000</v>
          </cell>
          <cell r="H253">
            <v>0.05</v>
          </cell>
          <cell r="I253">
            <v>0.16</v>
          </cell>
          <cell r="J253">
            <v>0.1</v>
          </cell>
          <cell r="K253">
            <v>0.04</v>
          </cell>
          <cell r="L253">
            <v>66774</v>
          </cell>
        </row>
        <row r="254">
          <cell r="A254">
            <v>5250</v>
          </cell>
          <cell r="D254" t="str">
            <v>Roof Extractor, axial type, single speed 1000 CFM with suitable 3 ph, 400 V, 50 Hz AC motor and base frame</v>
          </cell>
          <cell r="E254" t="str">
            <v>ebm NADI</v>
          </cell>
          <cell r="F254" t="str">
            <v>Set</v>
          </cell>
          <cell r="G254">
            <v>20640</v>
          </cell>
          <cell r="H254">
            <v>0.05</v>
          </cell>
          <cell r="I254">
            <v>0.16</v>
          </cell>
          <cell r="J254">
            <v>0.126</v>
          </cell>
          <cell r="K254">
            <v>0.04</v>
          </cell>
          <cell r="L254">
            <v>31636</v>
          </cell>
        </row>
        <row r="255">
          <cell r="A255">
            <v>5251</v>
          </cell>
          <cell r="D255" t="str">
            <v>Roof Extractor, axial type, single speed 1500 CFM with suitable 3 ph, 400 V, 50 Hz AC motor and base frame</v>
          </cell>
          <cell r="E255" t="str">
            <v>ebm NADI</v>
          </cell>
          <cell r="F255" t="str">
            <v>Set</v>
          </cell>
          <cell r="G255">
            <v>21700</v>
          </cell>
          <cell r="H255">
            <v>0.05</v>
          </cell>
          <cell r="I255">
            <v>0.16</v>
          </cell>
          <cell r="J255">
            <v>0.126</v>
          </cell>
          <cell r="K255">
            <v>0.04</v>
          </cell>
          <cell r="L255">
            <v>33004</v>
          </cell>
        </row>
        <row r="256">
          <cell r="A256">
            <v>5252</v>
          </cell>
          <cell r="D256" t="str">
            <v>Ventilation fan, axial type, single speed 2000 CFM with suitable 3 ph, 415 V, 50 Hz AC motor and base frame</v>
          </cell>
          <cell r="E256" t="str">
            <v>Caryaire</v>
          </cell>
          <cell r="F256" t="str">
            <v>Set</v>
          </cell>
          <cell r="G256">
            <v>32000</v>
          </cell>
          <cell r="H256">
            <v>0</v>
          </cell>
          <cell r="I256">
            <v>0.16</v>
          </cell>
          <cell r="J256">
            <v>0.1</v>
          </cell>
          <cell r="K256">
            <v>0.04</v>
          </cell>
          <cell r="L256">
            <v>47465</v>
          </cell>
        </row>
        <row r="257">
          <cell r="A257">
            <v>5253</v>
          </cell>
          <cell r="D257" t="str">
            <v>Ventilation fan, axial type, single speed 2000 CFM with suitable 3 ph, 415 V, 50 Hz AC motor and base frame</v>
          </cell>
          <cell r="E257" t="str">
            <v>ebm NADI</v>
          </cell>
          <cell r="F257" t="str">
            <v>Set</v>
          </cell>
          <cell r="G257">
            <v>15330</v>
          </cell>
          <cell r="H257">
            <v>0</v>
          </cell>
          <cell r="I257">
            <v>0.16</v>
          </cell>
          <cell r="J257">
            <v>0.126</v>
          </cell>
          <cell r="K257">
            <v>0.04</v>
          </cell>
          <cell r="L257">
            <v>25824</v>
          </cell>
        </row>
        <row r="258">
          <cell r="A258">
            <v>5254</v>
          </cell>
          <cell r="D258" t="str">
            <v>Motorized 2 Way Modulating Valve - 50 mm dia suitable for 30 TR AHU</v>
          </cell>
          <cell r="E258" t="str">
            <v>Siemens</v>
          </cell>
          <cell r="F258" t="str">
            <v>Each</v>
          </cell>
          <cell r="G258">
            <v>24160</v>
          </cell>
          <cell r="H258">
            <v>0.05</v>
          </cell>
          <cell r="K258">
            <v>0.02</v>
          </cell>
          <cell r="L258">
            <v>23411</v>
          </cell>
        </row>
        <row r="259">
          <cell r="A259">
            <v>5255</v>
          </cell>
          <cell r="D259" t="str">
            <v>Fibreglass insulation 12 mm thick, 48 Kg / CuM dense</v>
          </cell>
          <cell r="E259" t="str">
            <v>UP Twiga</v>
          </cell>
          <cell r="F259" t="str">
            <v>Sq Mtr</v>
          </cell>
          <cell r="G259">
            <v>73</v>
          </cell>
          <cell r="H259">
            <v>0.2</v>
          </cell>
          <cell r="I259">
            <v>0.16</v>
          </cell>
          <cell r="J259">
            <v>0.153</v>
          </cell>
          <cell r="K259">
            <v>0.02</v>
          </cell>
          <cell r="L259">
            <v>80</v>
          </cell>
        </row>
        <row r="260">
          <cell r="A260">
            <v>5256</v>
          </cell>
          <cell r="D260" t="str">
            <v>Fibreglass insulation 50 mm thick, 48 Kg / CuM dense</v>
          </cell>
          <cell r="E260" t="str">
            <v>UP Twiga</v>
          </cell>
          <cell r="F260" t="str">
            <v>Sq Mtr</v>
          </cell>
          <cell r="G260">
            <v>251</v>
          </cell>
          <cell r="H260">
            <v>0.2</v>
          </cell>
          <cell r="I260">
            <v>0.16</v>
          </cell>
          <cell r="J260">
            <v>0.153</v>
          </cell>
          <cell r="K260">
            <v>0.02</v>
          </cell>
          <cell r="L260">
            <v>274</v>
          </cell>
        </row>
        <row r="261">
          <cell r="A261">
            <v>5257</v>
          </cell>
          <cell r="D261" t="str">
            <v xml:space="preserve">Aluminium perforated sheet 0.8 mm thick </v>
          </cell>
          <cell r="G261">
            <v>18</v>
          </cell>
          <cell r="H261">
            <v>0</v>
          </cell>
          <cell r="L261">
            <v>18</v>
          </cell>
        </row>
        <row r="262">
          <cell r="A262">
            <v>5258</v>
          </cell>
          <cell r="D262" t="str">
            <v>Aluminium Conductor Cable armoured 3.5 x 300</v>
          </cell>
          <cell r="E262" t="str">
            <v>Finolex</v>
          </cell>
          <cell r="F262" t="str">
            <v>Metre</v>
          </cell>
          <cell r="G262">
            <v>913</v>
          </cell>
          <cell r="H262">
            <v>0.3</v>
          </cell>
          <cell r="I262">
            <v>0.35</v>
          </cell>
          <cell r="J262">
            <v>0.16</v>
          </cell>
          <cell r="K262">
            <v>0.153</v>
          </cell>
          <cell r="L262">
            <v>1154</v>
          </cell>
        </row>
        <row r="263">
          <cell r="A263">
            <v>5259</v>
          </cell>
          <cell r="D263" t="str">
            <v>Brass compression gland 3.5 x 300 sqmm</v>
          </cell>
          <cell r="E263" t="str">
            <v>Jainson</v>
          </cell>
          <cell r="F263" t="str">
            <v>Each</v>
          </cell>
          <cell r="G263">
            <v>194.4</v>
          </cell>
          <cell r="H263">
            <v>0.3</v>
          </cell>
          <cell r="I263">
            <v>0.16</v>
          </cell>
          <cell r="J263">
            <v>0.153</v>
          </cell>
          <cell r="L263">
            <v>182</v>
          </cell>
        </row>
        <row r="264">
          <cell r="A264">
            <v>5260</v>
          </cell>
          <cell r="D264" t="str">
            <v>Aluminium lugs 300 sqmm</v>
          </cell>
          <cell r="E264" t="str">
            <v>Jainson</v>
          </cell>
          <cell r="F264" t="str">
            <v>Each</v>
          </cell>
          <cell r="G264">
            <v>120.99</v>
          </cell>
          <cell r="H264">
            <v>0.3</v>
          </cell>
          <cell r="I264">
            <v>0.16</v>
          </cell>
          <cell r="J264">
            <v>0.153</v>
          </cell>
          <cell r="L264">
            <v>113</v>
          </cell>
        </row>
        <row r="265">
          <cell r="A265">
            <v>5261</v>
          </cell>
          <cell r="D265" t="str">
            <v>Fittings for 15mm dia copper pipe like elbows / tees / bends etc</v>
          </cell>
          <cell r="F265" t="str">
            <v>Lot</v>
          </cell>
          <cell r="G265">
            <v>35.433070866141726</v>
          </cell>
          <cell r="H265">
            <v>0.05</v>
          </cell>
          <cell r="J265">
            <v>5.0000000000000001E-3</v>
          </cell>
          <cell r="K265">
            <v>0.02</v>
          </cell>
          <cell r="L265">
            <v>35</v>
          </cell>
        </row>
        <row r="266">
          <cell r="A266">
            <v>5262</v>
          </cell>
          <cell r="D266" t="str">
            <v>Fittings for 28mm dia copper pipe like elbows / tees / bends etc</v>
          </cell>
          <cell r="F266" t="str">
            <v>Lot</v>
          </cell>
          <cell r="G266">
            <v>81.496062992125971</v>
          </cell>
          <cell r="H266">
            <v>0.05</v>
          </cell>
          <cell r="J266">
            <v>5.0000000000000001E-3</v>
          </cell>
          <cell r="K266">
            <v>0.02</v>
          </cell>
          <cell r="L266">
            <v>79</v>
          </cell>
        </row>
        <row r="267">
          <cell r="A267">
            <v>5345</v>
          </cell>
        </row>
        <row r="268">
          <cell r="A268">
            <v>5346</v>
          </cell>
          <cell r="D268" t="str">
            <v>Ventilation fan, axial type, single speed 1000 CFM with suitable 1 ph, 230 V, 50 Hz AC motor and base frame</v>
          </cell>
          <cell r="E268" t="str">
            <v>ebm NADI</v>
          </cell>
          <cell r="F268" t="str">
            <v>Each</v>
          </cell>
          <cell r="G268">
            <v>15330</v>
          </cell>
          <cell r="H268">
            <v>0.05</v>
          </cell>
          <cell r="I268">
            <v>0.16</v>
          </cell>
          <cell r="J268">
            <v>0.126</v>
          </cell>
          <cell r="K268">
            <v>0.06</v>
          </cell>
          <cell r="L268">
            <v>20164</v>
          </cell>
        </row>
        <row r="269">
          <cell r="A269">
            <v>5347</v>
          </cell>
          <cell r="D269" t="str">
            <v>Ventilation fan, axial type, single speed 4500 CFM with suitable 3 ph, 415 V, 50 Hz AC motor and base frame</v>
          </cell>
          <cell r="E269" t="str">
            <v>ebm NADI</v>
          </cell>
          <cell r="F269" t="str">
            <v>Each</v>
          </cell>
          <cell r="G269">
            <v>17530</v>
          </cell>
          <cell r="H269">
            <v>0.05</v>
          </cell>
          <cell r="I269">
            <v>0.16</v>
          </cell>
          <cell r="J269">
            <v>0.126</v>
          </cell>
          <cell r="K269">
            <v>0.06</v>
          </cell>
          <cell r="L269">
            <v>23057</v>
          </cell>
        </row>
        <row r="270">
          <cell r="A270">
            <v>5348</v>
          </cell>
          <cell r="D270" t="str">
            <v>Ventilation fan, axial type, single speed 5000 CFM with suitable 3 ph, 415 V, 50 Hz AC motor and base frame</v>
          </cell>
          <cell r="E270" t="str">
            <v>ebm NADI</v>
          </cell>
          <cell r="F270" t="str">
            <v>Each</v>
          </cell>
          <cell r="G270">
            <v>17680</v>
          </cell>
          <cell r="H270">
            <v>0.05</v>
          </cell>
          <cell r="I270">
            <v>0.16</v>
          </cell>
          <cell r="J270">
            <v>0.126</v>
          </cell>
          <cell r="K270">
            <v>0.06</v>
          </cell>
          <cell r="L270">
            <v>23255</v>
          </cell>
        </row>
        <row r="271">
          <cell r="A271">
            <v>5349</v>
          </cell>
          <cell r="D271" t="str">
            <v>Ventilation fan, centrifugal type, double speed 21000 / 42000 CFM with suitable 3 ph, 415 V, 50 Hz AC motor and base frame</v>
          </cell>
          <cell r="E271" t="str">
            <v>ebm NADI</v>
          </cell>
          <cell r="F271" t="str">
            <v>Each</v>
          </cell>
          <cell r="G271">
            <v>165030</v>
          </cell>
          <cell r="H271">
            <v>0.05</v>
          </cell>
          <cell r="I271">
            <v>0.16</v>
          </cell>
          <cell r="J271">
            <v>0.126</v>
          </cell>
          <cell r="K271">
            <v>0.06</v>
          </cell>
          <cell r="L271">
            <v>217064</v>
          </cell>
        </row>
        <row r="272">
          <cell r="A272">
            <v>5350</v>
          </cell>
          <cell r="D272" t="str">
            <v>Ventilation fan, centrifugal type, double speed 28000 / 56000 CFM with suitable 3 ph, 415 V, 50 Hz AC motor and base frame</v>
          </cell>
          <cell r="E272" t="str">
            <v>ebm NADI</v>
          </cell>
          <cell r="F272" t="str">
            <v>Each</v>
          </cell>
          <cell r="G272">
            <v>265295</v>
          </cell>
          <cell r="H272">
            <v>0.05</v>
          </cell>
          <cell r="I272">
            <v>0.16</v>
          </cell>
          <cell r="J272">
            <v>0.126</v>
          </cell>
          <cell r="K272">
            <v>0.06</v>
          </cell>
          <cell r="L272">
            <v>348943</v>
          </cell>
        </row>
        <row r="273">
          <cell r="A273">
            <v>5351</v>
          </cell>
          <cell r="D273" t="str">
            <v>Ventilation fan, centrifugal type, double speed 30000 / 60000 CFM with suitable 3 ph, 415 V, 50 Hz AC motor and base frame</v>
          </cell>
          <cell r="E273" t="str">
            <v>ebm NADI</v>
          </cell>
          <cell r="F273" t="str">
            <v>Each</v>
          </cell>
          <cell r="G273">
            <v>265295</v>
          </cell>
          <cell r="H273">
            <v>0.05</v>
          </cell>
          <cell r="I273">
            <v>0.16</v>
          </cell>
          <cell r="J273">
            <v>0.126</v>
          </cell>
          <cell r="K273">
            <v>0.06</v>
          </cell>
          <cell r="L273">
            <v>348943</v>
          </cell>
        </row>
        <row r="274">
          <cell r="A274">
            <v>5352</v>
          </cell>
          <cell r="D274" t="str">
            <v>Ventilation fan, centrifugal type, double speed 33000 / 66000 CFM with suitable 3 ph, 415 V, 50 Hz AC motor and base frame</v>
          </cell>
          <cell r="E274" t="str">
            <v>ebm NADI</v>
          </cell>
          <cell r="F274" t="str">
            <v>Each</v>
          </cell>
          <cell r="G274">
            <v>265295</v>
          </cell>
          <cell r="H274">
            <v>0.05</v>
          </cell>
          <cell r="I274">
            <v>0.16</v>
          </cell>
          <cell r="J274">
            <v>0.126</v>
          </cell>
          <cell r="K274">
            <v>0.06</v>
          </cell>
          <cell r="L274">
            <v>348943</v>
          </cell>
        </row>
        <row r="275">
          <cell r="A275">
            <v>5353</v>
          </cell>
          <cell r="D275" t="str">
            <v>Ventilation fan, centrifugal type, single speed 15000 CFM with suitable 3 ph, 415 V, 50 Hz AC motor and base frame</v>
          </cell>
          <cell r="E275" t="str">
            <v>ebm NADI</v>
          </cell>
          <cell r="F275" t="str">
            <v>Each</v>
          </cell>
          <cell r="G275">
            <v>70860</v>
          </cell>
          <cell r="H275">
            <v>0.05</v>
          </cell>
          <cell r="I275">
            <v>0.16</v>
          </cell>
          <cell r="J275">
            <v>0.126</v>
          </cell>
          <cell r="K275">
            <v>0.06</v>
          </cell>
          <cell r="L275">
            <v>93202</v>
          </cell>
        </row>
        <row r="276">
          <cell r="A276">
            <v>5354</v>
          </cell>
          <cell r="D276" t="str">
            <v>Ventilation fan, centrifugal type, single speed 20000 CFM with suitable 3 ph, 415 V, 50 Hz AC motor and base frame</v>
          </cell>
          <cell r="E276" t="str">
            <v>ebm NADI</v>
          </cell>
          <cell r="F276" t="str">
            <v>Each</v>
          </cell>
          <cell r="G276">
            <v>83660</v>
          </cell>
          <cell r="H276">
            <v>0.05</v>
          </cell>
          <cell r="I276">
            <v>0.16</v>
          </cell>
          <cell r="J276">
            <v>0.126</v>
          </cell>
          <cell r="K276">
            <v>0.06</v>
          </cell>
          <cell r="L276">
            <v>110038</v>
          </cell>
        </row>
        <row r="277">
          <cell r="A277">
            <v>5355</v>
          </cell>
          <cell r="D277" t="str">
            <v>Ventilation fan, centrifugal type, single speed 6500 CFM with suitable 3 ph, 415 V, 50 Hz AC motor and base frame</v>
          </cell>
          <cell r="E277" t="str">
            <v>ebm NADI</v>
          </cell>
          <cell r="F277" t="str">
            <v>Each</v>
          </cell>
          <cell r="G277">
            <v>44115</v>
          </cell>
          <cell r="H277">
            <v>0.05</v>
          </cell>
          <cell r="I277">
            <v>0.16</v>
          </cell>
          <cell r="J277">
            <v>0.126</v>
          </cell>
          <cell r="K277">
            <v>0.06</v>
          </cell>
          <cell r="L277">
            <v>58025</v>
          </cell>
        </row>
        <row r="278">
          <cell r="A278">
            <v>5356</v>
          </cell>
          <cell r="D278" t="str">
            <v>Ventilation fan, centrifugal type, single speed 8000 CFM with suitable 3 ph, 415 V, 50 Hz AC motor and base frame</v>
          </cell>
          <cell r="E278" t="str">
            <v>ebm NADI</v>
          </cell>
          <cell r="F278" t="str">
            <v>Each</v>
          </cell>
          <cell r="G278">
            <v>50750</v>
          </cell>
          <cell r="H278">
            <v>0.05</v>
          </cell>
          <cell r="I278">
            <v>0.16</v>
          </cell>
          <cell r="J278">
            <v>0.126</v>
          </cell>
          <cell r="K278">
            <v>0.06</v>
          </cell>
          <cell r="L278">
            <v>66752</v>
          </cell>
        </row>
        <row r="279">
          <cell r="A279">
            <v>5357</v>
          </cell>
          <cell r="D279" t="str">
            <v>AHU double skinned with 40kg/sqcm PUF - 10 TR</v>
          </cell>
          <cell r="E279" t="str">
            <v>Voltas</v>
          </cell>
          <cell r="F279" t="str">
            <v>Job</v>
          </cell>
          <cell r="G279">
            <v>192012</v>
          </cell>
          <cell r="H279">
            <v>0.05</v>
          </cell>
          <cell r="L279">
            <v>182411</v>
          </cell>
        </row>
        <row r="280">
          <cell r="A280">
            <v>5358</v>
          </cell>
          <cell r="D280" t="str">
            <v>AHU double skinned with 40kg/sqcm PUF - 12 TR</v>
          </cell>
          <cell r="E280" t="str">
            <v>Voltas</v>
          </cell>
          <cell r="F280" t="str">
            <v>Job</v>
          </cell>
          <cell r="G280">
            <v>231335</v>
          </cell>
          <cell r="H280">
            <v>0.05</v>
          </cell>
          <cell r="L280">
            <v>219768</v>
          </cell>
        </row>
        <row r="281">
          <cell r="A281">
            <v>5359</v>
          </cell>
          <cell r="D281" t="str">
            <v>AHU double skinned with 40kg/sqcm PUF - 15 TR</v>
          </cell>
          <cell r="E281" t="str">
            <v>Voltas</v>
          </cell>
          <cell r="F281" t="str">
            <v>Job</v>
          </cell>
          <cell r="G281">
            <v>253326</v>
          </cell>
          <cell r="H281">
            <v>0.05</v>
          </cell>
          <cell r="L281">
            <v>240660</v>
          </cell>
        </row>
        <row r="282">
          <cell r="A282">
            <v>5360</v>
          </cell>
          <cell r="D282" t="str">
            <v>AHU double skinned with 40kg/sqcm PUF - 20 TR</v>
          </cell>
          <cell r="E282" t="str">
            <v>Voltas</v>
          </cell>
          <cell r="F282" t="str">
            <v>Job</v>
          </cell>
          <cell r="G282">
            <v>308617</v>
          </cell>
          <cell r="H282">
            <v>0.05</v>
          </cell>
          <cell r="L282">
            <v>293186</v>
          </cell>
        </row>
        <row r="283">
          <cell r="A283">
            <v>5361</v>
          </cell>
          <cell r="D283" t="str">
            <v>AHU double skinned with 40kg/sqcm PUF - 25 TR</v>
          </cell>
          <cell r="E283" t="str">
            <v>Voltas</v>
          </cell>
          <cell r="F283" t="str">
            <v>Job</v>
          </cell>
          <cell r="G283">
            <v>356631</v>
          </cell>
          <cell r="H283">
            <v>0.05</v>
          </cell>
          <cell r="L283">
            <v>338799</v>
          </cell>
        </row>
        <row r="284">
          <cell r="A284">
            <v>5362</v>
          </cell>
          <cell r="D284" t="str">
            <v>AHU double skinned with 40kg/sqcm PUF - 35 TR</v>
          </cell>
          <cell r="E284" t="str">
            <v>Voltas</v>
          </cell>
          <cell r="F284" t="str">
            <v>Job</v>
          </cell>
          <cell r="G284">
            <v>488835</v>
          </cell>
          <cell r="H284">
            <v>0.05</v>
          </cell>
          <cell r="L284">
            <v>464393</v>
          </cell>
        </row>
        <row r="285">
          <cell r="A285">
            <v>5363</v>
          </cell>
          <cell r="D285" t="str">
            <v>AHU double skinned with 40kg/sqcm PUF - 5 TR</v>
          </cell>
          <cell r="E285" t="str">
            <v>Voltas</v>
          </cell>
          <cell r="F285" t="str">
            <v>Job</v>
          </cell>
          <cell r="G285">
            <v>130085</v>
          </cell>
          <cell r="H285">
            <v>0.05</v>
          </cell>
          <cell r="L285">
            <v>123581</v>
          </cell>
        </row>
        <row r="286">
          <cell r="A286">
            <v>5364</v>
          </cell>
          <cell r="D286" t="str">
            <v>Fan coil Unit 1.5 TR</v>
          </cell>
          <cell r="E286" t="str">
            <v>Voltas</v>
          </cell>
          <cell r="F286" t="str">
            <v>Job</v>
          </cell>
          <cell r="G286">
            <v>20750</v>
          </cell>
          <cell r="H286">
            <v>0.05</v>
          </cell>
          <cell r="L286">
            <v>19713</v>
          </cell>
        </row>
        <row r="287">
          <cell r="A287">
            <v>5365</v>
          </cell>
          <cell r="D287" t="str">
            <v>Fan coil Unit 2.0 TR</v>
          </cell>
          <cell r="E287" t="str">
            <v>Voltas</v>
          </cell>
          <cell r="F287" t="str">
            <v>Job</v>
          </cell>
          <cell r="G287">
            <v>22900</v>
          </cell>
          <cell r="H287">
            <v>0.05</v>
          </cell>
          <cell r="L287">
            <v>21755</v>
          </cell>
        </row>
        <row r="288">
          <cell r="A288">
            <v>5366</v>
          </cell>
          <cell r="D288" t="str">
            <v>Budgetory offer from HPS Engineers for 18 SWG ducting</v>
          </cell>
          <cell r="E288" t="str">
            <v>HPS</v>
          </cell>
          <cell r="F288" t="str">
            <v>Sq Mtr</v>
          </cell>
          <cell r="G288">
            <v>753.55000000000007</v>
          </cell>
          <cell r="H288">
            <v>0.15</v>
          </cell>
          <cell r="K288">
            <v>2.64E-2</v>
          </cell>
          <cell r="L288">
            <v>657</v>
          </cell>
        </row>
        <row r="289">
          <cell r="A289">
            <v>5367</v>
          </cell>
          <cell r="D289" t="str">
            <v>Budgetory offer from HPS Engineers for 20 SWG ducting</v>
          </cell>
          <cell r="E289" t="str">
            <v>HPS</v>
          </cell>
          <cell r="F289" t="str">
            <v>Sq Mtr</v>
          </cell>
          <cell r="G289">
            <v>550</v>
          </cell>
          <cell r="H289">
            <v>0.15</v>
          </cell>
          <cell r="K289">
            <v>2.64E-2</v>
          </cell>
          <cell r="L289">
            <v>480</v>
          </cell>
        </row>
        <row r="290">
          <cell r="A290">
            <v>5368</v>
          </cell>
          <cell r="D290" t="str">
            <v>Budgetory offer from HPS Engineers for 22 SWG ducting</v>
          </cell>
          <cell r="E290" t="str">
            <v>HPS</v>
          </cell>
          <cell r="F290" t="str">
            <v>Sq Mtr</v>
          </cell>
          <cell r="G290">
            <v>470</v>
          </cell>
          <cell r="H290">
            <v>0.15</v>
          </cell>
          <cell r="K290">
            <v>2.64E-2</v>
          </cell>
          <cell r="L290">
            <v>410</v>
          </cell>
        </row>
        <row r="291">
          <cell r="A291">
            <v>5369</v>
          </cell>
          <cell r="D291" t="str">
            <v>Budgetory offer from HPS Engineers for 24 SWG ducting</v>
          </cell>
          <cell r="E291" t="str">
            <v>HPS</v>
          </cell>
          <cell r="F291" t="str">
            <v>Sq Mtr</v>
          </cell>
          <cell r="G291">
            <v>430</v>
          </cell>
          <cell r="H291">
            <v>0.15</v>
          </cell>
          <cell r="K291">
            <v>2.64E-2</v>
          </cell>
          <cell r="L291">
            <v>375</v>
          </cell>
        </row>
        <row r="292">
          <cell r="A292">
            <v>5370</v>
          </cell>
          <cell r="D292" t="str">
            <v>Budgetory offer from HPS Engineers for Volume control dampers in ducts</v>
          </cell>
          <cell r="E292" t="str">
            <v>HPS</v>
          </cell>
          <cell r="F292" t="str">
            <v>Sq Mtr</v>
          </cell>
          <cell r="G292">
            <v>4500</v>
          </cell>
          <cell r="H292">
            <v>0.15</v>
          </cell>
          <cell r="K292">
            <v>2.64E-2</v>
          </cell>
          <cell r="L292">
            <v>3926</v>
          </cell>
        </row>
        <row r="293">
          <cell r="A293">
            <v>5371</v>
          </cell>
          <cell r="D293" t="str">
            <v>Budgetory offer from HPS Engineers Kitchen Air scrubber complete set (nominal overall size of Air washer 1320 L x 1800 W x 1575 H)</v>
          </cell>
          <cell r="E293" t="str">
            <v>HPS</v>
          </cell>
          <cell r="F293" t="str">
            <v>Set</v>
          </cell>
          <cell r="G293">
            <v>110000</v>
          </cell>
          <cell r="H293">
            <v>0.15</v>
          </cell>
          <cell r="K293">
            <v>2.64E-2</v>
          </cell>
          <cell r="L293">
            <v>95968</v>
          </cell>
        </row>
        <row r="294">
          <cell r="A294">
            <v>5372</v>
          </cell>
          <cell r="D294" t="str">
            <v>Budgetory offer from HPS Engineers for Kitchen Hoods made from GSS</v>
          </cell>
          <cell r="E294" t="str">
            <v>HPS</v>
          </cell>
          <cell r="F294" t="str">
            <v>Sq Mtr</v>
          </cell>
          <cell r="G294">
            <v>32500</v>
          </cell>
          <cell r="H294">
            <v>0.15</v>
          </cell>
          <cell r="K294">
            <v>2.64E-2</v>
          </cell>
          <cell r="L294">
            <v>28354</v>
          </cell>
        </row>
        <row r="295">
          <cell r="A295">
            <v>5373</v>
          </cell>
          <cell r="D295" t="str">
            <v>Budgetory offer from Saitech HVAC Projects (P) Ltd for 18 SWG ducting</v>
          </cell>
          <cell r="E295" t="str">
            <v>SaiTech HVAC</v>
          </cell>
          <cell r="F295" t="str">
            <v>Sq Mtr</v>
          </cell>
          <cell r="G295">
            <v>680</v>
          </cell>
          <cell r="H295">
            <v>0.15</v>
          </cell>
          <cell r="K295">
            <v>6.6400000000000001E-2</v>
          </cell>
          <cell r="L295">
            <v>616</v>
          </cell>
        </row>
        <row r="296">
          <cell r="A296">
            <v>5374</v>
          </cell>
          <cell r="D296" t="str">
            <v>Budgetory offer from Saitech HVAC Projects (P) Ltd for 20 SWG ducting</v>
          </cell>
          <cell r="E296" t="str">
            <v>SaiTech HVAC</v>
          </cell>
          <cell r="F296" t="str">
            <v>Sq Mtr</v>
          </cell>
          <cell r="G296">
            <v>590</v>
          </cell>
          <cell r="H296">
            <v>0.15</v>
          </cell>
          <cell r="K296">
            <v>6.6400000000000001E-2</v>
          </cell>
          <cell r="L296">
            <v>535</v>
          </cell>
        </row>
        <row r="297">
          <cell r="A297">
            <v>5375</v>
          </cell>
          <cell r="D297" t="str">
            <v>Budgetory offer from Saitech HVAC Projects (P) Ltd for 22 SWG ducting</v>
          </cell>
          <cell r="E297" t="str">
            <v>SaiTech HVAC</v>
          </cell>
          <cell r="F297" t="str">
            <v>Sq Mtr</v>
          </cell>
          <cell r="G297">
            <v>570</v>
          </cell>
          <cell r="H297">
            <v>0.15</v>
          </cell>
          <cell r="K297">
            <v>6.6400000000000001E-2</v>
          </cell>
          <cell r="L297">
            <v>517</v>
          </cell>
        </row>
        <row r="298">
          <cell r="A298">
            <v>5376</v>
          </cell>
          <cell r="D298" t="str">
            <v>Budgetory offer from Saitech HVAC Projects (P) Ltd for 24 SWG ducting</v>
          </cell>
          <cell r="E298" t="str">
            <v>SaiTech HVAC</v>
          </cell>
          <cell r="F298" t="str">
            <v>Sq Mtr</v>
          </cell>
          <cell r="G298">
            <v>495</v>
          </cell>
          <cell r="H298">
            <v>0.15</v>
          </cell>
          <cell r="K298">
            <v>6.6400000000000001E-2</v>
          </cell>
          <cell r="L298">
            <v>449</v>
          </cell>
        </row>
        <row r="299">
          <cell r="A299">
            <v>5377</v>
          </cell>
          <cell r="D299" t="str">
            <v>Budgetory offer from Saitech HVAC Projects (P) Ltd for Volume control dampers in ducts</v>
          </cell>
          <cell r="E299" t="str">
            <v>SaiTech HVAC</v>
          </cell>
          <cell r="F299" t="str">
            <v>Sq Mtr</v>
          </cell>
          <cell r="G299">
            <v>6000</v>
          </cell>
          <cell r="H299">
            <v>0.15</v>
          </cell>
          <cell r="K299">
            <v>6.6400000000000001E-2</v>
          </cell>
          <cell r="L299">
            <v>5439</v>
          </cell>
        </row>
        <row r="300">
          <cell r="A300">
            <v>5378</v>
          </cell>
          <cell r="D300" t="str">
            <v>Budgetory offer from Saitech HVAC Projects (P) Ltd Kitchen Air scrubber complete set (nominal overall size of Air washer 1320 L x 1800 W x 1575 H)</v>
          </cell>
          <cell r="E300" t="str">
            <v>SaiTech HVAC</v>
          </cell>
          <cell r="F300" t="str">
            <v>Set</v>
          </cell>
          <cell r="G300">
            <v>175500</v>
          </cell>
          <cell r="H300">
            <v>0.15</v>
          </cell>
          <cell r="K300">
            <v>6.6400000000000001E-2</v>
          </cell>
          <cell r="L300">
            <v>159080</v>
          </cell>
        </row>
        <row r="301">
          <cell r="A301">
            <v>5379</v>
          </cell>
          <cell r="D301" t="str">
            <v>Budgetory offer from Saitech HVAC Projects (P) Ltd for Kitchen Hoods made from GSS</v>
          </cell>
          <cell r="E301" t="str">
            <v>SaiTech HVAC</v>
          </cell>
          <cell r="F301" t="str">
            <v>Sq Mtr</v>
          </cell>
          <cell r="G301">
            <v>15200</v>
          </cell>
          <cell r="H301">
            <v>0.15</v>
          </cell>
          <cell r="K301">
            <v>6.6400000000000001E-2</v>
          </cell>
          <cell r="L301">
            <v>13778</v>
          </cell>
        </row>
        <row r="318">
          <cell r="A318">
            <v>6000</v>
          </cell>
          <cell r="H318">
            <v>0</v>
          </cell>
          <cell r="L318">
            <v>0</v>
          </cell>
        </row>
        <row r="319">
          <cell r="A319">
            <v>6001</v>
          </cell>
          <cell r="D319" t="str">
            <v>Mechanic AC</v>
          </cell>
          <cell r="G319">
            <v>137.4</v>
          </cell>
          <cell r="H319">
            <v>0</v>
          </cell>
          <cell r="L319">
            <v>137</v>
          </cell>
        </row>
        <row r="320">
          <cell r="A320">
            <v>6002</v>
          </cell>
          <cell r="D320" t="str">
            <v>Wireman</v>
          </cell>
          <cell r="G320">
            <v>137.4</v>
          </cell>
          <cell r="H320">
            <v>0</v>
          </cell>
          <cell r="L320">
            <v>137.4</v>
          </cell>
        </row>
        <row r="321">
          <cell r="A321">
            <v>6003</v>
          </cell>
          <cell r="D321" t="str">
            <v>Plumber</v>
          </cell>
          <cell r="G321">
            <v>137.4</v>
          </cell>
          <cell r="H321">
            <v>0</v>
          </cell>
          <cell r="L321">
            <v>137.4</v>
          </cell>
        </row>
        <row r="322">
          <cell r="A322">
            <v>6004</v>
          </cell>
          <cell r="D322" t="str">
            <v>Welder</v>
          </cell>
          <cell r="G322">
            <v>137.4</v>
          </cell>
          <cell r="H322">
            <v>0</v>
          </cell>
          <cell r="L322">
            <v>137.4</v>
          </cell>
        </row>
        <row r="323">
          <cell r="A323">
            <v>6005</v>
          </cell>
          <cell r="D323" t="str">
            <v>Mason</v>
          </cell>
          <cell r="G323">
            <v>135.4</v>
          </cell>
          <cell r="H323">
            <v>0</v>
          </cell>
          <cell r="L323">
            <v>135.4</v>
          </cell>
        </row>
        <row r="324">
          <cell r="A324">
            <v>6006</v>
          </cell>
          <cell r="D324" t="str">
            <v>Khallasi</v>
          </cell>
          <cell r="G324">
            <v>132.4</v>
          </cell>
          <cell r="H324">
            <v>0</v>
          </cell>
          <cell r="L324">
            <v>132.4</v>
          </cell>
        </row>
        <row r="325">
          <cell r="A325">
            <v>6007</v>
          </cell>
          <cell r="D325" t="str">
            <v>Company Erection / Service Engineer</v>
          </cell>
          <cell r="G325">
            <v>800</v>
          </cell>
          <cell r="H325">
            <v>0</v>
          </cell>
          <cell r="L325">
            <v>800</v>
          </cell>
        </row>
        <row r="326">
          <cell r="A326">
            <v>6008</v>
          </cell>
          <cell r="D326" t="str">
            <v>Sheet Metal Worker</v>
          </cell>
          <cell r="G326">
            <v>137.4</v>
          </cell>
          <cell r="H326">
            <v>0</v>
          </cell>
          <cell r="L326">
            <v>137.4</v>
          </cell>
        </row>
        <row r="327">
          <cell r="A327">
            <v>6009</v>
          </cell>
          <cell r="D327" t="str">
            <v>Fitter</v>
          </cell>
          <cell r="G327">
            <v>135.4</v>
          </cell>
          <cell r="H327">
            <v>0</v>
          </cell>
          <cell r="L327">
            <v>135.4</v>
          </cell>
        </row>
        <row r="328">
          <cell r="A328">
            <v>6010</v>
          </cell>
          <cell r="D328" t="str">
            <v>Blacksmith</v>
          </cell>
          <cell r="G328">
            <v>135.4</v>
          </cell>
          <cell r="H328">
            <v>0</v>
          </cell>
          <cell r="L328">
            <v>135.4</v>
          </cell>
        </row>
      </sheetData>
      <sheetData sheetId="8"/>
      <sheetData sheetId="9"/>
      <sheetData sheetId="10"/>
      <sheetData sheetId="11"/>
      <sheetData sheetId="12"/>
      <sheetData sheetId="13"/>
      <sheetData sheetId="14"/>
      <sheetData sheetId="15"/>
      <sheetData sheetId="16"/>
      <sheetData sheetId="17"/>
      <sheetData sheetId="18"/>
      <sheetData sheetId="19"/>
      <sheetData sheetId="20">
        <row r="5">
          <cell r="A5" t="str">
            <v>Sl No</v>
          </cell>
        </row>
      </sheetData>
      <sheetData sheetId="2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5X240"/>
      <sheetName val="SH-IV LT cables"/>
      <sheetName val="Basic Rates"/>
      <sheetName val="TelephoneDBs"/>
      <sheetName val="SH-IV cable tray"/>
      <sheetName val="SH-I-Floor trunking"/>
      <sheetName val="SH-IIIPanels"/>
      <sheetName val="N.Modular"/>
      <sheetName val="P.Modular"/>
      <sheetName val="Sheet3"/>
      <sheetName val="Mments"/>
      <sheetName val="BOQ R1"/>
      <sheetName val="BOQ Semi Final"/>
      <sheetName val="BasicAlpha"/>
      <sheetName val="BOQ Final"/>
      <sheetName val="SH-I"/>
      <sheetName val="3_5X240"/>
      <sheetName val="SH-IV_LT_cables"/>
      <sheetName val="Basic_Rates"/>
      <sheetName val="SH-IV_cable_tray"/>
      <sheetName val="SH-I-Floor_trunking"/>
      <sheetName val="N_Modular"/>
      <sheetName val="P_Modular"/>
      <sheetName val="BOQ_R1"/>
      <sheetName val="BOQ_Semi_Final"/>
      <sheetName val="BOQ_Final"/>
    </sheetNames>
    <sheetDataSet>
      <sheetData sheetId="0" refreshError="1"/>
      <sheetData sheetId="1" refreshError="1"/>
      <sheetData sheetId="2">
        <row r="7">
          <cell r="A7" t="str">
            <v>A 1</v>
          </cell>
          <cell r="B7">
            <v>329</v>
          </cell>
          <cell r="C7">
            <v>639.1</v>
          </cell>
          <cell r="D7">
            <v>804.3</v>
          </cell>
          <cell r="E7">
            <v>1028.3</v>
          </cell>
          <cell r="F7">
            <v>239.68</v>
          </cell>
          <cell r="G7">
            <v>153.23000000000002</v>
          </cell>
          <cell r="H7">
            <v>175.56</v>
          </cell>
          <cell r="I7">
            <v>525.70000000000005</v>
          </cell>
          <cell r="J7">
            <v>0</v>
          </cell>
          <cell r="K7">
            <v>0</v>
          </cell>
        </row>
        <row r="8">
          <cell r="A8" t="str">
            <v xml:space="preserve">Add  6% on A 1 for HR PVC </v>
          </cell>
          <cell r="B8">
            <v>19.739999999999998</v>
          </cell>
          <cell r="C8">
            <v>38.345999999999997</v>
          </cell>
          <cell r="D8">
            <v>48.257999999999996</v>
          </cell>
          <cell r="E8">
            <v>61.697999999999993</v>
          </cell>
          <cell r="F8">
            <v>14.380800000000001</v>
          </cell>
          <cell r="G8">
            <v>9.1938000000000013</v>
          </cell>
          <cell r="H8">
            <v>10.5336</v>
          </cell>
          <cell r="I8">
            <v>31.542000000000002</v>
          </cell>
          <cell r="J8">
            <v>0</v>
          </cell>
          <cell r="K8">
            <v>0</v>
          </cell>
        </row>
        <row r="9">
          <cell r="A9" t="str">
            <v>Add 25 % on A 1 for FRLS sheath</v>
          </cell>
          <cell r="B9">
            <v>82.25</v>
          </cell>
          <cell r="C9">
            <v>159.77500000000001</v>
          </cell>
          <cell r="D9">
            <v>201.07499999999999</v>
          </cell>
          <cell r="E9">
            <v>257.07499999999999</v>
          </cell>
          <cell r="F9">
            <v>59.92</v>
          </cell>
          <cell r="G9">
            <v>38.307500000000005</v>
          </cell>
          <cell r="H9">
            <v>43.89</v>
          </cell>
          <cell r="I9">
            <v>131.42500000000001</v>
          </cell>
          <cell r="J9">
            <v>0</v>
          </cell>
          <cell r="K9">
            <v>0</v>
          </cell>
        </row>
        <row r="10">
          <cell r="A10" t="str">
            <v xml:space="preserve">Add 4 % on A 1 for extruded PVC Inner sheathing </v>
          </cell>
          <cell r="B10">
            <v>13.16</v>
          </cell>
          <cell r="C10">
            <v>25.564</v>
          </cell>
          <cell r="D10">
            <v>32.171999999999997</v>
          </cell>
          <cell r="E10">
            <v>41.131999999999998</v>
          </cell>
          <cell r="F10">
            <v>9.5872000000000011</v>
          </cell>
          <cell r="G10">
            <v>6.1292000000000009</v>
          </cell>
          <cell r="H10">
            <v>7.0224000000000002</v>
          </cell>
          <cell r="I10">
            <v>21.028000000000002</v>
          </cell>
          <cell r="J10">
            <v>0</v>
          </cell>
          <cell r="K10">
            <v>0</v>
          </cell>
        </row>
        <row r="11">
          <cell r="A11">
            <v>0</v>
          </cell>
          <cell r="B11">
            <v>444.15000000000003</v>
          </cell>
          <cell r="C11">
            <v>862.78499999999997</v>
          </cell>
          <cell r="D11">
            <v>1085.8050000000001</v>
          </cell>
          <cell r="E11">
            <v>1388.2050000000002</v>
          </cell>
          <cell r="F11">
            <v>323.56799999999998</v>
          </cell>
          <cell r="G11">
            <v>206.86050000000003</v>
          </cell>
          <cell r="H11">
            <v>237.00600000000003</v>
          </cell>
          <cell r="I11">
            <v>709.69500000000016</v>
          </cell>
          <cell r="J11">
            <v>0</v>
          </cell>
          <cell r="K11">
            <v>0</v>
          </cell>
        </row>
        <row r="12">
          <cell r="A12" t="str">
            <v xml:space="preserve">Add 16 % ED </v>
          </cell>
          <cell r="B12">
            <v>71.064000000000007</v>
          </cell>
          <cell r="C12">
            <v>138.04560000000001</v>
          </cell>
          <cell r="D12">
            <v>173.72880000000001</v>
          </cell>
          <cell r="E12">
            <v>222.11280000000002</v>
          </cell>
          <cell r="F12">
            <v>51.770879999999998</v>
          </cell>
          <cell r="G12">
            <v>33.097680000000004</v>
          </cell>
          <cell r="H12">
            <v>37.920960000000008</v>
          </cell>
          <cell r="I12">
            <v>113.55120000000002</v>
          </cell>
          <cell r="J12">
            <v>0</v>
          </cell>
          <cell r="K12">
            <v>0</v>
          </cell>
        </row>
        <row r="13">
          <cell r="A13">
            <v>0</v>
          </cell>
          <cell r="B13">
            <v>515.21400000000006</v>
          </cell>
          <cell r="C13">
            <v>1000.8306</v>
          </cell>
          <cell r="D13">
            <v>1259.5338000000002</v>
          </cell>
          <cell r="E13">
            <v>1610.3178000000003</v>
          </cell>
          <cell r="F13">
            <v>375.33887999999996</v>
          </cell>
          <cell r="G13">
            <v>239.95818000000003</v>
          </cell>
          <cell r="H13">
            <v>274.92696000000001</v>
          </cell>
          <cell r="I13">
            <v>823.24620000000016</v>
          </cell>
          <cell r="J13">
            <v>0</v>
          </cell>
          <cell r="K13">
            <v>0</v>
          </cell>
        </row>
        <row r="14">
          <cell r="A14" t="str">
            <v>Add 15.3 % MST</v>
          </cell>
          <cell r="B14">
            <v>170.02062000000004</v>
          </cell>
          <cell r="C14">
            <v>330.27409800000004</v>
          </cell>
          <cell r="D14">
            <v>415.64615400000008</v>
          </cell>
          <cell r="E14">
            <v>531.40487400000006</v>
          </cell>
          <cell r="F14">
            <v>123.86183039999999</v>
          </cell>
          <cell r="G14">
            <v>79.186199400000007</v>
          </cell>
          <cell r="H14">
            <v>90.725896800000001</v>
          </cell>
          <cell r="I14">
            <v>271.67124600000005</v>
          </cell>
          <cell r="J14">
            <v>0</v>
          </cell>
          <cell r="K14">
            <v>0</v>
          </cell>
        </row>
        <row r="15">
          <cell r="A15">
            <v>0</v>
          </cell>
          <cell r="B15">
            <v>685.23462000000006</v>
          </cell>
          <cell r="C15">
            <v>1331.1046980000001</v>
          </cell>
          <cell r="D15">
            <v>1675.1799540000002</v>
          </cell>
          <cell r="E15">
            <v>2141.7226740000006</v>
          </cell>
          <cell r="F15">
            <v>499.20071039999993</v>
          </cell>
          <cell r="G15">
            <v>319.14437940000005</v>
          </cell>
          <cell r="H15">
            <v>365.6528568</v>
          </cell>
          <cell r="I15">
            <v>1094.9174460000002</v>
          </cell>
          <cell r="J15">
            <v>0</v>
          </cell>
          <cell r="K15">
            <v>0</v>
          </cell>
        </row>
        <row r="16">
          <cell r="A16" t="str">
            <v>Say</v>
          </cell>
          <cell r="B16">
            <v>685</v>
          </cell>
          <cell r="C16">
            <v>1331</v>
          </cell>
          <cell r="D16">
            <v>1675</v>
          </cell>
          <cell r="E16">
            <v>2142</v>
          </cell>
          <cell r="F16">
            <v>499</v>
          </cell>
          <cell r="G16">
            <v>319</v>
          </cell>
          <cell r="H16">
            <v>366</v>
          </cell>
          <cell r="I16">
            <v>1095</v>
          </cell>
          <cell r="J16">
            <v>0</v>
          </cell>
          <cell r="K16">
            <v>0</v>
          </cell>
        </row>
        <row r="17">
          <cell r="A17">
            <v>0</v>
          </cell>
          <cell r="D17">
            <v>0</v>
          </cell>
          <cell r="E17">
            <v>0</v>
          </cell>
          <cell r="F17">
            <v>0</v>
          </cell>
          <cell r="G17">
            <v>0</v>
          </cell>
          <cell r="H17">
            <v>0</v>
          </cell>
          <cell r="J17">
            <v>0</v>
          </cell>
          <cell r="K17">
            <v>0</v>
          </cell>
        </row>
        <row r="18">
          <cell r="A18" t="str">
            <v>HR PVC insulated, FRLS PVC sheathed copper conductor armoured Cables</v>
          </cell>
          <cell r="D18">
            <v>0</v>
          </cell>
          <cell r="E18">
            <v>0</v>
          </cell>
          <cell r="F18">
            <v>0</v>
          </cell>
          <cell r="G18">
            <v>0</v>
          </cell>
          <cell r="H18">
            <v>0</v>
          </cell>
          <cell r="J18">
            <v>0</v>
          </cell>
          <cell r="K18">
            <v>0</v>
          </cell>
        </row>
        <row r="19">
          <cell r="A19">
            <v>0</v>
          </cell>
          <cell r="D19">
            <v>0</v>
          </cell>
          <cell r="E19">
            <v>0</v>
          </cell>
          <cell r="F19">
            <v>0</v>
          </cell>
          <cell r="G19">
            <v>0</v>
          </cell>
          <cell r="H19">
            <v>0</v>
          </cell>
          <cell r="I19">
            <v>0</v>
          </cell>
          <cell r="J19">
            <v>0</v>
          </cell>
          <cell r="K19">
            <v>0</v>
          </cell>
        </row>
        <row r="20">
          <cell r="A20">
            <v>0</v>
          </cell>
          <cell r="B20" t="str">
            <v>3 X 2.5</v>
          </cell>
          <cell r="C20" t="str">
            <v>3 X 10</v>
          </cell>
          <cell r="D20" t="str">
            <v>4 X 6</v>
          </cell>
          <cell r="E20" t="str">
            <v>4 X 10</v>
          </cell>
          <cell r="F20" t="str">
            <v>4 x 16</v>
          </cell>
          <cell r="G20" t="str">
            <v>4 x 25</v>
          </cell>
          <cell r="H20" t="str">
            <v>3 X 4</v>
          </cell>
          <cell r="I20" t="str">
            <v>2 X 1.5</v>
          </cell>
          <cell r="J20" t="str">
            <v>4 X 1.5</v>
          </cell>
          <cell r="K20" t="str">
            <v>5 X 1.5</v>
          </cell>
        </row>
        <row r="21">
          <cell r="A21">
            <v>0</v>
          </cell>
          <cell r="D21">
            <v>0</v>
          </cell>
          <cell r="E21">
            <v>0</v>
          </cell>
          <cell r="F21">
            <v>0</v>
          </cell>
          <cell r="G21" t="str">
            <v>Polycab</v>
          </cell>
          <cell r="H21">
            <v>0</v>
          </cell>
          <cell r="J21">
            <v>0</v>
          </cell>
          <cell r="K21">
            <v>0</v>
          </cell>
        </row>
        <row r="22">
          <cell r="A22" t="str">
            <v>List price  ( Finolex PCD-7-2002 )</v>
          </cell>
          <cell r="B22">
            <v>72.5</v>
          </cell>
          <cell r="C22">
            <v>180.2</v>
          </cell>
          <cell r="D22">
            <v>146.9</v>
          </cell>
          <cell r="E22">
            <v>212.2</v>
          </cell>
          <cell r="F22">
            <v>282.3</v>
          </cell>
          <cell r="G22">
            <v>425.2</v>
          </cell>
          <cell r="H22">
            <v>94.8</v>
          </cell>
          <cell r="I22">
            <v>48.4</v>
          </cell>
          <cell r="J22">
            <v>65.099999999999994</v>
          </cell>
          <cell r="K22">
            <v>74.7</v>
          </cell>
        </row>
        <row r="23">
          <cell r="A23" t="str">
            <v>Less 30 % discount</v>
          </cell>
          <cell r="B23">
            <v>21.75</v>
          </cell>
          <cell r="C23">
            <v>54.059999999999995</v>
          </cell>
          <cell r="D23">
            <v>44.07</v>
          </cell>
          <cell r="E23">
            <v>63.66</v>
          </cell>
          <cell r="F23">
            <v>84.69</v>
          </cell>
          <cell r="G23">
            <v>127.55999999999999</v>
          </cell>
          <cell r="H23">
            <v>28.439999999999998</v>
          </cell>
          <cell r="I23">
            <v>14.52</v>
          </cell>
          <cell r="J23">
            <v>19.529999999999998</v>
          </cell>
          <cell r="K23">
            <v>22.41</v>
          </cell>
        </row>
        <row r="24">
          <cell r="A24" t="str">
            <v>A 1</v>
          </cell>
          <cell r="B24">
            <v>50.75</v>
          </cell>
          <cell r="C24">
            <v>126.13999999999999</v>
          </cell>
          <cell r="D24">
            <v>102.83000000000001</v>
          </cell>
          <cell r="E24">
            <v>148.54</v>
          </cell>
          <cell r="F24">
            <v>197.61</v>
          </cell>
          <cell r="G24">
            <v>297.64</v>
          </cell>
          <cell r="H24">
            <v>66.36</v>
          </cell>
          <cell r="I24">
            <v>33.879999999999995</v>
          </cell>
          <cell r="J24">
            <v>45.569999999999993</v>
          </cell>
          <cell r="K24">
            <v>52.290000000000006</v>
          </cell>
        </row>
        <row r="25">
          <cell r="A25" t="str">
            <v xml:space="preserve">Add  6% on A 1 for HR PVC </v>
          </cell>
          <cell r="B25">
            <v>3.0449999999999999</v>
          </cell>
          <cell r="C25">
            <v>7.5683999999999987</v>
          </cell>
          <cell r="D25">
            <v>6.1698000000000004</v>
          </cell>
          <cell r="E25">
            <v>8.9123999999999999</v>
          </cell>
          <cell r="F25">
            <v>11.8566</v>
          </cell>
          <cell r="G25">
            <v>17.8584</v>
          </cell>
          <cell r="H25">
            <v>3.9815999999999998</v>
          </cell>
          <cell r="I25">
            <v>2.0327999999999995</v>
          </cell>
          <cell r="J25">
            <v>2.7341999999999995</v>
          </cell>
          <cell r="K25">
            <v>3.1374000000000004</v>
          </cell>
        </row>
        <row r="26">
          <cell r="A26" t="str">
            <v xml:space="preserve">Add 7.5 % on A 1 for extruded PVC Inner sheathing </v>
          </cell>
          <cell r="B26">
            <v>3.8062499999999999</v>
          </cell>
          <cell r="C26">
            <v>9.4604999999999979</v>
          </cell>
          <cell r="D26">
            <v>7.7122500000000009</v>
          </cell>
          <cell r="E26">
            <v>11.140499999999999</v>
          </cell>
          <cell r="F26">
            <v>14.82075</v>
          </cell>
          <cell r="G26">
            <v>22.322999999999997</v>
          </cell>
          <cell r="H26">
            <v>4.9769999999999994</v>
          </cell>
          <cell r="I26">
            <v>2.5409999999999995</v>
          </cell>
          <cell r="J26">
            <v>3.4177499999999994</v>
          </cell>
          <cell r="K26">
            <v>3.9217500000000003</v>
          </cell>
        </row>
        <row r="27">
          <cell r="A27" t="str">
            <v>Add 25 % on A 1for FRLS sheath</v>
          </cell>
          <cell r="B27">
            <v>12.6875</v>
          </cell>
          <cell r="C27">
            <v>31.534999999999997</v>
          </cell>
          <cell r="D27">
            <v>25.707500000000003</v>
          </cell>
          <cell r="E27">
            <v>37.134999999999998</v>
          </cell>
          <cell r="F27">
            <v>49.402500000000003</v>
          </cell>
          <cell r="G27">
            <v>74.41</v>
          </cell>
          <cell r="H27">
            <v>16.59</v>
          </cell>
          <cell r="I27">
            <v>8.4699999999999989</v>
          </cell>
          <cell r="J27">
            <v>11.392499999999998</v>
          </cell>
          <cell r="K27">
            <v>13.072500000000002</v>
          </cell>
        </row>
        <row r="28">
          <cell r="A28">
            <v>0</v>
          </cell>
          <cell r="B28">
            <v>70.288749999999993</v>
          </cell>
          <cell r="C28">
            <v>174.70389999999998</v>
          </cell>
          <cell r="D28">
            <v>142.41955000000002</v>
          </cell>
          <cell r="E28">
            <v>205.72789999999998</v>
          </cell>
          <cell r="F28">
            <v>273.68985000000004</v>
          </cell>
          <cell r="G28">
            <v>412.23140000000001</v>
          </cell>
          <cell r="H28">
            <v>91.908600000000007</v>
          </cell>
          <cell r="I28">
            <v>46.923799999999993</v>
          </cell>
          <cell r="J28">
            <v>63.114449999999991</v>
          </cell>
          <cell r="K28">
            <v>72.421650000000014</v>
          </cell>
        </row>
        <row r="29">
          <cell r="A29" t="str">
            <v xml:space="preserve">Add 16 % ED </v>
          </cell>
          <cell r="B29">
            <v>11.2462</v>
          </cell>
          <cell r="C29">
            <v>27.952623999999997</v>
          </cell>
          <cell r="D29">
            <v>22.787128000000003</v>
          </cell>
          <cell r="E29">
            <v>32.916463999999998</v>
          </cell>
          <cell r="F29">
            <v>43.790376000000009</v>
          </cell>
          <cell r="G29">
            <v>65.957024000000004</v>
          </cell>
          <cell r="H29">
            <v>14.705376000000001</v>
          </cell>
          <cell r="I29">
            <v>7.5078079999999989</v>
          </cell>
          <cell r="J29">
            <v>10.098311999999998</v>
          </cell>
          <cell r="K29">
            <v>11.587464000000002</v>
          </cell>
        </row>
        <row r="30">
          <cell r="A30">
            <v>0</v>
          </cell>
          <cell r="B30">
            <v>81.534949999999995</v>
          </cell>
          <cell r="C30">
            <v>202.65652399999996</v>
          </cell>
          <cell r="D30">
            <v>165.20667800000001</v>
          </cell>
          <cell r="E30">
            <v>238.64436399999997</v>
          </cell>
          <cell r="F30">
            <v>317.48022600000002</v>
          </cell>
          <cell r="G30">
            <v>478.188424</v>
          </cell>
          <cell r="H30">
            <v>106.61397600000001</v>
          </cell>
          <cell r="I30">
            <v>54.43160799999999</v>
          </cell>
          <cell r="J30">
            <v>73.212761999999984</v>
          </cell>
          <cell r="K30">
            <v>84.009114000000011</v>
          </cell>
        </row>
        <row r="31">
          <cell r="A31" t="str">
            <v>Add 15.3 % MST</v>
          </cell>
          <cell r="B31">
            <v>26.906533499999998</v>
          </cell>
          <cell r="C31">
            <v>66.876652919999984</v>
          </cell>
          <cell r="D31">
            <v>54.518203740000004</v>
          </cell>
          <cell r="E31">
            <v>78.752640119999995</v>
          </cell>
          <cell r="F31">
            <v>104.76847458000002</v>
          </cell>
          <cell r="G31">
            <v>157.80217992000001</v>
          </cell>
          <cell r="H31">
            <v>35.182612080000006</v>
          </cell>
          <cell r="I31">
            <v>17.962430639999997</v>
          </cell>
          <cell r="J31">
            <v>24.160211459999996</v>
          </cell>
          <cell r="K31">
            <v>27.723007620000004</v>
          </cell>
        </row>
        <row r="32">
          <cell r="A32">
            <v>0</v>
          </cell>
          <cell r="B32">
            <v>108.44148349999999</v>
          </cell>
          <cell r="C32">
            <v>269.53317691999996</v>
          </cell>
          <cell r="D32">
            <v>219.72488174</v>
          </cell>
          <cell r="E32">
            <v>317.39700411999996</v>
          </cell>
          <cell r="F32">
            <v>422.24870058000005</v>
          </cell>
          <cell r="G32">
            <v>635.99060392000001</v>
          </cell>
          <cell r="H32">
            <v>141.79658808000002</v>
          </cell>
          <cell r="I32">
            <v>72.394038639999991</v>
          </cell>
          <cell r="J32">
            <v>97.372973459999983</v>
          </cell>
          <cell r="K32">
            <v>111.73212162000002</v>
          </cell>
        </row>
        <row r="33">
          <cell r="A33" t="str">
            <v>Say</v>
          </cell>
          <cell r="B33">
            <v>108</v>
          </cell>
          <cell r="C33">
            <v>270</v>
          </cell>
          <cell r="D33">
            <v>220</v>
          </cell>
          <cell r="E33">
            <v>317</v>
          </cell>
          <cell r="F33">
            <v>422</v>
          </cell>
          <cell r="G33">
            <v>636</v>
          </cell>
          <cell r="H33">
            <v>142</v>
          </cell>
          <cell r="I33">
            <v>72</v>
          </cell>
          <cell r="J33">
            <v>97</v>
          </cell>
          <cell r="K33">
            <v>112</v>
          </cell>
        </row>
        <row r="34">
          <cell r="A34">
            <v>0</v>
          </cell>
          <cell r="B34">
            <v>0</v>
          </cell>
          <cell r="C34">
            <v>0</v>
          </cell>
          <cell r="D34">
            <v>0</v>
          </cell>
          <cell r="E34">
            <v>0</v>
          </cell>
          <cell r="F34">
            <v>0</v>
          </cell>
          <cell r="G34">
            <v>0</v>
          </cell>
          <cell r="H34">
            <v>0</v>
          </cell>
          <cell r="K34">
            <v>0</v>
          </cell>
        </row>
        <row r="35">
          <cell r="A35">
            <v>0</v>
          </cell>
          <cell r="B35">
            <v>0</v>
          </cell>
          <cell r="C35">
            <v>0</v>
          </cell>
          <cell r="D35">
            <v>0</v>
          </cell>
          <cell r="E35">
            <v>0</v>
          </cell>
          <cell r="F35">
            <v>0</v>
          </cell>
          <cell r="G35">
            <v>0</v>
          </cell>
          <cell r="H35">
            <v>0</v>
          </cell>
          <cell r="J35">
            <v>0</v>
          </cell>
          <cell r="K35">
            <v>0</v>
          </cell>
        </row>
        <row r="36">
          <cell r="A36" t="str">
            <v xml:space="preserve">Cable compression glands and copper lugs </v>
          </cell>
          <cell r="B36">
            <v>0</v>
          </cell>
          <cell r="C36">
            <v>0</v>
          </cell>
          <cell r="D36">
            <v>0</v>
          </cell>
          <cell r="E36">
            <v>0</v>
          </cell>
          <cell r="F36">
            <v>0</v>
          </cell>
          <cell r="G36">
            <v>0</v>
          </cell>
          <cell r="H36">
            <v>0</v>
          </cell>
          <cell r="J36">
            <v>0</v>
          </cell>
          <cell r="K36">
            <v>0</v>
          </cell>
        </row>
        <row r="37">
          <cell r="A37">
            <v>0</v>
          </cell>
          <cell r="B37">
            <v>0</v>
          </cell>
          <cell r="C37">
            <v>0</v>
          </cell>
          <cell r="D37">
            <v>0</v>
          </cell>
          <cell r="F37">
            <v>0</v>
          </cell>
          <cell r="G37">
            <v>0</v>
          </cell>
          <cell r="H37">
            <v>0</v>
          </cell>
          <cell r="J37">
            <v>0</v>
          </cell>
          <cell r="K37">
            <v>0</v>
          </cell>
        </row>
        <row r="38">
          <cell r="A38" t="str">
            <v>Lugs</v>
          </cell>
          <cell r="B38" t="str">
            <v>3 X 2.5</v>
          </cell>
          <cell r="C38" t="str">
            <v>3 X 10</v>
          </cell>
          <cell r="D38" t="str">
            <v>4 X 6</v>
          </cell>
          <cell r="E38" t="str">
            <v>4 X 10</v>
          </cell>
          <cell r="F38" t="str">
            <v>4 x 16</v>
          </cell>
          <cell r="G38" t="str">
            <v>4 x 25</v>
          </cell>
          <cell r="H38" t="str">
            <v>3 X 4</v>
          </cell>
          <cell r="I38" t="str">
            <v>2 X 1.5</v>
          </cell>
          <cell r="J38" t="str">
            <v>4 X 1.5</v>
          </cell>
          <cell r="K38" t="str">
            <v>5 X 1.5</v>
          </cell>
        </row>
        <row r="39">
          <cell r="A39">
            <v>0</v>
          </cell>
          <cell r="B39">
            <v>0</v>
          </cell>
          <cell r="C39">
            <v>0</v>
          </cell>
          <cell r="D39">
            <v>0</v>
          </cell>
          <cell r="E39">
            <v>0</v>
          </cell>
          <cell r="F39">
            <v>0</v>
          </cell>
          <cell r="G39" t="str">
            <v/>
          </cell>
          <cell r="H39">
            <v>0</v>
          </cell>
          <cell r="K39">
            <v>0</v>
          </cell>
        </row>
        <row r="40">
          <cell r="A40" t="str">
            <v>List price( Jainsons R 2 dt 1.4.03 )</v>
          </cell>
          <cell r="B40">
            <v>13.559999999999999</v>
          </cell>
          <cell r="C40">
            <v>18.299999999999997</v>
          </cell>
          <cell r="D40">
            <v>18.600000000000001</v>
          </cell>
          <cell r="E40">
            <v>24.4</v>
          </cell>
          <cell r="F40">
            <v>34.6</v>
          </cell>
          <cell r="G40">
            <v>55.68</v>
          </cell>
          <cell r="H40">
            <v>13.559999999999999</v>
          </cell>
          <cell r="I40">
            <v>13</v>
          </cell>
          <cell r="J40">
            <v>26</v>
          </cell>
          <cell r="K40">
            <v>32.5</v>
          </cell>
        </row>
        <row r="41">
          <cell r="A41" t="str">
            <v>Less 30 % discount</v>
          </cell>
          <cell r="B41">
            <v>4.0679999999999996</v>
          </cell>
          <cell r="C41">
            <v>5.4899999999999993</v>
          </cell>
          <cell r="D41">
            <v>5.58</v>
          </cell>
          <cell r="E41">
            <v>7.3199999999999994</v>
          </cell>
          <cell r="F41">
            <v>10.38</v>
          </cell>
          <cell r="G41">
            <v>16.704000000000001</v>
          </cell>
          <cell r="H41">
            <v>4.0679999999999996</v>
          </cell>
          <cell r="I41">
            <v>3.9</v>
          </cell>
          <cell r="J41">
            <v>7.8</v>
          </cell>
          <cell r="K41">
            <v>9.75</v>
          </cell>
        </row>
        <row r="42">
          <cell r="A42" t="str">
            <v>A 1</v>
          </cell>
          <cell r="B42">
            <v>9.4919999999999991</v>
          </cell>
          <cell r="C42">
            <v>12.809999999999999</v>
          </cell>
          <cell r="D42">
            <v>13.020000000000001</v>
          </cell>
          <cell r="E42">
            <v>17.079999999999998</v>
          </cell>
          <cell r="F42">
            <v>24.22</v>
          </cell>
          <cell r="G42">
            <v>38.975999999999999</v>
          </cell>
          <cell r="H42">
            <v>9.4919999999999991</v>
          </cell>
          <cell r="I42">
            <v>9.1</v>
          </cell>
          <cell r="J42">
            <v>18.2</v>
          </cell>
          <cell r="K42">
            <v>22.75</v>
          </cell>
        </row>
        <row r="43">
          <cell r="A43" t="str">
            <v xml:space="preserve">Add 16 % ED </v>
          </cell>
          <cell r="B43">
            <v>1.5187199999999998</v>
          </cell>
          <cell r="C43">
            <v>2.0495999999999999</v>
          </cell>
          <cell r="D43">
            <v>2.0832000000000002</v>
          </cell>
          <cell r="E43">
            <v>2.7327999999999997</v>
          </cell>
          <cell r="F43">
            <v>3.8752</v>
          </cell>
          <cell r="G43">
            <v>6.2361599999999999</v>
          </cell>
          <cell r="H43">
            <v>1.5187199999999998</v>
          </cell>
          <cell r="I43">
            <v>1.456</v>
          </cell>
          <cell r="J43">
            <v>2.9119999999999999</v>
          </cell>
          <cell r="K43">
            <v>3.64</v>
          </cell>
        </row>
        <row r="44">
          <cell r="A44">
            <v>0</v>
          </cell>
          <cell r="B44">
            <v>11.010719999999999</v>
          </cell>
          <cell r="C44">
            <v>14.859599999999999</v>
          </cell>
          <cell r="D44">
            <v>15.103200000000001</v>
          </cell>
          <cell r="E44">
            <v>19.812799999999999</v>
          </cell>
          <cell r="F44">
            <v>28.095199999999998</v>
          </cell>
          <cell r="G44">
            <v>45.212159999999997</v>
          </cell>
          <cell r="H44">
            <v>11.010719999999999</v>
          </cell>
          <cell r="I44">
            <v>10.555999999999999</v>
          </cell>
          <cell r="J44">
            <v>21.111999999999998</v>
          </cell>
          <cell r="K44">
            <v>26.39</v>
          </cell>
        </row>
        <row r="45">
          <cell r="A45" t="str">
            <v>Add 15.3 % MST</v>
          </cell>
          <cell r="B45">
            <v>3.6335375999999999</v>
          </cell>
          <cell r="C45">
            <v>4.9036679999999997</v>
          </cell>
          <cell r="D45">
            <v>4.9840560000000007</v>
          </cell>
          <cell r="E45">
            <v>6.5382240000000005</v>
          </cell>
          <cell r="F45">
            <v>9.2714160000000003</v>
          </cell>
          <cell r="G45">
            <v>14.9200128</v>
          </cell>
          <cell r="H45">
            <v>3.6335375999999999</v>
          </cell>
          <cell r="I45">
            <v>3.4834799999999997</v>
          </cell>
          <cell r="J45">
            <v>6.9669599999999994</v>
          </cell>
          <cell r="K45">
            <v>8.7087000000000003</v>
          </cell>
        </row>
        <row r="46">
          <cell r="A46">
            <v>0</v>
          </cell>
          <cell r="B46">
            <v>14.6442576</v>
          </cell>
          <cell r="C46">
            <v>19.763267999999997</v>
          </cell>
          <cell r="D46">
            <v>20.087256000000004</v>
          </cell>
          <cell r="E46">
            <v>26.351023999999999</v>
          </cell>
          <cell r="F46">
            <v>37.366616</v>
          </cell>
          <cell r="G46">
            <v>60.132172799999999</v>
          </cell>
          <cell r="H46">
            <v>14.6442576</v>
          </cell>
          <cell r="I46">
            <v>14.039479999999999</v>
          </cell>
          <cell r="J46">
            <v>28.078959999999999</v>
          </cell>
          <cell r="K46">
            <v>35.098700000000001</v>
          </cell>
        </row>
        <row r="47">
          <cell r="A47" t="str">
            <v>Say</v>
          </cell>
          <cell r="B47">
            <v>15</v>
          </cell>
          <cell r="C47">
            <v>20</v>
          </cell>
          <cell r="D47">
            <v>20</v>
          </cell>
          <cell r="E47">
            <v>26</v>
          </cell>
          <cell r="F47">
            <v>37</v>
          </cell>
          <cell r="G47">
            <v>60</v>
          </cell>
          <cell r="H47">
            <v>15</v>
          </cell>
          <cell r="I47">
            <v>14</v>
          </cell>
          <cell r="J47">
            <v>28</v>
          </cell>
          <cell r="K47">
            <v>35</v>
          </cell>
        </row>
        <row r="48">
          <cell r="A48">
            <v>0</v>
          </cell>
          <cell r="B48">
            <v>0</v>
          </cell>
          <cell r="C48">
            <v>0</v>
          </cell>
          <cell r="D48">
            <v>0</v>
          </cell>
          <cell r="E48">
            <v>0</v>
          </cell>
          <cell r="F48">
            <v>0</v>
          </cell>
          <cell r="G48">
            <v>0</v>
          </cell>
          <cell r="H48">
            <v>0</v>
          </cell>
          <cell r="I48">
            <v>0</v>
          </cell>
          <cell r="J48">
            <v>0</v>
          </cell>
          <cell r="K48">
            <v>0</v>
          </cell>
        </row>
        <row r="49">
          <cell r="A49">
            <v>0</v>
          </cell>
          <cell r="B49">
            <v>0</v>
          </cell>
          <cell r="C49">
            <v>0</v>
          </cell>
          <cell r="D49">
            <v>0</v>
          </cell>
          <cell r="E49">
            <v>0</v>
          </cell>
          <cell r="F49">
            <v>0</v>
          </cell>
          <cell r="G49">
            <v>0</v>
          </cell>
          <cell r="H49">
            <v>0</v>
          </cell>
          <cell r="J49">
            <v>0</v>
          </cell>
          <cell r="K49">
            <v>0</v>
          </cell>
        </row>
        <row r="50">
          <cell r="A50" t="str">
            <v>Glands</v>
          </cell>
          <cell r="B50" t="str">
            <v>3 X 2.5</v>
          </cell>
          <cell r="C50" t="str">
            <v>3 X 10</v>
          </cell>
          <cell r="D50" t="str">
            <v>4 X 6</v>
          </cell>
          <cell r="E50" t="str">
            <v>4 X 10</v>
          </cell>
          <cell r="F50" t="str">
            <v>4 x 16</v>
          </cell>
          <cell r="G50" t="str">
            <v>4 x 25</v>
          </cell>
          <cell r="H50" t="str">
            <v>3 X 4</v>
          </cell>
          <cell r="I50" t="str">
            <v>2 X 1.5</v>
          </cell>
          <cell r="J50" t="str">
            <v>4 X 1.5</v>
          </cell>
          <cell r="K50" t="str">
            <v>5 X 1.5</v>
          </cell>
        </row>
        <row r="51">
          <cell r="A51">
            <v>0</v>
          </cell>
          <cell r="B51">
            <v>0</v>
          </cell>
          <cell r="C51">
            <v>0</v>
          </cell>
          <cell r="D51">
            <v>0</v>
          </cell>
          <cell r="E51">
            <v>0</v>
          </cell>
          <cell r="F51">
            <v>0</v>
          </cell>
          <cell r="G51" t="str">
            <v/>
          </cell>
          <cell r="H51">
            <v>0</v>
          </cell>
          <cell r="J51">
            <v>0</v>
          </cell>
          <cell r="K51">
            <v>0</v>
          </cell>
        </row>
        <row r="52">
          <cell r="A52" t="str">
            <v>List price( Jainsons R 2 dt 1.4.03 )</v>
          </cell>
          <cell r="B52">
            <v>10.85</v>
          </cell>
          <cell r="C52">
            <v>15.9</v>
          </cell>
          <cell r="D52">
            <v>17.899999999999999</v>
          </cell>
          <cell r="E52">
            <v>27.15</v>
          </cell>
          <cell r="F52">
            <v>34</v>
          </cell>
          <cell r="G52">
            <v>36.799999999999997</v>
          </cell>
          <cell r="H52">
            <v>12.6</v>
          </cell>
          <cell r="I52">
            <v>10.050000000000001</v>
          </cell>
          <cell r="J52">
            <v>12.6</v>
          </cell>
          <cell r="K52">
            <v>12.6</v>
          </cell>
        </row>
        <row r="53">
          <cell r="A53" t="str">
            <v>Less 30 % discount</v>
          </cell>
          <cell r="B53">
            <v>3.2549999999999999</v>
          </cell>
          <cell r="C53">
            <v>4.7699999999999996</v>
          </cell>
          <cell r="D53">
            <v>5.3699999999999992</v>
          </cell>
          <cell r="E53">
            <v>8.1449999999999996</v>
          </cell>
          <cell r="F53">
            <v>10.199999999999999</v>
          </cell>
          <cell r="G53">
            <v>11.04</v>
          </cell>
          <cell r="H53">
            <v>3.78</v>
          </cell>
          <cell r="I53">
            <v>3.0150000000000001</v>
          </cell>
          <cell r="J53">
            <v>3.78</v>
          </cell>
          <cell r="K53">
            <v>3.78</v>
          </cell>
        </row>
        <row r="54">
          <cell r="A54" t="str">
            <v>A 1</v>
          </cell>
          <cell r="B54">
            <v>7.5949999999999998</v>
          </cell>
          <cell r="C54">
            <v>11.13</v>
          </cell>
          <cell r="D54">
            <v>12.53</v>
          </cell>
          <cell r="E54">
            <v>19.004999999999999</v>
          </cell>
          <cell r="F54">
            <v>23.8</v>
          </cell>
          <cell r="G54">
            <v>25.759999999999998</v>
          </cell>
          <cell r="H54">
            <v>8.82</v>
          </cell>
          <cell r="I54">
            <v>7.0350000000000001</v>
          </cell>
          <cell r="J54">
            <v>8.82</v>
          </cell>
          <cell r="K54">
            <v>8.82</v>
          </cell>
        </row>
        <row r="55">
          <cell r="A55" t="str">
            <v xml:space="preserve">Add 16 % ED </v>
          </cell>
          <cell r="B55">
            <v>1.2152000000000001</v>
          </cell>
          <cell r="C55">
            <v>1.7808000000000002</v>
          </cell>
          <cell r="D55">
            <v>2.0047999999999999</v>
          </cell>
          <cell r="E55">
            <v>3.0407999999999999</v>
          </cell>
          <cell r="F55">
            <v>3.8080000000000003</v>
          </cell>
          <cell r="G55">
            <v>4.1215999999999999</v>
          </cell>
          <cell r="H55">
            <v>1.4112</v>
          </cell>
          <cell r="I55">
            <v>1.1256000000000002</v>
          </cell>
          <cell r="J55">
            <v>1.4112</v>
          </cell>
          <cell r="K55">
            <v>1.4112</v>
          </cell>
        </row>
        <row r="56">
          <cell r="A56">
            <v>0</v>
          </cell>
          <cell r="B56">
            <v>8.8102</v>
          </cell>
          <cell r="C56">
            <v>12.910800000000002</v>
          </cell>
          <cell r="D56">
            <v>14.534799999999999</v>
          </cell>
          <cell r="E56">
            <v>22.0458</v>
          </cell>
          <cell r="F56">
            <v>27.608000000000001</v>
          </cell>
          <cell r="G56">
            <v>29.881599999999999</v>
          </cell>
          <cell r="H56">
            <v>10.231200000000001</v>
          </cell>
          <cell r="I56">
            <v>8.1606000000000005</v>
          </cell>
          <cell r="J56">
            <v>10.231200000000001</v>
          </cell>
          <cell r="K56">
            <v>10.231200000000001</v>
          </cell>
        </row>
        <row r="57">
          <cell r="A57" t="str">
            <v>Add 15.3 % MST</v>
          </cell>
          <cell r="B57">
            <v>2.9073660000000001</v>
          </cell>
          <cell r="C57">
            <v>4.2605640000000005</v>
          </cell>
          <cell r="D57">
            <v>4.7964839999999995</v>
          </cell>
          <cell r="E57">
            <v>7.2751140000000003</v>
          </cell>
          <cell r="F57">
            <v>9.1106400000000001</v>
          </cell>
          <cell r="G57">
            <v>9.8609279999999995</v>
          </cell>
          <cell r="H57">
            <v>3.3762960000000004</v>
          </cell>
          <cell r="I57">
            <v>2.6929980000000002</v>
          </cell>
          <cell r="J57">
            <v>3.3762960000000004</v>
          </cell>
          <cell r="K57">
            <v>3.3762960000000004</v>
          </cell>
        </row>
        <row r="58">
          <cell r="A58">
            <v>0</v>
          </cell>
          <cell r="B58">
            <v>11.717566</v>
          </cell>
          <cell r="C58">
            <v>17.171364000000004</v>
          </cell>
          <cell r="D58">
            <v>19.331283999999997</v>
          </cell>
          <cell r="E58">
            <v>29.320914000000002</v>
          </cell>
          <cell r="F58">
            <v>36.718640000000001</v>
          </cell>
          <cell r="G58">
            <v>39.742528</v>
          </cell>
          <cell r="H58">
            <v>13.607496000000001</v>
          </cell>
          <cell r="I58">
            <v>10.853598000000002</v>
          </cell>
          <cell r="J58">
            <v>13.607496000000001</v>
          </cell>
          <cell r="K58">
            <v>13.607496000000001</v>
          </cell>
        </row>
        <row r="59">
          <cell r="A59" t="str">
            <v>Say</v>
          </cell>
          <cell r="B59">
            <v>12</v>
          </cell>
          <cell r="C59">
            <v>17</v>
          </cell>
          <cell r="D59">
            <v>19</v>
          </cell>
          <cell r="E59">
            <v>29</v>
          </cell>
          <cell r="F59">
            <v>37</v>
          </cell>
          <cell r="G59">
            <v>40</v>
          </cell>
          <cell r="H59">
            <v>14</v>
          </cell>
          <cell r="I59">
            <v>11</v>
          </cell>
          <cell r="J59">
            <v>14</v>
          </cell>
          <cell r="K59">
            <v>14</v>
          </cell>
        </row>
        <row r="60">
          <cell r="A60">
            <v>0</v>
          </cell>
          <cell r="D60">
            <v>0</v>
          </cell>
          <cell r="E60">
            <v>0</v>
          </cell>
          <cell r="F60">
            <v>0</v>
          </cell>
          <cell r="G60">
            <v>0</v>
          </cell>
          <cell r="H60">
            <v>0</v>
          </cell>
          <cell r="I60">
            <v>0</v>
          </cell>
          <cell r="J60">
            <v>0</v>
          </cell>
          <cell r="K60">
            <v>0</v>
          </cell>
        </row>
        <row r="61">
          <cell r="A61">
            <v>0</v>
          </cell>
          <cell r="D61">
            <v>0</v>
          </cell>
          <cell r="E61">
            <v>0</v>
          </cell>
          <cell r="F61">
            <v>0</v>
          </cell>
          <cell r="G61">
            <v>0</v>
          </cell>
          <cell r="H61">
            <v>0</v>
          </cell>
          <cell r="K61">
            <v>0</v>
          </cell>
        </row>
        <row r="62">
          <cell r="A62" t="str">
            <v xml:space="preserve">Cable compression glands and aluminium lugs </v>
          </cell>
          <cell r="D62">
            <v>0</v>
          </cell>
          <cell r="E62">
            <v>0</v>
          </cell>
          <cell r="F62">
            <v>0</v>
          </cell>
          <cell r="G62">
            <v>0</v>
          </cell>
          <cell r="H62">
            <v>0</v>
          </cell>
          <cell r="I62">
            <v>0</v>
          </cell>
          <cell r="J62">
            <v>0</v>
          </cell>
          <cell r="K62">
            <v>0</v>
          </cell>
        </row>
        <row r="63">
          <cell r="A63">
            <v>0</v>
          </cell>
          <cell r="D63">
            <v>0</v>
          </cell>
          <cell r="E63">
            <v>0</v>
          </cell>
          <cell r="F63">
            <v>0</v>
          </cell>
          <cell r="G63">
            <v>0</v>
          </cell>
          <cell r="H63">
            <v>0</v>
          </cell>
          <cell r="I63">
            <v>0</v>
          </cell>
          <cell r="J63">
            <v>0</v>
          </cell>
          <cell r="K63">
            <v>0</v>
          </cell>
        </row>
        <row r="64">
          <cell r="A64" t="str">
            <v>Lugs</v>
          </cell>
          <cell r="B64" t="str">
            <v>3.5 X 150</v>
          </cell>
          <cell r="C64" t="str">
            <v>3.5 X 300</v>
          </cell>
          <cell r="D64" t="str">
            <v>3.5 X 400</v>
          </cell>
          <cell r="E64" t="str">
            <v>3.5 X 500</v>
          </cell>
          <cell r="F64" t="str">
            <v>3 X 120</v>
          </cell>
          <cell r="G64" t="str">
            <v>3.5 X 240</v>
          </cell>
          <cell r="H64">
            <v>0</v>
          </cell>
          <cell r="I64">
            <v>0</v>
          </cell>
          <cell r="J64">
            <v>0</v>
          </cell>
          <cell r="K64">
            <v>0</v>
          </cell>
        </row>
        <row r="65">
          <cell r="A65">
            <v>0</v>
          </cell>
          <cell r="D65">
            <v>0</v>
          </cell>
          <cell r="E65">
            <v>0</v>
          </cell>
          <cell r="F65">
            <v>0</v>
          </cell>
          <cell r="G65">
            <v>0</v>
          </cell>
          <cell r="H65">
            <v>0</v>
          </cell>
          <cell r="I65">
            <v>0</v>
          </cell>
          <cell r="J65">
            <v>0</v>
          </cell>
          <cell r="K65">
            <v>0</v>
          </cell>
        </row>
        <row r="66">
          <cell r="A66" t="str">
            <v>List price( Jainsons R 2 dt 1.4.03 )</v>
          </cell>
          <cell r="B66">
            <v>42.309999999999995</v>
          </cell>
          <cell r="C66">
            <v>120.99</v>
          </cell>
          <cell r="D66">
            <v>178.57999999999998</v>
          </cell>
          <cell r="E66">
            <v>252.71999999999997</v>
          </cell>
          <cell r="F66">
            <v>28.049999999999997</v>
          </cell>
          <cell r="G66">
            <v>87.11</v>
          </cell>
          <cell r="H66">
            <v>0</v>
          </cell>
          <cell r="I66">
            <v>0</v>
          </cell>
          <cell r="J66">
            <v>0</v>
          </cell>
          <cell r="K66">
            <v>0</v>
          </cell>
        </row>
        <row r="67">
          <cell r="A67" t="str">
            <v>Less 30 % discount</v>
          </cell>
          <cell r="B67">
            <v>12.692999999999998</v>
          </cell>
          <cell r="C67">
            <v>36.296999999999997</v>
          </cell>
          <cell r="D67">
            <v>53.573999999999991</v>
          </cell>
          <cell r="E67">
            <v>75.815999999999988</v>
          </cell>
          <cell r="F67">
            <v>8.4149999999999991</v>
          </cell>
          <cell r="G67">
            <v>26.132999999999999</v>
          </cell>
          <cell r="H67">
            <v>0</v>
          </cell>
          <cell r="I67">
            <v>0</v>
          </cell>
          <cell r="J67">
            <v>0</v>
          </cell>
          <cell r="K67">
            <v>0</v>
          </cell>
        </row>
        <row r="68">
          <cell r="A68" t="str">
            <v>A 1</v>
          </cell>
          <cell r="B68">
            <v>29.616999999999997</v>
          </cell>
          <cell r="C68">
            <v>84.692999999999998</v>
          </cell>
          <cell r="D68">
            <v>125.006</v>
          </cell>
          <cell r="E68">
            <v>176.904</v>
          </cell>
          <cell r="F68">
            <v>19.634999999999998</v>
          </cell>
          <cell r="G68">
            <v>60.977000000000004</v>
          </cell>
          <cell r="H68">
            <v>0</v>
          </cell>
          <cell r="I68">
            <v>0</v>
          </cell>
          <cell r="J68">
            <v>0</v>
          </cell>
          <cell r="K68">
            <v>0</v>
          </cell>
        </row>
        <row r="69">
          <cell r="A69" t="str">
            <v xml:space="preserve">Add 16 % ED </v>
          </cell>
          <cell r="B69">
            <v>4.7387199999999998</v>
          </cell>
          <cell r="C69">
            <v>13.550879999999999</v>
          </cell>
          <cell r="D69">
            <v>20.000959999999999</v>
          </cell>
          <cell r="E69">
            <v>28.304639999999999</v>
          </cell>
          <cell r="F69">
            <v>3.1415999999999999</v>
          </cell>
          <cell r="G69">
            <v>9.7563200000000005</v>
          </cell>
          <cell r="H69">
            <v>0</v>
          </cell>
          <cell r="I69">
            <v>0</v>
          </cell>
          <cell r="J69">
            <v>0</v>
          </cell>
          <cell r="K69">
            <v>0</v>
          </cell>
        </row>
        <row r="70">
          <cell r="A70">
            <v>0</v>
          </cell>
          <cell r="B70">
            <v>34.355719999999998</v>
          </cell>
          <cell r="C70">
            <v>98.24387999999999</v>
          </cell>
          <cell r="D70">
            <v>145.00695999999999</v>
          </cell>
          <cell r="E70">
            <v>205.20864</v>
          </cell>
          <cell r="F70">
            <v>22.776599999999998</v>
          </cell>
          <cell r="G70">
            <v>70.733320000000006</v>
          </cell>
          <cell r="H70">
            <v>0</v>
          </cell>
          <cell r="I70">
            <v>0</v>
          </cell>
          <cell r="J70">
            <v>0</v>
          </cell>
          <cell r="K70">
            <v>0</v>
          </cell>
        </row>
        <row r="71">
          <cell r="A71" t="str">
            <v>Add 15.3 % MST</v>
          </cell>
          <cell r="B71">
            <v>11.3373876</v>
          </cell>
          <cell r="C71">
            <v>32.420480399999995</v>
          </cell>
          <cell r="D71">
            <v>47.852296799999998</v>
          </cell>
          <cell r="E71">
            <v>67.718851200000003</v>
          </cell>
          <cell r="F71">
            <v>7.5162779999999998</v>
          </cell>
          <cell r="G71">
            <v>23.341995600000004</v>
          </cell>
          <cell r="H71">
            <v>0</v>
          </cell>
          <cell r="J71">
            <v>0</v>
          </cell>
          <cell r="K71">
            <v>0</v>
          </cell>
        </row>
        <row r="72">
          <cell r="A72">
            <v>0</v>
          </cell>
          <cell r="B72">
            <v>45.693107599999998</v>
          </cell>
          <cell r="C72">
            <v>130.66436039999999</v>
          </cell>
          <cell r="D72">
            <v>192.8592568</v>
          </cell>
          <cell r="E72">
            <v>272.92749120000002</v>
          </cell>
          <cell r="F72">
            <v>30.292877999999998</v>
          </cell>
          <cell r="G72">
            <v>94.07531560000001</v>
          </cell>
          <cell r="H72">
            <v>0</v>
          </cell>
          <cell r="J72">
            <v>0</v>
          </cell>
          <cell r="K72">
            <v>0</v>
          </cell>
        </row>
        <row r="73">
          <cell r="A73" t="str">
            <v>Say</v>
          </cell>
          <cell r="B73">
            <v>46</v>
          </cell>
          <cell r="C73">
            <v>131</v>
          </cell>
          <cell r="D73">
            <v>193</v>
          </cell>
          <cell r="E73">
            <v>273</v>
          </cell>
          <cell r="F73">
            <v>30</v>
          </cell>
          <cell r="G73">
            <v>94</v>
          </cell>
          <cell r="H73">
            <v>0</v>
          </cell>
          <cell r="J73">
            <v>0</v>
          </cell>
          <cell r="K73">
            <v>0</v>
          </cell>
        </row>
        <row r="74">
          <cell r="A74">
            <v>0</v>
          </cell>
          <cell r="D74">
            <v>0</v>
          </cell>
          <cell r="E74">
            <v>0</v>
          </cell>
          <cell r="F74">
            <v>0</v>
          </cell>
          <cell r="G74">
            <v>0</v>
          </cell>
          <cell r="H74">
            <v>0</v>
          </cell>
          <cell r="J74">
            <v>0</v>
          </cell>
          <cell r="K74">
            <v>0</v>
          </cell>
        </row>
        <row r="75">
          <cell r="A75">
            <v>0</v>
          </cell>
          <cell r="D75">
            <v>0</v>
          </cell>
          <cell r="E75">
            <v>0</v>
          </cell>
          <cell r="F75">
            <v>0</v>
          </cell>
          <cell r="G75">
            <v>0</v>
          </cell>
          <cell r="H75">
            <v>0</v>
          </cell>
          <cell r="J75">
            <v>0</v>
          </cell>
          <cell r="K75">
            <v>0</v>
          </cell>
        </row>
        <row r="76">
          <cell r="A76" t="str">
            <v>Glands</v>
          </cell>
          <cell r="B76" t="str">
            <v>3.5 X 150</v>
          </cell>
          <cell r="C76" t="str">
            <v>3.5 X 300</v>
          </cell>
          <cell r="D76" t="str">
            <v>3.5 X 400</v>
          </cell>
          <cell r="E76" t="str">
            <v>3.5 X 500</v>
          </cell>
          <cell r="F76" t="str">
            <v>3 X 120</v>
          </cell>
          <cell r="G76" t="str">
            <v>3.5 X 240</v>
          </cell>
          <cell r="H76">
            <v>0</v>
          </cell>
          <cell r="J76">
            <v>0</v>
          </cell>
          <cell r="K76">
            <v>0</v>
          </cell>
        </row>
        <row r="77">
          <cell r="A77">
            <v>0</v>
          </cell>
          <cell r="D77">
            <v>0</v>
          </cell>
          <cell r="E77">
            <v>0</v>
          </cell>
          <cell r="F77">
            <v>0</v>
          </cell>
          <cell r="G77">
            <v>0</v>
          </cell>
          <cell r="H77">
            <v>0</v>
          </cell>
          <cell r="J77">
            <v>0</v>
          </cell>
          <cell r="K77">
            <v>0</v>
          </cell>
        </row>
        <row r="78">
          <cell r="A78" t="str">
            <v>List price( Jainsons R 2 dt 1.4.03 )</v>
          </cell>
          <cell r="B78">
            <v>144.75</v>
          </cell>
          <cell r="C78">
            <v>194.4</v>
          </cell>
          <cell r="D78">
            <v>282.25</v>
          </cell>
          <cell r="E78">
            <v>419.25</v>
          </cell>
          <cell r="F78">
            <v>109.5</v>
          </cell>
          <cell r="G78">
            <v>194.4</v>
          </cell>
          <cell r="H78">
            <v>0</v>
          </cell>
          <cell r="J78">
            <v>0</v>
          </cell>
          <cell r="K78">
            <v>0</v>
          </cell>
        </row>
        <row r="79">
          <cell r="A79" t="str">
            <v>Less 30 % discount</v>
          </cell>
          <cell r="B79">
            <v>43.424999999999997</v>
          </cell>
          <cell r="C79">
            <v>58.32</v>
          </cell>
          <cell r="D79">
            <v>84.674999999999997</v>
          </cell>
          <cell r="E79">
            <v>125.77499999999999</v>
          </cell>
          <cell r="F79">
            <v>32.85</v>
          </cell>
          <cell r="G79">
            <v>58.32</v>
          </cell>
          <cell r="H79">
            <v>0</v>
          </cell>
          <cell r="J79">
            <v>0</v>
          </cell>
          <cell r="K79">
            <v>0</v>
          </cell>
        </row>
        <row r="80">
          <cell r="A80" t="str">
            <v>A 1</v>
          </cell>
          <cell r="B80">
            <v>101.325</v>
          </cell>
          <cell r="C80">
            <v>136.08000000000001</v>
          </cell>
          <cell r="D80">
            <v>197.57499999999999</v>
          </cell>
          <cell r="E80">
            <v>293.47500000000002</v>
          </cell>
          <cell r="F80">
            <v>76.650000000000006</v>
          </cell>
          <cell r="G80">
            <v>136.08000000000001</v>
          </cell>
          <cell r="H80">
            <v>0</v>
          </cell>
          <cell r="J80">
            <v>0</v>
          </cell>
          <cell r="K80">
            <v>0</v>
          </cell>
        </row>
        <row r="81">
          <cell r="A81" t="str">
            <v xml:space="preserve">Add 16 % ED </v>
          </cell>
          <cell r="B81">
            <v>16.212</v>
          </cell>
          <cell r="C81">
            <v>21.772800000000004</v>
          </cell>
          <cell r="D81">
            <v>31.611999999999998</v>
          </cell>
          <cell r="E81">
            <v>46.956000000000003</v>
          </cell>
          <cell r="F81">
            <v>12.264000000000001</v>
          </cell>
          <cell r="G81">
            <v>21.772800000000004</v>
          </cell>
          <cell r="H81">
            <v>0</v>
          </cell>
          <cell r="K81">
            <v>0</v>
          </cell>
        </row>
        <row r="82">
          <cell r="A82">
            <v>0</v>
          </cell>
          <cell r="B82">
            <v>117.53700000000001</v>
          </cell>
          <cell r="C82">
            <v>157.8528</v>
          </cell>
          <cell r="D82">
            <v>229.18699999999998</v>
          </cell>
          <cell r="E82">
            <v>340.43100000000004</v>
          </cell>
          <cell r="F82">
            <v>88.914000000000001</v>
          </cell>
          <cell r="G82">
            <v>157.8528</v>
          </cell>
          <cell r="H82">
            <v>0</v>
          </cell>
          <cell r="K82">
            <v>0</v>
          </cell>
        </row>
        <row r="83">
          <cell r="A83" t="str">
            <v>Add 15.3 % MST</v>
          </cell>
          <cell r="B83">
            <v>38.787210000000002</v>
          </cell>
          <cell r="C83">
            <v>52.091424000000004</v>
          </cell>
          <cell r="D83">
            <v>75.631709999999998</v>
          </cell>
          <cell r="E83">
            <v>112.34223000000001</v>
          </cell>
          <cell r="F83">
            <v>29.341620000000002</v>
          </cell>
          <cell r="G83">
            <v>52.091424000000004</v>
          </cell>
          <cell r="H83">
            <v>0</v>
          </cell>
          <cell r="I83">
            <v>0</v>
          </cell>
          <cell r="J83">
            <v>0</v>
          </cell>
          <cell r="K83">
            <v>0</v>
          </cell>
        </row>
        <row r="84">
          <cell r="A84">
            <v>0</v>
          </cell>
          <cell r="B84">
            <v>156.32420999999999</v>
          </cell>
          <cell r="C84">
            <v>209.94422400000002</v>
          </cell>
          <cell r="D84">
            <v>304.81871000000001</v>
          </cell>
          <cell r="E84">
            <v>452.77323000000007</v>
          </cell>
          <cell r="F84">
            <v>118.25562000000001</v>
          </cell>
          <cell r="G84">
            <v>209.94422400000002</v>
          </cell>
          <cell r="H84">
            <v>0</v>
          </cell>
          <cell r="I84">
            <v>0</v>
          </cell>
          <cell r="J84">
            <v>0</v>
          </cell>
          <cell r="K84">
            <v>0</v>
          </cell>
        </row>
        <row r="85">
          <cell r="A85" t="str">
            <v>Say</v>
          </cell>
          <cell r="B85">
            <v>156</v>
          </cell>
          <cell r="C85">
            <v>210</v>
          </cell>
          <cell r="D85">
            <v>305</v>
          </cell>
          <cell r="E85">
            <v>453</v>
          </cell>
          <cell r="F85">
            <v>118</v>
          </cell>
          <cell r="G85">
            <v>210</v>
          </cell>
          <cell r="H85">
            <v>0</v>
          </cell>
          <cell r="I85">
            <v>0</v>
          </cell>
          <cell r="J85">
            <v>0</v>
          </cell>
          <cell r="K85">
            <v>0</v>
          </cell>
        </row>
        <row r="86">
          <cell r="A86">
            <v>0</v>
          </cell>
          <cell r="D86">
            <v>0</v>
          </cell>
          <cell r="E86">
            <v>0</v>
          </cell>
          <cell r="F86">
            <v>0</v>
          </cell>
          <cell r="G86">
            <v>0</v>
          </cell>
          <cell r="H86">
            <v>0</v>
          </cell>
          <cell r="I86">
            <v>0</v>
          </cell>
          <cell r="J86">
            <v>0</v>
          </cell>
          <cell r="K86">
            <v>0</v>
          </cell>
        </row>
        <row r="87">
          <cell r="A87">
            <v>0</v>
          </cell>
          <cell r="D87">
            <v>0</v>
          </cell>
          <cell r="E87">
            <v>0</v>
          </cell>
          <cell r="F87">
            <v>0</v>
          </cell>
          <cell r="G87">
            <v>0</v>
          </cell>
          <cell r="H87">
            <v>0</v>
          </cell>
          <cell r="I87">
            <v>0</v>
          </cell>
          <cell r="J87">
            <v>0</v>
          </cell>
          <cell r="K87">
            <v>0</v>
          </cell>
        </row>
        <row r="88">
          <cell r="A88" t="str">
            <v>Perforated Galvanised Steel Cable Trays</v>
          </cell>
          <cell r="D88">
            <v>0</v>
          </cell>
          <cell r="E88">
            <v>0</v>
          </cell>
          <cell r="F88">
            <v>0</v>
          </cell>
          <cell r="G88">
            <v>0</v>
          </cell>
          <cell r="H88">
            <v>0</v>
          </cell>
          <cell r="K88">
            <v>0</v>
          </cell>
        </row>
        <row r="89">
          <cell r="A89">
            <v>0</v>
          </cell>
          <cell r="D89">
            <v>0</v>
          </cell>
          <cell r="E89">
            <v>0</v>
          </cell>
          <cell r="F89">
            <v>0</v>
          </cell>
          <cell r="G89">
            <v>0</v>
          </cell>
          <cell r="H89">
            <v>0</v>
          </cell>
          <cell r="K89">
            <v>0</v>
          </cell>
        </row>
        <row r="90">
          <cell r="A90" t="str">
            <v>Cable Tray</v>
          </cell>
          <cell r="B90" t="str">
            <v>1200 mm</v>
          </cell>
          <cell r="C90" t="str">
            <v>600 mm</v>
          </cell>
          <cell r="D90" t="str">
            <v>450 mm</v>
          </cell>
          <cell r="E90" t="str">
            <v>300 mm</v>
          </cell>
          <cell r="F90" t="str">
            <v>150 mm</v>
          </cell>
          <cell r="G90" t="str">
            <v xml:space="preserve">100 mm </v>
          </cell>
          <cell r="H90" t="str">
            <v>75 mm</v>
          </cell>
          <cell r="K90">
            <v>0</v>
          </cell>
        </row>
        <row r="91">
          <cell r="A91">
            <v>0</v>
          </cell>
          <cell r="D91">
            <v>0</v>
          </cell>
          <cell r="F91">
            <v>0</v>
          </cell>
          <cell r="G91">
            <v>0</v>
          </cell>
          <cell r="H91">
            <v>0</v>
          </cell>
          <cell r="K91">
            <v>0</v>
          </cell>
        </row>
        <row r="92">
          <cell r="A92" t="str">
            <v>Commerical Offer of Profab</v>
          </cell>
          <cell r="B92">
            <v>1200</v>
          </cell>
          <cell r="C92">
            <v>475</v>
          </cell>
          <cell r="D92">
            <v>375</v>
          </cell>
          <cell r="E92">
            <v>280</v>
          </cell>
          <cell r="F92">
            <v>170</v>
          </cell>
          <cell r="G92">
            <v>125</v>
          </cell>
          <cell r="H92">
            <v>105</v>
          </cell>
          <cell r="K92">
            <v>0</v>
          </cell>
        </row>
        <row r="93">
          <cell r="A93" t="str">
            <v>Less 10 % discount</v>
          </cell>
          <cell r="B93">
            <v>120</v>
          </cell>
          <cell r="C93">
            <v>47.5</v>
          </cell>
          <cell r="D93">
            <v>37.5</v>
          </cell>
          <cell r="E93">
            <v>28</v>
          </cell>
          <cell r="F93">
            <v>17</v>
          </cell>
          <cell r="G93">
            <v>12.5</v>
          </cell>
          <cell r="H93">
            <v>10.5</v>
          </cell>
          <cell r="I93">
            <v>0</v>
          </cell>
          <cell r="J93">
            <v>0</v>
          </cell>
          <cell r="K93">
            <v>0</v>
          </cell>
        </row>
        <row r="94">
          <cell r="A94" t="str">
            <v>A 1</v>
          </cell>
          <cell r="B94">
            <v>1080</v>
          </cell>
          <cell r="C94">
            <v>427.5</v>
          </cell>
          <cell r="D94">
            <v>337.5</v>
          </cell>
          <cell r="E94">
            <v>252</v>
          </cell>
          <cell r="F94">
            <v>153</v>
          </cell>
          <cell r="G94">
            <v>112.5</v>
          </cell>
          <cell r="H94">
            <v>94.5</v>
          </cell>
          <cell r="I94">
            <v>0</v>
          </cell>
          <cell r="J94">
            <v>0</v>
          </cell>
          <cell r="K94">
            <v>0</v>
          </cell>
        </row>
        <row r="95">
          <cell r="A95" t="str">
            <v xml:space="preserve">Add 16 % ED </v>
          </cell>
          <cell r="B95">
            <v>172.8</v>
          </cell>
          <cell r="C95">
            <v>68.400000000000006</v>
          </cell>
          <cell r="D95">
            <v>54</v>
          </cell>
          <cell r="E95">
            <v>40.32</v>
          </cell>
          <cell r="F95">
            <v>24.48</v>
          </cell>
          <cell r="G95">
            <v>18</v>
          </cell>
          <cell r="H95">
            <v>15.120000000000001</v>
          </cell>
          <cell r="I95">
            <v>0</v>
          </cell>
          <cell r="J95">
            <v>0</v>
          </cell>
          <cell r="K95">
            <v>0</v>
          </cell>
        </row>
        <row r="96">
          <cell r="A96">
            <v>0</v>
          </cell>
          <cell r="B96">
            <v>1252.8</v>
          </cell>
          <cell r="C96">
            <v>495.9</v>
          </cell>
          <cell r="D96">
            <v>391.5</v>
          </cell>
          <cell r="E96">
            <v>292.32</v>
          </cell>
          <cell r="F96">
            <v>177.48</v>
          </cell>
          <cell r="G96">
            <v>130.5</v>
          </cell>
          <cell r="H96">
            <v>109.62</v>
          </cell>
          <cell r="I96">
            <v>0</v>
          </cell>
          <cell r="J96">
            <v>0</v>
          </cell>
          <cell r="K96">
            <v>0</v>
          </cell>
        </row>
        <row r="97">
          <cell r="A97" t="str">
            <v>Add 15.3 % MST</v>
          </cell>
          <cell r="B97">
            <v>191.67839999999998</v>
          </cell>
          <cell r="C97">
            <v>75.872699999999995</v>
          </cell>
          <cell r="D97">
            <v>59.899499999999996</v>
          </cell>
          <cell r="E97">
            <v>44.724959999999996</v>
          </cell>
          <cell r="F97">
            <v>27.154439999999997</v>
          </cell>
          <cell r="G97">
            <v>19.9665</v>
          </cell>
          <cell r="H97">
            <v>16.77186</v>
          </cell>
          <cell r="K97">
            <v>0</v>
          </cell>
        </row>
        <row r="98">
          <cell r="A98">
            <v>0</v>
          </cell>
          <cell r="B98">
            <v>1444.4784</v>
          </cell>
          <cell r="C98">
            <v>571.77269999999999</v>
          </cell>
          <cell r="D98">
            <v>451.39949999999999</v>
          </cell>
          <cell r="E98">
            <v>337.04496</v>
          </cell>
          <cell r="F98">
            <v>204.63443999999998</v>
          </cell>
          <cell r="G98">
            <v>150.4665</v>
          </cell>
          <cell r="H98">
            <v>126.39186000000001</v>
          </cell>
          <cell r="K98">
            <v>0</v>
          </cell>
        </row>
        <row r="99">
          <cell r="A99" t="str">
            <v>Say</v>
          </cell>
          <cell r="B99">
            <v>1444</v>
          </cell>
          <cell r="C99">
            <v>572</v>
          </cell>
          <cell r="D99">
            <v>451</v>
          </cell>
          <cell r="E99">
            <v>337</v>
          </cell>
          <cell r="F99">
            <v>205</v>
          </cell>
          <cell r="G99">
            <v>150</v>
          </cell>
          <cell r="H99">
            <v>126</v>
          </cell>
          <cell r="K99">
            <v>0</v>
          </cell>
        </row>
        <row r="100">
          <cell r="A100">
            <v>0</v>
          </cell>
          <cell r="D100">
            <v>0</v>
          </cell>
          <cell r="E100">
            <v>0</v>
          </cell>
          <cell r="F100">
            <v>0</v>
          </cell>
          <cell r="G100">
            <v>0</v>
          </cell>
          <cell r="H100">
            <v>0</v>
          </cell>
          <cell r="J100">
            <v>0</v>
          </cell>
          <cell r="K100">
            <v>0</v>
          </cell>
        </row>
        <row r="101">
          <cell r="A101" t="str">
            <v>Bends</v>
          </cell>
          <cell r="B101" t="str">
            <v>1200 mm</v>
          </cell>
          <cell r="C101" t="str">
            <v>600 mm</v>
          </cell>
          <cell r="D101" t="str">
            <v>450 mm</v>
          </cell>
          <cell r="E101" t="str">
            <v>300 mm</v>
          </cell>
          <cell r="F101" t="str">
            <v>150 mm</v>
          </cell>
          <cell r="G101" t="str">
            <v xml:space="preserve">100 mm </v>
          </cell>
          <cell r="H101" t="str">
            <v>75 mm</v>
          </cell>
          <cell r="J101">
            <v>0</v>
          </cell>
          <cell r="K101">
            <v>0</v>
          </cell>
        </row>
        <row r="102">
          <cell r="A102" t="str">
            <v>Basic Rate</v>
          </cell>
          <cell r="B102">
            <v>1000</v>
          </cell>
          <cell r="C102">
            <v>700</v>
          </cell>
          <cell r="D102">
            <v>560</v>
          </cell>
          <cell r="E102">
            <v>420</v>
          </cell>
          <cell r="F102">
            <v>255</v>
          </cell>
          <cell r="G102">
            <v>170</v>
          </cell>
          <cell r="H102">
            <v>140</v>
          </cell>
          <cell r="K102">
            <v>0</v>
          </cell>
        </row>
        <row r="103">
          <cell r="A103" t="str">
            <v>After 10 % Discount</v>
          </cell>
          <cell r="B103">
            <v>900</v>
          </cell>
          <cell r="C103">
            <v>630</v>
          </cell>
          <cell r="D103">
            <v>504</v>
          </cell>
          <cell r="E103">
            <v>378</v>
          </cell>
          <cell r="F103">
            <v>229.5</v>
          </cell>
          <cell r="G103">
            <v>153</v>
          </cell>
          <cell r="H103">
            <v>126</v>
          </cell>
          <cell r="I103">
            <v>0</v>
          </cell>
          <cell r="J103">
            <v>0</v>
          </cell>
          <cell r="K103">
            <v>0</v>
          </cell>
        </row>
        <row r="104">
          <cell r="A104">
            <v>0</v>
          </cell>
          <cell r="D104">
            <v>0</v>
          </cell>
          <cell r="F104">
            <v>0</v>
          </cell>
          <cell r="G104">
            <v>0</v>
          </cell>
          <cell r="H104">
            <v>0</v>
          </cell>
          <cell r="K104">
            <v>0</v>
          </cell>
        </row>
        <row r="105">
          <cell r="A105" t="str">
            <v>Reducer</v>
          </cell>
          <cell r="B105" t="str">
            <v>1200 mm</v>
          </cell>
          <cell r="C105" t="str">
            <v>600 mm</v>
          </cell>
          <cell r="D105" t="str">
            <v>450 mm</v>
          </cell>
          <cell r="E105" t="str">
            <v>300 mm</v>
          </cell>
          <cell r="F105" t="str">
            <v>150 mm</v>
          </cell>
          <cell r="G105">
            <v>0</v>
          </cell>
          <cell r="H105">
            <v>0</v>
          </cell>
          <cell r="I105">
            <v>0</v>
          </cell>
          <cell r="J105">
            <v>0</v>
          </cell>
          <cell r="K105">
            <v>0</v>
          </cell>
        </row>
        <row r="106">
          <cell r="A106" t="str">
            <v>Basic Rate</v>
          </cell>
          <cell r="B106">
            <v>700</v>
          </cell>
          <cell r="C106">
            <v>660</v>
          </cell>
          <cell r="D106">
            <v>525</v>
          </cell>
          <cell r="E106">
            <v>365</v>
          </cell>
          <cell r="F106">
            <v>220</v>
          </cell>
          <cell r="G106">
            <v>160</v>
          </cell>
          <cell r="H106">
            <v>130</v>
          </cell>
          <cell r="K106">
            <v>0</v>
          </cell>
        </row>
        <row r="107">
          <cell r="A107" t="str">
            <v>After 10 % Discount</v>
          </cell>
          <cell r="B107">
            <v>630</v>
          </cell>
          <cell r="C107">
            <v>594</v>
          </cell>
          <cell r="D107">
            <v>472.5</v>
          </cell>
          <cell r="E107">
            <v>328.5</v>
          </cell>
          <cell r="F107">
            <v>198</v>
          </cell>
          <cell r="G107">
            <v>144</v>
          </cell>
          <cell r="H107">
            <v>117</v>
          </cell>
          <cell r="K107">
            <v>0</v>
          </cell>
        </row>
        <row r="108">
          <cell r="A108">
            <v>0</v>
          </cell>
          <cell r="D108">
            <v>0</v>
          </cell>
          <cell r="F108">
            <v>0</v>
          </cell>
          <cell r="G108">
            <v>0</v>
          </cell>
          <cell r="H108">
            <v>0</v>
          </cell>
          <cell r="K108">
            <v>0</v>
          </cell>
        </row>
        <row r="109">
          <cell r="A109" t="str">
            <v>Tee</v>
          </cell>
          <cell r="B109" t="str">
            <v>1200 mm</v>
          </cell>
          <cell r="C109" t="str">
            <v>600 mm</v>
          </cell>
          <cell r="D109" t="str">
            <v>450 mm</v>
          </cell>
          <cell r="E109" t="str">
            <v>300 mm</v>
          </cell>
          <cell r="F109" t="str">
            <v>150 mm</v>
          </cell>
          <cell r="G109">
            <v>0</v>
          </cell>
          <cell r="H109">
            <v>0</v>
          </cell>
          <cell r="K109">
            <v>0</v>
          </cell>
        </row>
        <row r="110">
          <cell r="A110" t="str">
            <v>Basic Rate</v>
          </cell>
          <cell r="B110">
            <v>1000</v>
          </cell>
          <cell r="C110">
            <v>810</v>
          </cell>
          <cell r="D110">
            <v>640</v>
          </cell>
          <cell r="E110">
            <v>450</v>
          </cell>
          <cell r="F110">
            <v>270</v>
          </cell>
          <cell r="G110">
            <v>180</v>
          </cell>
          <cell r="H110">
            <v>150</v>
          </cell>
          <cell r="K110">
            <v>0</v>
          </cell>
        </row>
        <row r="111">
          <cell r="A111" t="str">
            <v>After 10 % Discount</v>
          </cell>
          <cell r="B111">
            <v>900</v>
          </cell>
          <cell r="C111">
            <v>729</v>
          </cell>
          <cell r="D111">
            <v>576</v>
          </cell>
          <cell r="E111">
            <v>405</v>
          </cell>
          <cell r="F111">
            <v>243</v>
          </cell>
          <cell r="G111">
            <v>162</v>
          </cell>
          <cell r="H111">
            <v>135</v>
          </cell>
          <cell r="K111">
            <v>0</v>
          </cell>
        </row>
        <row r="112">
          <cell r="A112">
            <v>0</v>
          </cell>
          <cell r="D112">
            <v>0</v>
          </cell>
          <cell r="F112">
            <v>0</v>
          </cell>
          <cell r="G112">
            <v>0</v>
          </cell>
          <cell r="H112">
            <v>0</v>
          </cell>
          <cell r="K112">
            <v>0</v>
          </cell>
        </row>
        <row r="113">
          <cell r="A113" t="str">
            <v>Cross member</v>
          </cell>
          <cell r="B113" t="str">
            <v>1200 mm</v>
          </cell>
          <cell r="C113" t="str">
            <v>600 mm</v>
          </cell>
          <cell r="D113" t="str">
            <v>450 mm</v>
          </cell>
          <cell r="E113" t="str">
            <v>300 mm</v>
          </cell>
          <cell r="F113" t="str">
            <v>150 mm</v>
          </cell>
          <cell r="G113">
            <v>0</v>
          </cell>
          <cell r="H113">
            <v>0</v>
          </cell>
          <cell r="K113">
            <v>0</v>
          </cell>
        </row>
        <row r="114">
          <cell r="A114" t="str">
            <v>Basic Rate</v>
          </cell>
          <cell r="B114">
            <v>1200</v>
          </cell>
          <cell r="C114">
            <v>950</v>
          </cell>
          <cell r="D114">
            <v>750</v>
          </cell>
          <cell r="E114">
            <v>530</v>
          </cell>
          <cell r="F114">
            <v>320</v>
          </cell>
          <cell r="G114">
            <v>200</v>
          </cell>
          <cell r="H114">
            <v>160</v>
          </cell>
          <cell r="J114">
            <v>0</v>
          </cell>
          <cell r="K114">
            <v>0</v>
          </cell>
        </row>
        <row r="115">
          <cell r="A115" t="str">
            <v>After 10 % Discount</v>
          </cell>
          <cell r="B115">
            <v>1080</v>
          </cell>
          <cell r="C115">
            <v>855</v>
          </cell>
          <cell r="D115">
            <v>675</v>
          </cell>
          <cell r="E115">
            <v>477</v>
          </cell>
          <cell r="F115">
            <v>288</v>
          </cell>
          <cell r="G115">
            <v>180</v>
          </cell>
          <cell r="H115">
            <v>144</v>
          </cell>
          <cell r="J115">
            <v>0</v>
          </cell>
          <cell r="K115">
            <v>0</v>
          </cell>
        </row>
        <row r="116">
          <cell r="A116">
            <v>0</v>
          </cell>
          <cell r="D116">
            <v>0</v>
          </cell>
          <cell r="E116">
            <v>0</v>
          </cell>
          <cell r="F116">
            <v>0</v>
          </cell>
          <cell r="G116">
            <v>0</v>
          </cell>
          <cell r="H116">
            <v>0</v>
          </cell>
          <cell r="K116">
            <v>0</v>
          </cell>
        </row>
        <row r="117">
          <cell r="A117" t="str">
            <v>Galvanised Steel Floor Trunking and Accessories</v>
          </cell>
          <cell r="B117">
            <v>0</v>
          </cell>
          <cell r="C117">
            <v>0</v>
          </cell>
          <cell r="D117">
            <v>0</v>
          </cell>
          <cell r="E117">
            <v>0</v>
          </cell>
          <cell r="F117">
            <v>0</v>
          </cell>
          <cell r="G117">
            <v>0</v>
          </cell>
          <cell r="H117">
            <v>0</v>
          </cell>
          <cell r="J117">
            <v>0</v>
          </cell>
          <cell r="K117">
            <v>0</v>
          </cell>
        </row>
        <row r="118">
          <cell r="A118">
            <v>0</v>
          </cell>
          <cell r="D118">
            <v>0</v>
          </cell>
          <cell r="E118">
            <v>0</v>
          </cell>
          <cell r="F118">
            <v>0</v>
          </cell>
          <cell r="G118">
            <v>0</v>
          </cell>
          <cell r="H118">
            <v>0</v>
          </cell>
          <cell r="J118">
            <v>0</v>
          </cell>
          <cell r="K118">
            <v>0</v>
          </cell>
        </row>
        <row r="119">
          <cell r="A119" t="str">
            <v>Floor Trunking</v>
          </cell>
          <cell r="B119" t="str">
            <v>300 mm/3</v>
          </cell>
          <cell r="C119" t="str">
            <v>200 mm/3</v>
          </cell>
          <cell r="D119" t="str">
            <v>150 mm/3</v>
          </cell>
          <cell r="E119" t="str">
            <v>100 mm/2</v>
          </cell>
          <cell r="F119" t="str">
            <v>75 mm/1</v>
          </cell>
          <cell r="G119">
            <v>0</v>
          </cell>
          <cell r="H119">
            <v>0</v>
          </cell>
          <cell r="J119">
            <v>0</v>
          </cell>
          <cell r="K119">
            <v>0</v>
          </cell>
        </row>
        <row r="120">
          <cell r="A120">
            <v>0</v>
          </cell>
          <cell r="D120">
            <v>0</v>
          </cell>
          <cell r="E120">
            <v>0</v>
          </cell>
          <cell r="F120">
            <v>0</v>
          </cell>
          <cell r="G120">
            <v>0</v>
          </cell>
          <cell r="H120">
            <v>0</v>
          </cell>
          <cell r="J120">
            <v>0</v>
          </cell>
          <cell r="K120">
            <v>0</v>
          </cell>
        </row>
        <row r="121">
          <cell r="A121" t="str">
            <v>Commerical Offer of Profab</v>
          </cell>
          <cell r="B121">
            <v>580</v>
          </cell>
          <cell r="C121">
            <v>450</v>
          </cell>
          <cell r="D121">
            <v>385</v>
          </cell>
          <cell r="E121">
            <v>275</v>
          </cell>
          <cell r="F121">
            <v>205</v>
          </cell>
          <cell r="G121">
            <v>0</v>
          </cell>
          <cell r="H121">
            <v>0</v>
          </cell>
          <cell r="J121">
            <v>0</v>
          </cell>
          <cell r="K121">
            <v>0</v>
          </cell>
        </row>
        <row r="122">
          <cell r="A122" t="str">
            <v>Less 10 % discount</v>
          </cell>
          <cell r="B122">
            <v>58</v>
          </cell>
          <cell r="C122">
            <v>45</v>
          </cell>
          <cell r="D122">
            <v>38.5</v>
          </cell>
          <cell r="E122">
            <v>27.5</v>
          </cell>
          <cell r="F122">
            <v>20.5</v>
          </cell>
          <cell r="G122">
            <v>0</v>
          </cell>
          <cell r="H122">
            <v>0</v>
          </cell>
          <cell r="J122">
            <v>0</v>
          </cell>
          <cell r="K122">
            <v>0</v>
          </cell>
        </row>
        <row r="123">
          <cell r="A123" t="str">
            <v>A 1</v>
          </cell>
          <cell r="B123">
            <v>522</v>
          </cell>
          <cell r="C123">
            <v>405</v>
          </cell>
          <cell r="D123">
            <v>346.5</v>
          </cell>
          <cell r="E123">
            <v>247.5</v>
          </cell>
          <cell r="F123">
            <v>184.5</v>
          </cell>
          <cell r="G123">
            <v>0</v>
          </cell>
          <cell r="H123">
            <v>0</v>
          </cell>
          <cell r="J123">
            <v>0</v>
          </cell>
          <cell r="K123">
            <v>0</v>
          </cell>
        </row>
        <row r="124">
          <cell r="A124" t="str">
            <v>Add 15.3 % MST</v>
          </cell>
          <cell r="B124">
            <v>79.866</v>
          </cell>
          <cell r="C124">
            <v>61.964999999999996</v>
          </cell>
          <cell r="D124">
            <v>53.014499999999998</v>
          </cell>
          <cell r="E124">
            <v>37.8675</v>
          </cell>
          <cell r="F124">
            <v>28.2285</v>
          </cell>
          <cell r="G124">
            <v>0</v>
          </cell>
          <cell r="H124">
            <v>0</v>
          </cell>
          <cell r="J124">
            <v>0</v>
          </cell>
          <cell r="K124">
            <v>0</v>
          </cell>
        </row>
        <row r="125">
          <cell r="A125">
            <v>0</v>
          </cell>
          <cell r="B125">
            <v>601.86599999999999</v>
          </cell>
          <cell r="C125">
            <v>466.96499999999997</v>
          </cell>
          <cell r="D125">
            <v>399.5145</v>
          </cell>
          <cell r="E125">
            <v>285.36750000000001</v>
          </cell>
          <cell r="F125">
            <v>212.7285</v>
          </cell>
          <cell r="G125">
            <v>0</v>
          </cell>
          <cell r="H125">
            <v>0</v>
          </cell>
          <cell r="J125">
            <v>0</v>
          </cell>
          <cell r="K125">
            <v>0</v>
          </cell>
        </row>
        <row r="126">
          <cell r="A126" t="str">
            <v>Say</v>
          </cell>
          <cell r="B126">
            <v>602</v>
          </cell>
          <cell r="C126">
            <v>467</v>
          </cell>
          <cell r="D126">
            <v>400</v>
          </cell>
          <cell r="E126">
            <v>285</v>
          </cell>
          <cell r="F126">
            <v>213</v>
          </cell>
          <cell r="G126">
            <v>0</v>
          </cell>
          <cell r="H126">
            <v>0</v>
          </cell>
          <cell r="J126">
            <v>0</v>
          </cell>
          <cell r="K126">
            <v>0</v>
          </cell>
        </row>
        <row r="127">
          <cell r="A127">
            <v>0</v>
          </cell>
          <cell r="D127">
            <v>0</v>
          </cell>
          <cell r="E127">
            <v>0</v>
          </cell>
          <cell r="F127">
            <v>0</v>
          </cell>
          <cell r="G127">
            <v>0</v>
          </cell>
          <cell r="H127">
            <v>0</v>
          </cell>
          <cell r="J127">
            <v>0</v>
          </cell>
          <cell r="K127">
            <v>0</v>
          </cell>
        </row>
        <row r="128">
          <cell r="A128" t="str">
            <v xml:space="preserve">Junction Boxes </v>
          </cell>
          <cell r="B128" t="str">
            <v>200 mm</v>
          </cell>
          <cell r="C128" t="str">
            <v>250 mm</v>
          </cell>
          <cell r="D128" t="str">
            <v xml:space="preserve">400 mm </v>
          </cell>
          <cell r="E128">
            <v>0</v>
          </cell>
          <cell r="F128">
            <v>0</v>
          </cell>
          <cell r="G128">
            <v>0</v>
          </cell>
          <cell r="H128">
            <v>0</v>
          </cell>
          <cell r="J128">
            <v>0</v>
          </cell>
          <cell r="K128">
            <v>0</v>
          </cell>
        </row>
        <row r="129">
          <cell r="A129">
            <v>0</v>
          </cell>
          <cell r="B129">
            <v>0</v>
          </cell>
          <cell r="C129">
            <v>0</v>
          </cell>
          <cell r="D129">
            <v>0</v>
          </cell>
          <cell r="E129">
            <v>0</v>
          </cell>
          <cell r="F129">
            <v>0</v>
          </cell>
          <cell r="G129">
            <v>0</v>
          </cell>
          <cell r="H129">
            <v>0</v>
          </cell>
          <cell r="J129">
            <v>0</v>
          </cell>
          <cell r="K129">
            <v>0</v>
          </cell>
        </row>
        <row r="130">
          <cell r="A130" t="str">
            <v>Commerical Offer of Profab</v>
          </cell>
          <cell r="B130">
            <v>250</v>
          </cell>
          <cell r="C130">
            <v>325</v>
          </cell>
          <cell r="D130">
            <v>740</v>
          </cell>
          <cell r="E130">
            <v>0</v>
          </cell>
          <cell r="F130">
            <v>0</v>
          </cell>
          <cell r="G130">
            <v>0</v>
          </cell>
          <cell r="H130">
            <v>0</v>
          </cell>
          <cell r="K130">
            <v>0</v>
          </cell>
        </row>
        <row r="131">
          <cell r="A131" t="str">
            <v>Less 10 % discount</v>
          </cell>
          <cell r="B131">
            <v>25</v>
          </cell>
          <cell r="C131">
            <v>32.5</v>
          </cell>
          <cell r="D131">
            <v>74</v>
          </cell>
          <cell r="E131">
            <v>0</v>
          </cell>
          <cell r="F131">
            <v>0</v>
          </cell>
          <cell r="G131">
            <v>0</v>
          </cell>
          <cell r="H131">
            <v>0</v>
          </cell>
          <cell r="K131">
            <v>0</v>
          </cell>
        </row>
        <row r="132">
          <cell r="A132" t="str">
            <v>A 1</v>
          </cell>
          <cell r="B132">
            <v>225</v>
          </cell>
          <cell r="C132">
            <v>292.5</v>
          </cell>
          <cell r="D132">
            <v>666</v>
          </cell>
          <cell r="E132">
            <v>0</v>
          </cell>
          <cell r="F132">
            <v>0</v>
          </cell>
          <cell r="G132">
            <v>0</v>
          </cell>
          <cell r="H132">
            <v>0</v>
          </cell>
          <cell r="K132">
            <v>0</v>
          </cell>
        </row>
        <row r="133">
          <cell r="A133" t="str">
            <v>Add 15.3 % MST</v>
          </cell>
          <cell r="B133">
            <v>34.424999999999997</v>
          </cell>
          <cell r="C133">
            <v>44.752499999999998</v>
          </cell>
          <cell r="D133">
            <v>101.898</v>
          </cell>
          <cell r="E133">
            <v>0</v>
          </cell>
          <cell r="F133">
            <v>0</v>
          </cell>
          <cell r="G133">
            <v>0</v>
          </cell>
          <cell r="H133">
            <v>0</v>
          </cell>
          <cell r="K133">
            <v>0</v>
          </cell>
        </row>
        <row r="134">
          <cell r="A134">
            <v>0</v>
          </cell>
          <cell r="B134">
            <v>259.42500000000001</v>
          </cell>
          <cell r="C134">
            <v>337.2525</v>
          </cell>
          <cell r="D134">
            <v>767.89800000000002</v>
          </cell>
          <cell r="E134">
            <v>0</v>
          </cell>
          <cell r="F134">
            <v>0</v>
          </cell>
          <cell r="G134">
            <v>0</v>
          </cell>
          <cell r="H134">
            <v>0</v>
          </cell>
          <cell r="K134">
            <v>0</v>
          </cell>
        </row>
        <row r="135">
          <cell r="A135">
            <v>0</v>
          </cell>
          <cell r="B135">
            <v>259</v>
          </cell>
          <cell r="C135">
            <v>337</v>
          </cell>
          <cell r="D135">
            <v>768</v>
          </cell>
          <cell r="F135">
            <v>0</v>
          </cell>
          <cell r="G135">
            <v>0</v>
          </cell>
          <cell r="H135">
            <v>0</v>
          </cell>
          <cell r="K135">
            <v>0</v>
          </cell>
        </row>
        <row r="136">
          <cell r="A136">
            <v>0</v>
          </cell>
          <cell r="D136">
            <v>0</v>
          </cell>
          <cell r="E136">
            <v>0</v>
          </cell>
          <cell r="F136">
            <v>0</v>
          </cell>
          <cell r="G136">
            <v>0</v>
          </cell>
          <cell r="H136">
            <v>0</v>
          </cell>
          <cell r="K136">
            <v>0</v>
          </cell>
        </row>
        <row r="137">
          <cell r="A137">
            <v>0</v>
          </cell>
          <cell r="D137">
            <v>0</v>
          </cell>
          <cell r="E137">
            <v>0</v>
          </cell>
          <cell r="F137">
            <v>0</v>
          </cell>
          <cell r="G137">
            <v>0</v>
          </cell>
          <cell r="H137">
            <v>0</v>
          </cell>
          <cell r="I137">
            <v>0</v>
          </cell>
          <cell r="J137">
            <v>0</v>
          </cell>
          <cell r="K137">
            <v>0</v>
          </cell>
        </row>
        <row r="138">
          <cell r="A138" t="str">
            <v>Access Boxes</v>
          </cell>
          <cell r="B138" t="str">
            <v>200 mm</v>
          </cell>
          <cell r="C138" t="str">
            <v>250 mm</v>
          </cell>
          <cell r="D138" t="str">
            <v xml:space="preserve">400 mm </v>
          </cell>
          <cell r="E138">
            <v>0</v>
          </cell>
          <cell r="F138">
            <v>0</v>
          </cell>
          <cell r="G138">
            <v>0</v>
          </cell>
          <cell r="H138">
            <v>0</v>
          </cell>
          <cell r="I138">
            <v>0</v>
          </cell>
          <cell r="J138">
            <v>0</v>
          </cell>
          <cell r="K138">
            <v>0</v>
          </cell>
        </row>
        <row r="139">
          <cell r="A139">
            <v>0</v>
          </cell>
          <cell r="D139">
            <v>0</v>
          </cell>
          <cell r="E139">
            <v>0</v>
          </cell>
          <cell r="F139">
            <v>0</v>
          </cell>
          <cell r="G139">
            <v>0</v>
          </cell>
          <cell r="H139">
            <v>0</v>
          </cell>
          <cell r="I139">
            <v>0</v>
          </cell>
          <cell r="J139">
            <v>0</v>
          </cell>
          <cell r="K139">
            <v>0</v>
          </cell>
        </row>
        <row r="140">
          <cell r="A140" t="str">
            <v>Commerical Offer of Profab</v>
          </cell>
          <cell r="B140">
            <v>260</v>
          </cell>
          <cell r="C140">
            <v>290</v>
          </cell>
          <cell r="D140">
            <v>460</v>
          </cell>
          <cell r="E140">
            <v>0</v>
          </cell>
          <cell r="F140">
            <v>0</v>
          </cell>
          <cell r="G140">
            <v>0</v>
          </cell>
          <cell r="H140">
            <v>0</v>
          </cell>
          <cell r="I140">
            <v>0</v>
          </cell>
          <cell r="J140">
            <v>0</v>
          </cell>
          <cell r="K140">
            <v>0</v>
          </cell>
        </row>
        <row r="141">
          <cell r="A141" t="str">
            <v>Less 10 % discount</v>
          </cell>
          <cell r="B141">
            <v>26</v>
          </cell>
          <cell r="C141">
            <v>29</v>
          </cell>
          <cell r="D141">
            <v>46</v>
          </cell>
          <cell r="E141">
            <v>0</v>
          </cell>
          <cell r="F141">
            <v>0</v>
          </cell>
          <cell r="G141">
            <v>0</v>
          </cell>
          <cell r="H141">
            <v>0</v>
          </cell>
          <cell r="J141">
            <v>0</v>
          </cell>
          <cell r="K141">
            <v>0</v>
          </cell>
        </row>
        <row r="142">
          <cell r="A142" t="str">
            <v>A 1</v>
          </cell>
          <cell r="B142">
            <v>234</v>
          </cell>
          <cell r="C142">
            <v>261</v>
          </cell>
          <cell r="D142">
            <v>414</v>
          </cell>
          <cell r="E142">
            <v>0</v>
          </cell>
          <cell r="F142">
            <v>0</v>
          </cell>
          <cell r="G142">
            <v>0</v>
          </cell>
          <cell r="H142">
            <v>0</v>
          </cell>
          <cell r="K142">
            <v>0</v>
          </cell>
        </row>
        <row r="143">
          <cell r="A143" t="str">
            <v>Add 15.3 % MST</v>
          </cell>
          <cell r="B143">
            <v>35.802</v>
          </cell>
          <cell r="C143">
            <v>39.933</v>
          </cell>
          <cell r="D143">
            <v>63.341999999999999</v>
          </cell>
          <cell r="E143">
            <v>0</v>
          </cell>
          <cell r="F143">
            <v>0</v>
          </cell>
          <cell r="G143">
            <v>0</v>
          </cell>
          <cell r="H143">
            <v>0</v>
          </cell>
          <cell r="I143">
            <v>0</v>
          </cell>
          <cell r="J143">
            <v>0</v>
          </cell>
          <cell r="K143">
            <v>0</v>
          </cell>
        </row>
        <row r="144">
          <cell r="A144">
            <v>0</v>
          </cell>
          <cell r="B144">
            <v>269.80200000000002</v>
          </cell>
          <cell r="C144">
            <v>300.93299999999999</v>
          </cell>
          <cell r="D144">
            <v>477.34199999999998</v>
          </cell>
          <cell r="E144">
            <v>0</v>
          </cell>
          <cell r="F144">
            <v>0</v>
          </cell>
          <cell r="G144">
            <v>0</v>
          </cell>
          <cell r="H144">
            <v>0</v>
          </cell>
          <cell r="I144">
            <v>0</v>
          </cell>
          <cell r="J144">
            <v>0</v>
          </cell>
          <cell r="K144">
            <v>0</v>
          </cell>
        </row>
        <row r="145">
          <cell r="A145">
            <v>0</v>
          </cell>
          <cell r="B145">
            <v>270</v>
          </cell>
          <cell r="C145">
            <v>301</v>
          </cell>
          <cell r="D145">
            <v>477</v>
          </cell>
          <cell r="E145">
            <v>0</v>
          </cell>
          <cell r="F145">
            <v>0</v>
          </cell>
          <cell r="G145">
            <v>0</v>
          </cell>
          <cell r="H145">
            <v>0</v>
          </cell>
          <cell r="I145">
            <v>0</v>
          </cell>
          <cell r="J145">
            <v>0</v>
          </cell>
          <cell r="K145">
            <v>0</v>
          </cell>
        </row>
        <row r="146">
          <cell r="A146">
            <v>0</v>
          </cell>
          <cell r="D146">
            <v>0</v>
          </cell>
          <cell r="E146">
            <v>0</v>
          </cell>
          <cell r="F146">
            <v>0</v>
          </cell>
          <cell r="G146">
            <v>0</v>
          </cell>
          <cell r="H146">
            <v>0</v>
          </cell>
          <cell r="I146">
            <v>0</v>
          </cell>
          <cell r="J146">
            <v>0</v>
          </cell>
          <cell r="K146">
            <v>0</v>
          </cell>
        </row>
        <row r="147">
          <cell r="A147" t="str">
            <v xml:space="preserve">Right Angled Bends </v>
          </cell>
          <cell r="B147" t="str">
            <v>300 mm</v>
          </cell>
          <cell r="D147">
            <v>0</v>
          </cell>
          <cell r="E147">
            <v>0</v>
          </cell>
          <cell r="F147">
            <v>0</v>
          </cell>
          <cell r="G147">
            <v>0</v>
          </cell>
          <cell r="H147">
            <v>0</v>
          </cell>
          <cell r="I147">
            <v>0</v>
          </cell>
          <cell r="J147">
            <v>0</v>
          </cell>
          <cell r="K147">
            <v>0</v>
          </cell>
        </row>
        <row r="148">
          <cell r="A148">
            <v>0</v>
          </cell>
          <cell r="D148">
            <v>0</v>
          </cell>
          <cell r="E148">
            <v>0</v>
          </cell>
          <cell r="F148">
            <v>0</v>
          </cell>
          <cell r="G148">
            <v>0</v>
          </cell>
          <cell r="H148">
            <v>0</v>
          </cell>
          <cell r="I148">
            <v>0</v>
          </cell>
          <cell r="J148">
            <v>0</v>
          </cell>
          <cell r="K148">
            <v>0</v>
          </cell>
        </row>
        <row r="149">
          <cell r="A149" t="str">
            <v>Commerical Offer of Profab</v>
          </cell>
          <cell r="B149">
            <v>730</v>
          </cell>
          <cell r="D149">
            <v>0</v>
          </cell>
          <cell r="E149">
            <v>0</v>
          </cell>
          <cell r="F149">
            <v>0</v>
          </cell>
          <cell r="G149">
            <v>0</v>
          </cell>
          <cell r="H149">
            <v>0</v>
          </cell>
          <cell r="I149">
            <v>0</v>
          </cell>
          <cell r="J149">
            <v>0</v>
          </cell>
          <cell r="K149">
            <v>0</v>
          </cell>
        </row>
        <row r="150">
          <cell r="A150" t="str">
            <v>Less 10 % discount</v>
          </cell>
          <cell r="B150">
            <v>73</v>
          </cell>
          <cell r="D150">
            <v>0</v>
          </cell>
          <cell r="E150">
            <v>0</v>
          </cell>
          <cell r="F150">
            <v>0</v>
          </cell>
          <cell r="G150">
            <v>0</v>
          </cell>
          <cell r="H150">
            <v>0</v>
          </cell>
          <cell r="I150">
            <v>0</v>
          </cell>
          <cell r="J150">
            <v>0</v>
          </cell>
          <cell r="K150">
            <v>0</v>
          </cell>
        </row>
        <row r="151">
          <cell r="A151" t="str">
            <v>A 1</v>
          </cell>
          <cell r="B151">
            <v>657</v>
          </cell>
          <cell r="D151">
            <v>0</v>
          </cell>
          <cell r="E151">
            <v>0</v>
          </cell>
          <cell r="F151">
            <v>0</v>
          </cell>
          <cell r="G151">
            <v>0</v>
          </cell>
          <cell r="H151">
            <v>0</v>
          </cell>
          <cell r="I151">
            <v>0</v>
          </cell>
          <cell r="J151">
            <v>0</v>
          </cell>
          <cell r="K151">
            <v>0</v>
          </cell>
        </row>
        <row r="152">
          <cell r="A152" t="str">
            <v>Add 15.3 % MST</v>
          </cell>
          <cell r="B152">
            <v>100.521</v>
          </cell>
          <cell r="D152">
            <v>0</v>
          </cell>
          <cell r="E152">
            <v>0</v>
          </cell>
          <cell r="F152">
            <v>0</v>
          </cell>
          <cell r="G152">
            <v>0</v>
          </cell>
          <cell r="H152">
            <v>0</v>
          </cell>
          <cell r="I152">
            <v>0</v>
          </cell>
          <cell r="J152">
            <v>0</v>
          </cell>
          <cell r="K152">
            <v>0</v>
          </cell>
        </row>
        <row r="153">
          <cell r="A153">
            <v>0</v>
          </cell>
          <cell r="B153">
            <v>757.52099999999996</v>
          </cell>
          <cell r="D153">
            <v>0</v>
          </cell>
          <cell r="E153">
            <v>0</v>
          </cell>
          <cell r="F153">
            <v>0</v>
          </cell>
          <cell r="G153">
            <v>0</v>
          </cell>
          <cell r="H153">
            <v>0</v>
          </cell>
          <cell r="I153">
            <v>0</v>
          </cell>
          <cell r="J153">
            <v>0</v>
          </cell>
          <cell r="K153">
            <v>0</v>
          </cell>
        </row>
        <row r="154">
          <cell r="A154">
            <v>0</v>
          </cell>
          <cell r="B154">
            <v>758</v>
          </cell>
          <cell r="D154">
            <v>0</v>
          </cell>
          <cell r="E154">
            <v>0</v>
          </cell>
          <cell r="F154">
            <v>0</v>
          </cell>
          <cell r="G154">
            <v>0</v>
          </cell>
          <cell r="H154">
            <v>0</v>
          </cell>
          <cell r="I154">
            <v>0</v>
          </cell>
          <cell r="J154">
            <v>0</v>
          </cell>
          <cell r="K154">
            <v>0</v>
          </cell>
        </row>
        <row r="155">
          <cell r="A155">
            <v>0</v>
          </cell>
          <cell r="D155">
            <v>0</v>
          </cell>
          <cell r="E155">
            <v>0</v>
          </cell>
          <cell r="F155">
            <v>0</v>
          </cell>
          <cell r="G155">
            <v>0</v>
          </cell>
          <cell r="H155">
            <v>0</v>
          </cell>
          <cell r="I155">
            <v>0</v>
          </cell>
          <cell r="J155">
            <v>0</v>
          </cell>
          <cell r="K155">
            <v>0</v>
          </cell>
        </row>
        <row r="156">
          <cell r="A156" t="str">
            <v xml:space="preserve">MV Floor Panels </v>
          </cell>
          <cell r="D156">
            <v>0</v>
          </cell>
          <cell r="E156">
            <v>0</v>
          </cell>
          <cell r="F156">
            <v>0</v>
          </cell>
          <cell r="G156">
            <v>0</v>
          </cell>
          <cell r="H156">
            <v>0</v>
          </cell>
          <cell r="I156">
            <v>0</v>
          </cell>
          <cell r="J156">
            <v>0</v>
          </cell>
          <cell r="K156">
            <v>0</v>
          </cell>
        </row>
        <row r="157">
          <cell r="A157">
            <v>0</v>
          </cell>
          <cell r="D157">
            <v>0</v>
          </cell>
          <cell r="E157">
            <v>0</v>
          </cell>
          <cell r="F157">
            <v>0</v>
          </cell>
          <cell r="G157">
            <v>0</v>
          </cell>
          <cell r="H157">
            <v>0</v>
          </cell>
          <cell r="I157">
            <v>0</v>
          </cell>
          <cell r="J157">
            <v>0</v>
          </cell>
          <cell r="K157">
            <v>0</v>
          </cell>
        </row>
        <row r="158">
          <cell r="A158">
            <v>0</v>
          </cell>
          <cell r="B158" t="str">
            <v>G,2nd-8th</v>
          </cell>
          <cell r="C158" t="str">
            <v>First floor</v>
          </cell>
          <cell r="D158" t="str">
            <v>Terrace</v>
          </cell>
          <cell r="E158" t="str">
            <v>AHU 2to7</v>
          </cell>
          <cell r="F158" t="str">
            <v>AHU G,!,8</v>
          </cell>
          <cell r="G158" t="str">
            <v>Nor UB</v>
          </cell>
          <cell r="H158" t="str">
            <v>Nor LB</v>
          </cell>
          <cell r="I158" t="str">
            <v>Essl UB</v>
          </cell>
          <cell r="J158" t="str">
            <v>Essl LB</v>
          </cell>
          <cell r="K158" t="str">
            <v>Norm Ext</v>
          </cell>
        </row>
        <row r="159">
          <cell r="A159">
            <v>0</v>
          </cell>
          <cell r="D159">
            <v>0</v>
          </cell>
          <cell r="E159">
            <v>0</v>
          </cell>
          <cell r="F159">
            <v>0</v>
          </cell>
          <cell r="G159">
            <v>0</v>
          </cell>
          <cell r="H159">
            <v>0</v>
          </cell>
          <cell r="I159">
            <v>0</v>
          </cell>
          <cell r="J159">
            <v>0</v>
          </cell>
          <cell r="K159">
            <v>0</v>
          </cell>
        </row>
        <row r="160">
          <cell r="A160" t="str">
            <v>Commerical Offer of Scoot Engg</v>
          </cell>
          <cell r="B160">
            <v>90000</v>
          </cell>
          <cell r="C160">
            <v>125000</v>
          </cell>
          <cell r="D160">
            <v>42000</v>
          </cell>
          <cell r="E160">
            <v>10000</v>
          </cell>
          <cell r="F160">
            <v>13000</v>
          </cell>
          <cell r="G160">
            <v>22000</v>
          </cell>
          <cell r="H160">
            <v>15000</v>
          </cell>
          <cell r="I160">
            <v>18500</v>
          </cell>
          <cell r="J160">
            <v>15000</v>
          </cell>
          <cell r="K160">
            <v>30000</v>
          </cell>
        </row>
        <row r="161">
          <cell r="A161" t="str">
            <v>Less 5 % discount</v>
          </cell>
          <cell r="B161">
            <v>4500</v>
          </cell>
          <cell r="C161">
            <v>6250</v>
          </cell>
          <cell r="D161">
            <v>2100</v>
          </cell>
          <cell r="E161">
            <v>500</v>
          </cell>
          <cell r="F161">
            <v>650</v>
          </cell>
          <cell r="G161">
            <v>1100</v>
          </cell>
          <cell r="H161">
            <v>750</v>
          </cell>
          <cell r="I161">
            <v>925</v>
          </cell>
          <cell r="J161">
            <v>750</v>
          </cell>
          <cell r="K161">
            <v>1500</v>
          </cell>
        </row>
        <row r="162">
          <cell r="A162" t="str">
            <v>A 1</v>
          </cell>
          <cell r="B162">
            <v>85500</v>
          </cell>
          <cell r="C162">
            <v>118750</v>
          </cell>
          <cell r="D162">
            <v>39900</v>
          </cell>
          <cell r="E162">
            <v>9500</v>
          </cell>
          <cell r="F162">
            <v>12350</v>
          </cell>
          <cell r="G162">
            <v>20900</v>
          </cell>
          <cell r="H162">
            <v>14250</v>
          </cell>
          <cell r="I162">
            <v>17575</v>
          </cell>
          <cell r="J162">
            <v>14250</v>
          </cell>
          <cell r="K162">
            <v>28500</v>
          </cell>
        </row>
        <row r="163">
          <cell r="A163" t="str">
            <v>Add 16 % ED</v>
          </cell>
          <cell r="B163">
            <v>13680</v>
          </cell>
          <cell r="C163">
            <v>19000</v>
          </cell>
          <cell r="D163">
            <v>6384</v>
          </cell>
          <cell r="E163">
            <v>1520</v>
          </cell>
          <cell r="F163">
            <v>1976</v>
          </cell>
          <cell r="G163">
            <v>3344</v>
          </cell>
          <cell r="H163">
            <v>2280</v>
          </cell>
          <cell r="I163">
            <v>2812</v>
          </cell>
          <cell r="J163">
            <v>2280</v>
          </cell>
          <cell r="K163">
            <v>4560</v>
          </cell>
        </row>
        <row r="164">
          <cell r="A164">
            <v>0</v>
          </cell>
          <cell r="B164">
            <v>99180</v>
          </cell>
          <cell r="C164">
            <v>137750</v>
          </cell>
          <cell r="D164">
            <v>46284</v>
          </cell>
          <cell r="E164">
            <v>11020</v>
          </cell>
          <cell r="F164">
            <v>14326</v>
          </cell>
          <cell r="G164">
            <v>24244</v>
          </cell>
          <cell r="H164">
            <v>16530</v>
          </cell>
          <cell r="I164">
            <v>20387</v>
          </cell>
          <cell r="J164">
            <v>16530</v>
          </cell>
          <cell r="K164">
            <v>33060</v>
          </cell>
        </row>
        <row r="165">
          <cell r="A165">
            <v>0</v>
          </cell>
          <cell r="B165">
            <v>99180</v>
          </cell>
          <cell r="C165">
            <v>137750</v>
          </cell>
          <cell r="D165">
            <v>46284</v>
          </cell>
          <cell r="E165">
            <v>11020</v>
          </cell>
          <cell r="F165">
            <v>14326</v>
          </cell>
          <cell r="G165">
            <v>24244</v>
          </cell>
          <cell r="H165">
            <v>16530</v>
          </cell>
          <cell r="I165">
            <v>20387</v>
          </cell>
          <cell r="J165">
            <v>16530</v>
          </cell>
          <cell r="K165">
            <v>33060</v>
          </cell>
        </row>
        <row r="166">
          <cell r="A166">
            <v>0</v>
          </cell>
          <cell r="B166">
            <v>0</v>
          </cell>
          <cell r="C166">
            <v>0</v>
          </cell>
          <cell r="D166">
            <v>0</v>
          </cell>
          <cell r="E166">
            <v>0</v>
          </cell>
          <cell r="F166">
            <v>0</v>
          </cell>
          <cell r="G166">
            <v>0</v>
          </cell>
          <cell r="H166">
            <v>0</v>
          </cell>
          <cell r="J166">
            <v>0</v>
          </cell>
          <cell r="K166">
            <v>0</v>
          </cell>
        </row>
        <row r="167">
          <cell r="A167">
            <v>0</v>
          </cell>
          <cell r="B167">
            <v>0</v>
          </cell>
          <cell r="C167">
            <v>0</v>
          </cell>
          <cell r="D167">
            <v>0</v>
          </cell>
          <cell r="E167">
            <v>0</v>
          </cell>
          <cell r="F167">
            <v>0</v>
          </cell>
          <cell r="G167">
            <v>0</v>
          </cell>
          <cell r="H167">
            <v>0</v>
          </cell>
          <cell r="K167">
            <v>0</v>
          </cell>
        </row>
        <row r="168">
          <cell r="A168" t="str">
            <v>Normal Range modular accessories</v>
          </cell>
          <cell r="B168">
            <v>0</v>
          </cell>
          <cell r="C168">
            <v>0</v>
          </cell>
          <cell r="D168">
            <v>0</v>
          </cell>
          <cell r="E168">
            <v>0</v>
          </cell>
          <cell r="F168">
            <v>0</v>
          </cell>
          <cell r="G168">
            <v>0</v>
          </cell>
          <cell r="H168">
            <v>0</v>
          </cell>
          <cell r="J168">
            <v>0</v>
          </cell>
          <cell r="K168">
            <v>0</v>
          </cell>
        </row>
        <row r="169">
          <cell r="A169">
            <v>0</v>
          </cell>
          <cell r="B169" t="str">
            <v>1 M</v>
          </cell>
          <cell r="C169" t="str">
            <v>2 M</v>
          </cell>
          <cell r="D169" t="str">
            <v>3 M</v>
          </cell>
          <cell r="E169" t="str">
            <v>4 M</v>
          </cell>
          <cell r="F169" t="str">
            <v>6 M</v>
          </cell>
          <cell r="G169" t="str">
            <v>8 M</v>
          </cell>
          <cell r="H169" t="str">
            <v>12 M</v>
          </cell>
          <cell r="I169" t="str">
            <v>15 M</v>
          </cell>
          <cell r="J169" t="str">
            <v>18 M</v>
          </cell>
          <cell r="K169" t="str">
            <v/>
          </cell>
        </row>
        <row r="170">
          <cell r="A170" t="str">
            <v>TRESA Glossy Plate Anchor Roma</v>
          </cell>
          <cell r="B170">
            <v>58</v>
          </cell>
          <cell r="C170">
            <v>60</v>
          </cell>
          <cell r="D170">
            <v>76</v>
          </cell>
          <cell r="E170">
            <v>88</v>
          </cell>
          <cell r="F170">
            <v>128</v>
          </cell>
          <cell r="G170">
            <v>154</v>
          </cell>
          <cell r="H170">
            <v>196</v>
          </cell>
          <cell r="J170">
            <v>208</v>
          </cell>
          <cell r="K170">
            <v>0</v>
          </cell>
        </row>
        <row r="171">
          <cell r="A171" t="str">
            <v>Less Discount     15%</v>
          </cell>
          <cell r="B171">
            <v>8.6999999999999993</v>
          </cell>
          <cell r="C171">
            <v>9</v>
          </cell>
          <cell r="D171">
            <v>11.4</v>
          </cell>
          <cell r="E171">
            <v>13.2</v>
          </cell>
          <cell r="F171">
            <v>19.2</v>
          </cell>
          <cell r="G171">
            <v>23.099999999999998</v>
          </cell>
          <cell r="H171">
            <v>29.4</v>
          </cell>
          <cell r="I171">
            <v>0</v>
          </cell>
          <cell r="J171">
            <v>31.2</v>
          </cell>
          <cell r="K171">
            <v>0</v>
          </cell>
        </row>
        <row r="172">
          <cell r="A172">
            <v>0</v>
          </cell>
          <cell r="B172">
            <v>49.3</v>
          </cell>
          <cell r="C172">
            <v>51</v>
          </cell>
          <cell r="D172">
            <v>64.599999999999994</v>
          </cell>
          <cell r="E172">
            <v>74.8</v>
          </cell>
          <cell r="F172">
            <v>108.8</v>
          </cell>
          <cell r="G172">
            <v>130.9</v>
          </cell>
          <cell r="H172">
            <v>166.6</v>
          </cell>
          <cell r="I172">
            <v>0</v>
          </cell>
          <cell r="J172">
            <v>176.8</v>
          </cell>
          <cell r="K172">
            <v>0</v>
          </cell>
        </row>
        <row r="173">
          <cell r="A173">
            <v>0</v>
          </cell>
          <cell r="B173">
            <v>49</v>
          </cell>
          <cell r="C173">
            <v>51</v>
          </cell>
          <cell r="D173">
            <v>65</v>
          </cell>
          <cell r="E173">
            <v>75</v>
          </cell>
          <cell r="F173">
            <v>109</v>
          </cell>
          <cell r="G173">
            <v>131</v>
          </cell>
          <cell r="H173">
            <v>167</v>
          </cell>
          <cell r="I173">
            <v>0</v>
          </cell>
          <cell r="J173">
            <v>177</v>
          </cell>
          <cell r="K173">
            <v>0</v>
          </cell>
        </row>
        <row r="174">
          <cell r="A174">
            <v>0</v>
          </cell>
          <cell r="D174">
            <v>0</v>
          </cell>
          <cell r="E174">
            <v>0</v>
          </cell>
          <cell r="F174">
            <v>0</v>
          </cell>
          <cell r="G174">
            <v>0</v>
          </cell>
          <cell r="H174">
            <v>0</v>
          </cell>
          <cell r="K174">
            <v>0</v>
          </cell>
        </row>
        <row r="175">
          <cell r="A175">
            <v>0</v>
          </cell>
          <cell r="D175">
            <v>0</v>
          </cell>
          <cell r="E175">
            <v>0</v>
          </cell>
          <cell r="F175">
            <v>0</v>
          </cell>
          <cell r="G175">
            <v>0</v>
          </cell>
          <cell r="H175">
            <v>0</v>
          </cell>
          <cell r="J175">
            <v>0</v>
          </cell>
          <cell r="K175">
            <v>0</v>
          </cell>
        </row>
        <row r="176">
          <cell r="A176" t="str">
            <v xml:space="preserve">Metal Concealed Box </v>
          </cell>
          <cell r="B176">
            <v>26</v>
          </cell>
          <cell r="C176">
            <v>26</v>
          </cell>
          <cell r="D176">
            <v>39</v>
          </cell>
          <cell r="E176">
            <v>48</v>
          </cell>
          <cell r="F176">
            <v>69</v>
          </cell>
          <cell r="G176">
            <v>112</v>
          </cell>
          <cell r="H176">
            <v>116</v>
          </cell>
          <cell r="J176">
            <v>132</v>
          </cell>
          <cell r="K176">
            <v>0</v>
          </cell>
        </row>
        <row r="177">
          <cell r="A177" t="str">
            <v>Less Discount     15%</v>
          </cell>
          <cell r="B177">
            <v>3.9</v>
          </cell>
          <cell r="C177">
            <v>3.9</v>
          </cell>
          <cell r="D177">
            <v>5.85</v>
          </cell>
          <cell r="E177">
            <v>7.1999999999999993</v>
          </cell>
          <cell r="F177">
            <v>10.35</v>
          </cell>
          <cell r="G177">
            <v>16.8</v>
          </cell>
          <cell r="H177">
            <v>17.399999999999999</v>
          </cell>
          <cell r="I177">
            <v>0</v>
          </cell>
          <cell r="J177">
            <v>19.8</v>
          </cell>
          <cell r="K177">
            <v>0</v>
          </cell>
        </row>
        <row r="178">
          <cell r="A178">
            <v>0</v>
          </cell>
          <cell r="B178">
            <v>22.1</v>
          </cell>
          <cell r="C178">
            <v>22.1</v>
          </cell>
          <cell r="D178">
            <v>33.15</v>
          </cell>
          <cell r="E178">
            <v>40.799999999999997</v>
          </cell>
          <cell r="F178">
            <v>58.65</v>
          </cell>
          <cell r="G178">
            <v>95.2</v>
          </cell>
          <cell r="H178">
            <v>98.6</v>
          </cell>
          <cell r="I178">
            <v>0</v>
          </cell>
          <cell r="J178">
            <v>112.2</v>
          </cell>
          <cell r="K178">
            <v>0</v>
          </cell>
        </row>
        <row r="179">
          <cell r="A179">
            <v>0</v>
          </cell>
          <cell r="B179">
            <v>22</v>
          </cell>
          <cell r="C179">
            <v>22</v>
          </cell>
          <cell r="D179">
            <v>33</v>
          </cell>
          <cell r="E179">
            <v>41</v>
          </cell>
          <cell r="F179">
            <v>59</v>
          </cell>
          <cell r="G179">
            <v>95</v>
          </cell>
          <cell r="H179">
            <v>99</v>
          </cell>
          <cell r="I179">
            <v>0</v>
          </cell>
          <cell r="J179">
            <v>112</v>
          </cell>
          <cell r="K179">
            <v>0</v>
          </cell>
        </row>
        <row r="180">
          <cell r="A180">
            <v>0</v>
          </cell>
          <cell r="D180">
            <v>0</v>
          </cell>
          <cell r="E180">
            <v>0</v>
          </cell>
          <cell r="F180">
            <v>0</v>
          </cell>
          <cell r="G180">
            <v>0</v>
          </cell>
          <cell r="H180">
            <v>0</v>
          </cell>
          <cell r="J180">
            <v>0</v>
          </cell>
          <cell r="K180">
            <v>0</v>
          </cell>
        </row>
        <row r="181">
          <cell r="A181">
            <v>0</v>
          </cell>
          <cell r="D181">
            <v>0</v>
          </cell>
          <cell r="E181">
            <v>0</v>
          </cell>
          <cell r="F181">
            <v>0</v>
          </cell>
          <cell r="G181">
            <v>0</v>
          </cell>
          <cell r="H181">
            <v>0</v>
          </cell>
          <cell r="J181">
            <v>0</v>
          </cell>
          <cell r="K181">
            <v>0</v>
          </cell>
        </row>
        <row r="182">
          <cell r="A182">
            <v>0</v>
          </cell>
          <cell r="B182" t="str">
            <v>RJ 11</v>
          </cell>
          <cell r="C182" t="str">
            <v>6 A Switch</v>
          </cell>
          <cell r="D182" t="str">
            <v>16 A Switch</v>
          </cell>
          <cell r="E182" t="str">
            <v>16 A D Switch</v>
          </cell>
          <cell r="F182" t="str">
            <v>6 A 3 pin</v>
          </cell>
          <cell r="G182" t="str">
            <v>6 A 5 pin</v>
          </cell>
          <cell r="H182" t="str">
            <v>16 A 6 pin</v>
          </cell>
          <cell r="I182" t="str">
            <v>Blank plate</v>
          </cell>
          <cell r="J182" t="str">
            <v>Step type regulator</v>
          </cell>
          <cell r="K182">
            <v>0</v>
          </cell>
        </row>
        <row r="183">
          <cell r="A183" t="str">
            <v>Modular swi/socket Anchor Roma</v>
          </cell>
          <cell r="B183">
            <v>74</v>
          </cell>
          <cell r="C183">
            <v>76</v>
          </cell>
          <cell r="D183">
            <v>98</v>
          </cell>
          <cell r="E183">
            <v>112</v>
          </cell>
          <cell r="F183">
            <v>97</v>
          </cell>
          <cell r="G183">
            <v>99</v>
          </cell>
          <cell r="H183">
            <v>164</v>
          </cell>
          <cell r="I183">
            <v>18</v>
          </cell>
          <cell r="J183">
            <v>390</v>
          </cell>
          <cell r="K183">
            <v>0</v>
          </cell>
        </row>
        <row r="184">
          <cell r="A184" t="str">
            <v>Less Discount     15%</v>
          </cell>
          <cell r="B184">
            <v>11.1</v>
          </cell>
          <cell r="C184">
            <v>11.4</v>
          </cell>
          <cell r="D184">
            <v>14.7</v>
          </cell>
          <cell r="E184">
            <v>16.8</v>
          </cell>
          <cell r="F184">
            <v>14.549999999999999</v>
          </cell>
          <cell r="G184">
            <v>14.85</v>
          </cell>
          <cell r="H184">
            <v>24.599999999999998</v>
          </cell>
          <cell r="I184">
            <v>2.6999999999999997</v>
          </cell>
          <cell r="J184">
            <v>58.5</v>
          </cell>
          <cell r="K184">
            <v>0</v>
          </cell>
        </row>
        <row r="185">
          <cell r="A185">
            <v>0</v>
          </cell>
          <cell r="B185">
            <v>62.9</v>
          </cell>
          <cell r="C185">
            <v>64.599999999999994</v>
          </cell>
          <cell r="D185">
            <v>83.3</v>
          </cell>
          <cell r="E185">
            <v>95.2</v>
          </cell>
          <cell r="F185">
            <v>82.45</v>
          </cell>
          <cell r="G185">
            <v>84.15</v>
          </cell>
          <cell r="H185">
            <v>139.4</v>
          </cell>
          <cell r="I185">
            <v>15.3</v>
          </cell>
          <cell r="J185">
            <v>331.5</v>
          </cell>
          <cell r="K185">
            <v>0</v>
          </cell>
        </row>
        <row r="186">
          <cell r="A186">
            <v>0</v>
          </cell>
          <cell r="B186">
            <v>63</v>
          </cell>
          <cell r="C186">
            <v>65</v>
          </cell>
          <cell r="D186">
            <v>83</v>
          </cell>
          <cell r="E186">
            <v>95</v>
          </cell>
          <cell r="F186">
            <v>82</v>
          </cell>
          <cell r="G186">
            <v>84</v>
          </cell>
          <cell r="H186">
            <v>139</v>
          </cell>
          <cell r="I186">
            <v>15</v>
          </cell>
          <cell r="J186">
            <v>332</v>
          </cell>
          <cell r="K186">
            <v>0</v>
          </cell>
        </row>
        <row r="187">
          <cell r="A187">
            <v>0</v>
          </cell>
          <cell r="D187">
            <v>0</v>
          </cell>
          <cell r="F187">
            <v>0</v>
          </cell>
          <cell r="G187">
            <v>0</v>
          </cell>
          <cell r="H187">
            <v>0</v>
          </cell>
          <cell r="K187">
            <v>0</v>
          </cell>
        </row>
        <row r="188">
          <cell r="A188">
            <v>0</v>
          </cell>
          <cell r="D188">
            <v>0</v>
          </cell>
          <cell r="F188">
            <v>0</v>
          </cell>
          <cell r="G188">
            <v>0</v>
          </cell>
          <cell r="H188">
            <v>0</v>
          </cell>
          <cell r="J188">
            <v>0</v>
          </cell>
          <cell r="K188">
            <v>0</v>
          </cell>
        </row>
        <row r="189">
          <cell r="A189" t="str">
            <v>Premium Range modular accessories</v>
          </cell>
          <cell r="D189">
            <v>0</v>
          </cell>
          <cell r="F189">
            <v>0</v>
          </cell>
          <cell r="G189">
            <v>0</v>
          </cell>
          <cell r="H189">
            <v>0</v>
          </cell>
          <cell r="K189">
            <v>0</v>
          </cell>
        </row>
        <row r="190">
          <cell r="A190">
            <v>0</v>
          </cell>
          <cell r="B190" t="str">
            <v>1 M</v>
          </cell>
          <cell r="C190" t="str">
            <v>2 M</v>
          </cell>
          <cell r="D190" t="str">
            <v>3 M</v>
          </cell>
          <cell r="E190" t="str">
            <v>4 M</v>
          </cell>
          <cell r="F190" t="str">
            <v>6 M</v>
          </cell>
          <cell r="G190" t="str">
            <v>8 M</v>
          </cell>
          <cell r="H190" t="str">
            <v>12 M</v>
          </cell>
          <cell r="I190" t="str">
            <v>15 M</v>
          </cell>
          <cell r="J190" t="str">
            <v/>
          </cell>
          <cell r="K190">
            <v>0</v>
          </cell>
        </row>
        <row r="191">
          <cell r="A191" t="str">
            <v>Front Plate    Anchor Ave</v>
          </cell>
          <cell r="B191">
            <v>67</v>
          </cell>
          <cell r="C191">
            <v>87</v>
          </cell>
          <cell r="D191">
            <v>112</v>
          </cell>
          <cell r="E191">
            <v>132</v>
          </cell>
          <cell r="F191">
            <v>157</v>
          </cell>
          <cell r="G191" t="str">
            <v/>
          </cell>
          <cell r="H191" t="str">
            <v/>
          </cell>
          <cell r="I191">
            <v>380</v>
          </cell>
          <cell r="J191" t="str">
            <v/>
          </cell>
          <cell r="K191">
            <v>0</v>
          </cell>
        </row>
        <row r="192">
          <cell r="A192" t="str">
            <v>Less Discount     5%</v>
          </cell>
          <cell r="B192">
            <v>3.35</v>
          </cell>
          <cell r="C192">
            <v>4.3500000000000005</v>
          </cell>
          <cell r="D192">
            <v>5.6000000000000005</v>
          </cell>
          <cell r="E192">
            <v>6.6000000000000005</v>
          </cell>
          <cell r="F192">
            <v>7.8500000000000005</v>
          </cell>
          <cell r="G192" t="str">
            <v/>
          </cell>
          <cell r="H192" t="str">
            <v/>
          </cell>
          <cell r="I192">
            <v>19</v>
          </cell>
          <cell r="J192" t="str">
            <v/>
          </cell>
          <cell r="K192">
            <v>0</v>
          </cell>
        </row>
        <row r="193">
          <cell r="A193">
            <v>0</v>
          </cell>
          <cell r="B193">
            <v>63.65</v>
          </cell>
          <cell r="C193">
            <v>82.65</v>
          </cell>
          <cell r="D193">
            <v>106.4</v>
          </cell>
          <cell r="E193">
            <v>125.4</v>
          </cell>
          <cell r="F193">
            <v>149.15</v>
          </cell>
          <cell r="G193" t="str">
            <v/>
          </cell>
          <cell r="H193" t="str">
            <v/>
          </cell>
          <cell r="I193">
            <v>361</v>
          </cell>
          <cell r="J193" t="str">
            <v/>
          </cell>
          <cell r="K193">
            <v>0</v>
          </cell>
        </row>
        <row r="194">
          <cell r="A194">
            <v>0</v>
          </cell>
          <cell r="B194">
            <v>64</v>
          </cell>
          <cell r="C194">
            <v>83</v>
          </cell>
          <cell r="D194">
            <v>106</v>
          </cell>
          <cell r="E194">
            <v>125</v>
          </cell>
          <cell r="F194">
            <v>149</v>
          </cell>
          <cell r="G194" t="str">
            <v/>
          </cell>
          <cell r="H194" t="e">
            <v>#VALUE!</v>
          </cell>
          <cell r="I194">
            <v>361</v>
          </cell>
          <cell r="J194" t="str">
            <v/>
          </cell>
          <cell r="K194">
            <v>0</v>
          </cell>
        </row>
        <row r="195">
          <cell r="A195">
            <v>0</v>
          </cell>
          <cell r="D195">
            <v>0</v>
          </cell>
          <cell r="E195">
            <v>0</v>
          </cell>
          <cell r="F195">
            <v>0</v>
          </cell>
          <cell r="G195">
            <v>0</v>
          </cell>
          <cell r="H195">
            <v>0</v>
          </cell>
          <cell r="J195">
            <v>0</v>
          </cell>
          <cell r="K195">
            <v>0</v>
          </cell>
        </row>
        <row r="196">
          <cell r="A196" t="str">
            <v>metal box with inner plate/frame</v>
          </cell>
          <cell r="B196">
            <v>91</v>
          </cell>
          <cell r="C196">
            <v>91</v>
          </cell>
          <cell r="D196">
            <v>121</v>
          </cell>
          <cell r="E196">
            <v>134</v>
          </cell>
          <cell r="F196">
            <v>175</v>
          </cell>
          <cell r="G196" t="str">
            <v/>
          </cell>
          <cell r="H196" t="str">
            <v/>
          </cell>
          <cell r="I196">
            <v>325</v>
          </cell>
          <cell r="J196" t="str">
            <v/>
          </cell>
          <cell r="K196">
            <v>0</v>
          </cell>
        </row>
        <row r="197">
          <cell r="A197" t="str">
            <v>Less Discount     5%</v>
          </cell>
          <cell r="B197">
            <v>4.55</v>
          </cell>
          <cell r="C197">
            <v>4.55</v>
          </cell>
          <cell r="D197">
            <v>6.0500000000000007</v>
          </cell>
          <cell r="E197">
            <v>6.7</v>
          </cell>
          <cell r="F197">
            <v>8.75</v>
          </cell>
          <cell r="G197" t="str">
            <v/>
          </cell>
          <cell r="H197" t="str">
            <v/>
          </cell>
          <cell r="I197">
            <v>16.25</v>
          </cell>
          <cell r="J197" t="str">
            <v/>
          </cell>
          <cell r="K197">
            <v>0</v>
          </cell>
        </row>
        <row r="198">
          <cell r="A198">
            <v>0</v>
          </cell>
          <cell r="B198">
            <v>86.45</v>
          </cell>
          <cell r="C198">
            <v>86.45</v>
          </cell>
          <cell r="D198">
            <v>114.95</v>
          </cell>
          <cell r="E198">
            <v>127.3</v>
          </cell>
          <cell r="F198">
            <v>166.25</v>
          </cell>
          <cell r="G198" t="str">
            <v/>
          </cell>
          <cell r="H198" t="str">
            <v/>
          </cell>
          <cell r="I198">
            <v>308.75</v>
          </cell>
          <cell r="J198" t="str">
            <v/>
          </cell>
          <cell r="K198">
            <v>0</v>
          </cell>
        </row>
        <row r="199">
          <cell r="A199">
            <v>0</v>
          </cell>
          <cell r="B199">
            <v>86</v>
          </cell>
          <cell r="C199">
            <v>86</v>
          </cell>
          <cell r="D199">
            <v>115</v>
          </cell>
          <cell r="E199">
            <v>127</v>
          </cell>
          <cell r="F199">
            <v>166</v>
          </cell>
          <cell r="G199" t="str">
            <v/>
          </cell>
          <cell r="H199" t="str">
            <v/>
          </cell>
          <cell r="I199">
            <v>309</v>
          </cell>
          <cell r="J199" t="str">
            <v/>
          </cell>
          <cell r="K199">
            <v>0</v>
          </cell>
        </row>
        <row r="200">
          <cell r="A200">
            <v>0</v>
          </cell>
          <cell r="D200">
            <v>0</v>
          </cell>
          <cell r="E200">
            <v>0</v>
          </cell>
          <cell r="F200">
            <v>0</v>
          </cell>
          <cell r="G200">
            <v>0</v>
          </cell>
          <cell r="H200">
            <v>0</v>
          </cell>
          <cell r="I200">
            <v>0</v>
          </cell>
          <cell r="J200">
            <v>0</v>
          </cell>
          <cell r="K200">
            <v>0</v>
          </cell>
        </row>
        <row r="201">
          <cell r="A201">
            <v>0</v>
          </cell>
          <cell r="D201">
            <v>0</v>
          </cell>
          <cell r="E201">
            <v>0</v>
          </cell>
          <cell r="F201">
            <v>0</v>
          </cell>
          <cell r="G201">
            <v>0</v>
          </cell>
          <cell r="H201">
            <v>0</v>
          </cell>
          <cell r="J201">
            <v>0</v>
          </cell>
          <cell r="K201">
            <v>0</v>
          </cell>
        </row>
        <row r="202">
          <cell r="A202" t="str">
            <v>Black Colour modular  Switch /</v>
          </cell>
          <cell r="B202" t="str">
            <v>RJ 11</v>
          </cell>
          <cell r="C202" t="str">
            <v>6 A Switch</v>
          </cell>
          <cell r="D202" t="str">
            <v>16 A Switch</v>
          </cell>
          <cell r="E202" t="str">
            <v>6 A 3 pin</v>
          </cell>
          <cell r="F202" t="str">
            <v>6 A 5 pin</v>
          </cell>
          <cell r="G202" t="str">
            <v>16 A 6 pin</v>
          </cell>
          <cell r="H202" t="str">
            <v>Blank plate</v>
          </cell>
          <cell r="I202" t="str">
            <v/>
          </cell>
          <cell r="J202" t="str">
            <v/>
          </cell>
          <cell r="K202">
            <v>0</v>
          </cell>
        </row>
        <row r="203">
          <cell r="A203" t="str">
            <v>socket / other outlets -Anchor Ave</v>
          </cell>
          <cell r="B203">
            <v>387</v>
          </cell>
          <cell r="C203">
            <v>207</v>
          </cell>
          <cell r="D203">
            <v>207</v>
          </cell>
          <cell r="E203">
            <v>346</v>
          </cell>
          <cell r="F203">
            <v>346</v>
          </cell>
          <cell r="G203">
            <v>367</v>
          </cell>
          <cell r="H203">
            <v>31</v>
          </cell>
          <cell r="I203" t="str">
            <v/>
          </cell>
          <cell r="J203" t="str">
            <v/>
          </cell>
          <cell r="K203">
            <v>0</v>
          </cell>
        </row>
        <row r="204">
          <cell r="A204" t="str">
            <v>Less Discount     5%</v>
          </cell>
          <cell r="B204">
            <v>19.350000000000001</v>
          </cell>
          <cell r="C204">
            <v>10.350000000000001</v>
          </cell>
          <cell r="D204">
            <v>10.350000000000001</v>
          </cell>
          <cell r="E204">
            <v>17.3</v>
          </cell>
          <cell r="F204">
            <v>17.3</v>
          </cell>
          <cell r="G204">
            <v>18.350000000000001</v>
          </cell>
          <cell r="H204">
            <v>1.55</v>
          </cell>
          <cell r="I204" t="str">
            <v/>
          </cell>
          <cell r="J204" t="str">
            <v/>
          </cell>
          <cell r="K204">
            <v>0</v>
          </cell>
        </row>
        <row r="205">
          <cell r="A205">
            <v>0</v>
          </cell>
          <cell r="B205">
            <v>367.65</v>
          </cell>
          <cell r="C205">
            <v>196.65</v>
          </cell>
          <cell r="D205">
            <v>196.65</v>
          </cell>
          <cell r="E205">
            <v>328.7</v>
          </cell>
          <cell r="F205">
            <v>328.7</v>
          </cell>
          <cell r="G205">
            <v>348.65</v>
          </cell>
          <cell r="H205">
            <v>29.45</v>
          </cell>
          <cell r="I205" t="str">
            <v/>
          </cell>
          <cell r="J205" t="str">
            <v/>
          </cell>
          <cell r="K205">
            <v>0</v>
          </cell>
        </row>
        <row r="206">
          <cell r="A206">
            <v>0</v>
          </cell>
          <cell r="B206">
            <v>368</v>
          </cell>
          <cell r="C206">
            <v>197</v>
          </cell>
          <cell r="D206">
            <v>197</v>
          </cell>
          <cell r="E206">
            <v>329</v>
          </cell>
          <cell r="F206">
            <v>329</v>
          </cell>
          <cell r="G206">
            <v>349</v>
          </cell>
          <cell r="H206">
            <v>29</v>
          </cell>
          <cell r="I206" t="str">
            <v/>
          </cell>
          <cell r="J206" t="str">
            <v/>
          </cell>
          <cell r="K206">
            <v>0</v>
          </cell>
        </row>
        <row r="207">
          <cell r="A207">
            <v>0</v>
          </cell>
          <cell r="D207">
            <v>0</v>
          </cell>
          <cell r="E207">
            <v>0</v>
          </cell>
          <cell r="F207">
            <v>0</v>
          </cell>
          <cell r="G207">
            <v>0</v>
          </cell>
          <cell r="H207">
            <v>0</v>
          </cell>
          <cell r="I207">
            <v>0</v>
          </cell>
          <cell r="J207">
            <v>0</v>
          </cell>
          <cell r="K207">
            <v>0</v>
          </cell>
        </row>
        <row r="208">
          <cell r="A208">
            <v>0</v>
          </cell>
          <cell r="D208">
            <v>0</v>
          </cell>
          <cell r="E208">
            <v>0</v>
          </cell>
          <cell r="F208">
            <v>0</v>
          </cell>
          <cell r="G208">
            <v>0</v>
          </cell>
          <cell r="H208">
            <v>0</v>
          </cell>
          <cell r="I208">
            <v>0</v>
          </cell>
          <cell r="J208">
            <v>0</v>
          </cell>
          <cell r="K208">
            <v>0</v>
          </cell>
        </row>
        <row r="209">
          <cell r="A209" t="str">
            <v>White Colour modular  Switch /</v>
          </cell>
          <cell r="B209" t="str">
            <v>RJ 11</v>
          </cell>
          <cell r="C209" t="str">
            <v>6 A Switch</v>
          </cell>
          <cell r="D209" t="str">
            <v>16 A Switch</v>
          </cell>
          <cell r="E209" t="str">
            <v>6 A 3 pin</v>
          </cell>
          <cell r="F209" t="str">
            <v>6 A 5 pin</v>
          </cell>
          <cell r="G209" t="str">
            <v>16 A 6 pin</v>
          </cell>
          <cell r="H209" t="str">
            <v>Blank plate</v>
          </cell>
          <cell r="I209">
            <v>0</v>
          </cell>
          <cell r="J209">
            <v>0</v>
          </cell>
          <cell r="K209">
            <v>0</v>
          </cell>
        </row>
        <row r="210">
          <cell r="A210" t="str">
            <v>socket / other outlets -Anchor Ave</v>
          </cell>
          <cell r="B210">
            <v>445</v>
          </cell>
          <cell r="C210">
            <v>257</v>
          </cell>
          <cell r="D210">
            <v>257</v>
          </cell>
          <cell r="E210">
            <v>398</v>
          </cell>
          <cell r="F210">
            <v>398</v>
          </cell>
          <cell r="G210">
            <v>422</v>
          </cell>
          <cell r="H210">
            <v>36</v>
          </cell>
          <cell r="I210">
            <v>0</v>
          </cell>
          <cell r="J210">
            <v>0</v>
          </cell>
          <cell r="K210">
            <v>0</v>
          </cell>
        </row>
        <row r="211">
          <cell r="A211" t="str">
            <v>Less Discount     5%</v>
          </cell>
          <cell r="B211">
            <v>22.25</v>
          </cell>
          <cell r="C211">
            <v>12.850000000000001</v>
          </cell>
          <cell r="D211">
            <v>12.850000000000001</v>
          </cell>
          <cell r="E211">
            <v>19.900000000000002</v>
          </cell>
          <cell r="F211">
            <v>19.900000000000002</v>
          </cell>
          <cell r="G211">
            <v>21.1</v>
          </cell>
          <cell r="H211">
            <v>1.8</v>
          </cell>
          <cell r="I211">
            <v>0</v>
          </cell>
          <cell r="J211">
            <v>0</v>
          </cell>
          <cell r="K211">
            <v>0</v>
          </cell>
        </row>
        <row r="212">
          <cell r="A212">
            <v>0</v>
          </cell>
          <cell r="B212">
            <v>422.75</v>
          </cell>
          <cell r="C212">
            <v>244.15</v>
          </cell>
          <cell r="D212">
            <v>244.15</v>
          </cell>
          <cell r="E212">
            <v>378.1</v>
          </cell>
          <cell r="F212">
            <v>378.1</v>
          </cell>
          <cell r="G212">
            <v>400.9</v>
          </cell>
          <cell r="H212">
            <v>34.200000000000003</v>
          </cell>
          <cell r="I212">
            <v>0</v>
          </cell>
          <cell r="J212">
            <v>0</v>
          </cell>
          <cell r="K212">
            <v>0</v>
          </cell>
        </row>
        <row r="213">
          <cell r="A213">
            <v>0</v>
          </cell>
          <cell r="B213">
            <v>423</v>
          </cell>
          <cell r="C213">
            <v>244</v>
          </cell>
          <cell r="D213">
            <v>244</v>
          </cell>
          <cell r="E213">
            <v>378</v>
          </cell>
          <cell r="F213">
            <v>378</v>
          </cell>
          <cell r="G213">
            <v>401</v>
          </cell>
          <cell r="H213">
            <v>34</v>
          </cell>
          <cell r="I213">
            <v>0</v>
          </cell>
          <cell r="J213">
            <v>0</v>
          </cell>
          <cell r="K213">
            <v>0</v>
          </cell>
        </row>
        <row r="214">
          <cell r="A214">
            <v>0</v>
          </cell>
          <cell r="D214">
            <v>0</v>
          </cell>
          <cell r="E214">
            <v>0</v>
          </cell>
          <cell r="F214">
            <v>0</v>
          </cell>
          <cell r="G214">
            <v>0</v>
          </cell>
          <cell r="H214">
            <v>0</v>
          </cell>
          <cell r="I214">
            <v>0</v>
          </cell>
          <cell r="J214">
            <v>0</v>
          </cell>
          <cell r="K214">
            <v>0</v>
          </cell>
        </row>
        <row r="215">
          <cell r="A215" t="str">
            <v xml:space="preserve">Telephone cables </v>
          </cell>
          <cell r="B215" t="str">
            <v>5 pair</v>
          </cell>
          <cell r="C215" t="str">
            <v>10 pair</v>
          </cell>
          <cell r="D215" t="str">
            <v>50 pair</v>
          </cell>
          <cell r="E215" t="str">
            <v>100 pair</v>
          </cell>
          <cell r="F215">
            <v>0</v>
          </cell>
          <cell r="G215">
            <v>0</v>
          </cell>
          <cell r="H215">
            <v>0</v>
          </cell>
          <cell r="I215">
            <v>0</v>
          </cell>
          <cell r="J215">
            <v>0</v>
          </cell>
          <cell r="K215">
            <v>0</v>
          </cell>
        </row>
        <row r="216">
          <cell r="A216" t="str">
            <v>List price Finolex</v>
          </cell>
          <cell r="B216">
            <v>12.84</v>
          </cell>
          <cell r="C216">
            <v>23.5</v>
          </cell>
          <cell r="D216">
            <v>110.74</v>
          </cell>
          <cell r="E216">
            <v>198.6</v>
          </cell>
          <cell r="F216">
            <v>0</v>
          </cell>
          <cell r="G216">
            <v>0</v>
          </cell>
          <cell r="H216">
            <v>0</v>
          </cell>
          <cell r="I216">
            <v>0</v>
          </cell>
          <cell r="J216">
            <v>0</v>
          </cell>
          <cell r="K216">
            <v>0</v>
          </cell>
        </row>
        <row r="217">
          <cell r="A217" t="str">
            <v>Less 15 % Discount</v>
          </cell>
          <cell r="B217">
            <v>1.9259999999999999</v>
          </cell>
          <cell r="C217">
            <v>3.5249999999999999</v>
          </cell>
          <cell r="D217">
            <v>16.610999999999997</v>
          </cell>
          <cell r="E217">
            <v>29.79</v>
          </cell>
          <cell r="F217">
            <v>0</v>
          </cell>
          <cell r="G217">
            <v>0</v>
          </cell>
          <cell r="H217">
            <v>0</v>
          </cell>
          <cell r="K217">
            <v>0</v>
          </cell>
        </row>
        <row r="218">
          <cell r="A218">
            <v>0</v>
          </cell>
          <cell r="B218">
            <v>10.914</v>
          </cell>
          <cell r="C218">
            <v>19.975000000000001</v>
          </cell>
          <cell r="D218">
            <v>94.128999999999991</v>
          </cell>
          <cell r="E218">
            <v>168.81</v>
          </cell>
          <cell r="F218">
            <v>0</v>
          </cell>
          <cell r="G218">
            <v>0</v>
          </cell>
          <cell r="H218">
            <v>0</v>
          </cell>
          <cell r="J218">
            <v>0</v>
          </cell>
          <cell r="K218">
            <v>0</v>
          </cell>
        </row>
        <row r="219">
          <cell r="A219">
            <v>0</v>
          </cell>
          <cell r="B219">
            <v>11</v>
          </cell>
          <cell r="C219">
            <v>20</v>
          </cell>
          <cell r="D219">
            <v>94</v>
          </cell>
          <cell r="E219">
            <v>169</v>
          </cell>
          <cell r="F219">
            <v>0</v>
          </cell>
          <cell r="G219">
            <v>0</v>
          </cell>
          <cell r="H219">
            <v>0</v>
          </cell>
          <cell r="J219">
            <v>0</v>
          </cell>
          <cell r="K219">
            <v>0</v>
          </cell>
        </row>
        <row r="220">
          <cell r="A220">
            <v>0</v>
          </cell>
          <cell r="D220">
            <v>0</v>
          </cell>
          <cell r="E220">
            <v>0</v>
          </cell>
          <cell r="F220">
            <v>0</v>
          </cell>
          <cell r="G220">
            <v>0</v>
          </cell>
          <cell r="H220">
            <v>0</v>
          </cell>
          <cell r="J220">
            <v>0</v>
          </cell>
          <cell r="K220">
            <v>0</v>
          </cell>
        </row>
        <row r="221">
          <cell r="A221">
            <v>0</v>
          </cell>
          <cell r="D221">
            <v>0</v>
          </cell>
          <cell r="E221">
            <v>0</v>
          </cell>
          <cell r="F221">
            <v>0</v>
          </cell>
          <cell r="G221">
            <v>0</v>
          </cell>
          <cell r="H221">
            <v>0</v>
          </cell>
          <cell r="J221">
            <v>0</v>
          </cell>
          <cell r="K221">
            <v>0</v>
          </cell>
        </row>
        <row r="222">
          <cell r="A222" t="str">
            <v>TPN DB/SPN DBs</v>
          </cell>
          <cell r="B222" t="str">
            <v>12 W SP</v>
          </cell>
          <cell r="C222" t="str">
            <v>4 W TP</v>
          </cell>
          <cell r="D222" t="str">
            <v>8 W TP</v>
          </cell>
          <cell r="E222" t="str">
            <v>12 W TP</v>
          </cell>
          <cell r="F222" t="str">
            <v>4 W TP</v>
          </cell>
          <cell r="G222" t="str">
            <v>8 W TP</v>
          </cell>
          <cell r="H222">
            <v>0</v>
          </cell>
          <cell r="J222">
            <v>0</v>
          </cell>
          <cell r="K222">
            <v>0</v>
          </cell>
        </row>
        <row r="223">
          <cell r="A223">
            <v>0</v>
          </cell>
          <cell r="D223">
            <v>0</v>
          </cell>
          <cell r="E223">
            <v>0</v>
          </cell>
          <cell r="F223">
            <v>0</v>
          </cell>
          <cell r="G223">
            <v>0</v>
          </cell>
          <cell r="H223">
            <v>0</v>
          </cell>
          <cell r="I223">
            <v>0</v>
          </cell>
          <cell r="J223">
            <v>0</v>
          </cell>
          <cell r="K223">
            <v>0</v>
          </cell>
        </row>
        <row r="224">
          <cell r="A224" t="str">
            <v>List price MDS</v>
          </cell>
          <cell r="B224">
            <v>1216</v>
          </cell>
          <cell r="C224">
            <v>1484</v>
          </cell>
          <cell r="D224">
            <v>2196</v>
          </cell>
          <cell r="E224">
            <v>3238</v>
          </cell>
          <cell r="F224">
            <v>3814</v>
          </cell>
          <cell r="G224">
            <v>4850</v>
          </cell>
          <cell r="H224">
            <v>0</v>
          </cell>
          <cell r="I224">
            <v>0</v>
          </cell>
          <cell r="J224">
            <v>0</v>
          </cell>
          <cell r="K224">
            <v>0</v>
          </cell>
        </row>
        <row r="225">
          <cell r="A225" t="str">
            <v>Less 15 % Discount</v>
          </cell>
          <cell r="B225">
            <v>182.4</v>
          </cell>
          <cell r="C225">
            <v>222.6</v>
          </cell>
          <cell r="D225">
            <v>329.4</v>
          </cell>
          <cell r="E225">
            <v>485.7</v>
          </cell>
          <cell r="F225">
            <v>572.1</v>
          </cell>
          <cell r="G225">
            <v>727.5</v>
          </cell>
          <cell r="H225">
            <v>0</v>
          </cell>
          <cell r="I225">
            <v>0</v>
          </cell>
          <cell r="J225">
            <v>0</v>
          </cell>
          <cell r="K225">
            <v>0</v>
          </cell>
        </row>
        <row r="226">
          <cell r="A226">
            <v>0</v>
          </cell>
          <cell r="B226">
            <v>1033.5999999999999</v>
          </cell>
          <cell r="C226">
            <v>1261.4000000000001</v>
          </cell>
          <cell r="D226">
            <v>1866.6</v>
          </cell>
          <cell r="E226">
            <v>2752.3</v>
          </cell>
          <cell r="F226">
            <v>3241.9</v>
          </cell>
          <cell r="G226">
            <v>4122.5</v>
          </cell>
          <cell r="H226">
            <v>0</v>
          </cell>
          <cell r="I226">
            <v>0</v>
          </cell>
          <cell r="J226">
            <v>0</v>
          </cell>
          <cell r="K226">
            <v>0</v>
          </cell>
        </row>
        <row r="227">
          <cell r="A227">
            <v>0</v>
          </cell>
          <cell r="B227">
            <v>1034</v>
          </cell>
          <cell r="C227">
            <v>1261</v>
          </cell>
          <cell r="D227">
            <v>1867</v>
          </cell>
          <cell r="E227">
            <v>2752</v>
          </cell>
          <cell r="F227">
            <v>3242</v>
          </cell>
          <cell r="G227">
            <v>4123</v>
          </cell>
          <cell r="H227">
            <v>0</v>
          </cell>
          <cell r="I227">
            <v>0</v>
          </cell>
          <cell r="J227">
            <v>0</v>
          </cell>
          <cell r="K227">
            <v>0</v>
          </cell>
        </row>
        <row r="228">
          <cell r="A228">
            <v>0</v>
          </cell>
          <cell r="D228">
            <v>0</v>
          </cell>
          <cell r="E228">
            <v>0</v>
          </cell>
          <cell r="F228">
            <v>0</v>
          </cell>
          <cell r="G228">
            <v>0</v>
          </cell>
          <cell r="H228">
            <v>0</v>
          </cell>
          <cell r="I228">
            <v>0</v>
          </cell>
          <cell r="J228">
            <v>0</v>
          </cell>
          <cell r="K228">
            <v>0</v>
          </cell>
        </row>
        <row r="229">
          <cell r="A229">
            <v>0</v>
          </cell>
          <cell r="D229">
            <v>0</v>
          </cell>
          <cell r="E229">
            <v>0</v>
          </cell>
          <cell r="F229">
            <v>0</v>
          </cell>
          <cell r="G229">
            <v>0</v>
          </cell>
          <cell r="H229">
            <v>0</v>
          </cell>
          <cell r="I229">
            <v>0</v>
          </cell>
          <cell r="J229">
            <v>0</v>
          </cell>
          <cell r="K229">
            <v>0</v>
          </cell>
        </row>
        <row r="230">
          <cell r="A230" t="str">
            <v>MCBs</v>
          </cell>
          <cell r="B230" t="str">
            <v>25 A TP</v>
          </cell>
          <cell r="C230" t="str">
            <v>32 A TP</v>
          </cell>
          <cell r="D230" t="str">
            <v xml:space="preserve">40 A TP </v>
          </cell>
          <cell r="E230" t="str">
            <v>40 A FP</v>
          </cell>
          <cell r="F230" t="str">
            <v>63 A TP</v>
          </cell>
          <cell r="G230" t="str">
            <v>32 A DP</v>
          </cell>
          <cell r="H230">
            <v>0</v>
          </cell>
          <cell r="I230">
            <v>0</v>
          </cell>
          <cell r="J230">
            <v>0</v>
          </cell>
          <cell r="K230">
            <v>0</v>
          </cell>
        </row>
        <row r="231">
          <cell r="A231">
            <v>0</v>
          </cell>
          <cell r="D231">
            <v>0</v>
          </cell>
          <cell r="E231">
            <v>0</v>
          </cell>
          <cell r="F231">
            <v>0</v>
          </cell>
          <cell r="G231">
            <v>0</v>
          </cell>
          <cell r="H231">
            <v>0</v>
          </cell>
          <cell r="I231">
            <v>0</v>
          </cell>
          <cell r="J231">
            <v>0</v>
          </cell>
          <cell r="K231">
            <v>0</v>
          </cell>
        </row>
        <row r="232">
          <cell r="A232" t="str">
            <v>List price MDS</v>
          </cell>
          <cell r="B232">
            <v>642</v>
          </cell>
          <cell r="C232">
            <v>642</v>
          </cell>
          <cell r="D232">
            <v>962</v>
          </cell>
          <cell r="E232">
            <v>1212</v>
          </cell>
          <cell r="F232">
            <v>976</v>
          </cell>
          <cell r="G232">
            <v>400</v>
          </cell>
          <cell r="H232">
            <v>0</v>
          </cell>
          <cell r="K232">
            <v>0</v>
          </cell>
        </row>
        <row r="233">
          <cell r="A233" t="str">
            <v>Less 15 % Discount</v>
          </cell>
          <cell r="B233">
            <v>96.3</v>
          </cell>
          <cell r="C233">
            <v>96.3</v>
          </cell>
          <cell r="D233">
            <v>144.29999999999998</v>
          </cell>
          <cell r="E233">
            <v>181.79999999999998</v>
          </cell>
          <cell r="F233">
            <v>146.4</v>
          </cell>
          <cell r="G233">
            <v>60</v>
          </cell>
          <cell r="H233">
            <v>0</v>
          </cell>
          <cell r="K233">
            <v>0</v>
          </cell>
        </row>
        <row r="234">
          <cell r="A234">
            <v>0</v>
          </cell>
          <cell r="B234">
            <v>545.70000000000005</v>
          </cell>
          <cell r="C234">
            <v>545.70000000000005</v>
          </cell>
          <cell r="D234">
            <v>817.7</v>
          </cell>
          <cell r="E234">
            <v>1030.2</v>
          </cell>
          <cell r="F234">
            <v>829.6</v>
          </cell>
          <cell r="G234">
            <v>340</v>
          </cell>
          <cell r="H234">
            <v>0</v>
          </cell>
          <cell r="I234">
            <v>0</v>
          </cell>
          <cell r="J234">
            <v>0</v>
          </cell>
          <cell r="K234">
            <v>0</v>
          </cell>
        </row>
        <row r="235">
          <cell r="A235">
            <v>0</v>
          </cell>
          <cell r="B235">
            <v>546</v>
          </cell>
          <cell r="C235">
            <v>546</v>
          </cell>
          <cell r="D235">
            <v>818</v>
          </cell>
          <cell r="E235">
            <v>1030</v>
          </cell>
          <cell r="F235">
            <v>830</v>
          </cell>
          <cell r="G235">
            <v>340</v>
          </cell>
          <cell r="H235">
            <v>0</v>
          </cell>
          <cell r="I235">
            <v>0</v>
          </cell>
          <cell r="J235">
            <v>0</v>
          </cell>
          <cell r="K235">
            <v>0</v>
          </cell>
        </row>
        <row r="236">
          <cell r="A236">
            <v>5231</v>
          </cell>
          <cell r="D236" t="str">
            <v>Brass compression gland 3 x 4 sqmm</v>
          </cell>
          <cell r="E236" t="str">
            <v>Jainson</v>
          </cell>
          <cell r="F236" t="str">
            <v>Each</v>
          </cell>
          <cell r="G236">
            <v>12.6</v>
          </cell>
          <cell r="H236">
            <v>0.15</v>
          </cell>
          <cell r="I236">
            <v>0.16</v>
          </cell>
          <cell r="J236">
            <v>0.153</v>
          </cell>
          <cell r="K236">
            <v>125</v>
          </cell>
        </row>
        <row r="237">
          <cell r="A237">
            <v>5232</v>
          </cell>
          <cell r="D237" t="str">
            <v>Brass compression gland 3 x 6 sqmm</v>
          </cell>
          <cell r="E237" t="str">
            <v>Jainson</v>
          </cell>
          <cell r="F237" t="str">
            <v>Each</v>
          </cell>
          <cell r="G237">
            <v>12.6</v>
          </cell>
          <cell r="H237">
            <v>0.15</v>
          </cell>
          <cell r="I237">
            <v>0.16</v>
          </cell>
          <cell r="J237">
            <v>0.153</v>
          </cell>
          <cell r="K237">
            <v>0</v>
          </cell>
        </row>
        <row r="238">
          <cell r="A238">
            <v>5233</v>
          </cell>
          <cell r="D238" t="str">
            <v>Brass compression gland 4 x 4 sqmm</v>
          </cell>
          <cell r="E238" t="str">
            <v>Jainson</v>
          </cell>
          <cell r="F238" t="str">
            <v>Each</v>
          </cell>
          <cell r="G238">
            <v>17.899999999999999</v>
          </cell>
          <cell r="H238">
            <v>0.15</v>
          </cell>
          <cell r="I238">
            <v>0.16</v>
          </cell>
          <cell r="J238">
            <v>0.153</v>
          </cell>
          <cell r="K238">
            <v>0</v>
          </cell>
        </row>
        <row r="239">
          <cell r="A239">
            <v>5234</v>
          </cell>
          <cell r="D239" t="str">
            <v>Brass compression gland 4 x 6 sqmm</v>
          </cell>
          <cell r="E239" t="str">
            <v>Jainson</v>
          </cell>
          <cell r="F239" t="str">
            <v>Each</v>
          </cell>
          <cell r="G239">
            <v>17.899999999999999</v>
          </cell>
          <cell r="H239">
            <v>0.15</v>
          </cell>
          <cell r="I239">
            <v>0.16</v>
          </cell>
          <cell r="J239">
            <v>0.153</v>
          </cell>
          <cell r="K239">
            <v>0</v>
          </cell>
        </row>
        <row r="240">
          <cell r="A240">
            <v>5235</v>
          </cell>
          <cell r="D240" t="str">
            <v>Copper lugs set 3 x 2.5 sqmm</v>
          </cell>
          <cell r="E240" t="str">
            <v>Jainson</v>
          </cell>
          <cell r="F240" t="str">
            <v>Set</v>
          </cell>
          <cell r="G240">
            <v>13.559999999999999</v>
          </cell>
          <cell r="H240">
            <v>0.15</v>
          </cell>
          <cell r="I240">
            <v>0.16</v>
          </cell>
          <cell r="J240">
            <v>0.153</v>
          </cell>
          <cell r="K240">
            <v>0</v>
          </cell>
        </row>
        <row r="241">
          <cell r="A241">
            <v>5236</v>
          </cell>
          <cell r="D241" t="str">
            <v>Copper lugs set 3 x 4 sqmm</v>
          </cell>
          <cell r="E241" t="str">
            <v>Jainson</v>
          </cell>
          <cell r="F241" t="str">
            <v>Set</v>
          </cell>
          <cell r="G241">
            <v>13.559999999999999</v>
          </cell>
          <cell r="H241">
            <v>0.15</v>
          </cell>
          <cell r="I241">
            <v>0.16</v>
          </cell>
          <cell r="J241">
            <v>0.153</v>
          </cell>
          <cell r="K241">
            <v>0</v>
          </cell>
        </row>
        <row r="242">
          <cell r="A242">
            <v>5237</v>
          </cell>
          <cell r="D242" t="str">
            <v>Copper lugs set 3 x 6 sqmm</v>
          </cell>
          <cell r="E242" t="str">
            <v>Jainson</v>
          </cell>
          <cell r="F242" t="str">
            <v>Set</v>
          </cell>
          <cell r="G242">
            <v>13.950000000000001</v>
          </cell>
          <cell r="H242">
            <v>0.15</v>
          </cell>
          <cell r="I242">
            <v>0.16</v>
          </cell>
          <cell r="J242">
            <v>0.153</v>
          </cell>
          <cell r="K242">
            <v>0</v>
          </cell>
        </row>
        <row r="243">
          <cell r="A243">
            <v>5238</v>
          </cell>
          <cell r="D243" t="str">
            <v>Copper lugs set 4 x 4 sqmm</v>
          </cell>
          <cell r="E243" t="str">
            <v>Jainson</v>
          </cell>
          <cell r="F243" t="str">
            <v>Set</v>
          </cell>
          <cell r="G243">
            <v>18.079999999999998</v>
          </cell>
          <cell r="H243">
            <v>0.15</v>
          </cell>
          <cell r="I243">
            <v>0.16</v>
          </cell>
          <cell r="J243">
            <v>0.153</v>
          </cell>
          <cell r="K243">
            <v>0</v>
          </cell>
        </row>
        <row r="244">
          <cell r="A244">
            <v>5239</v>
          </cell>
          <cell r="D244" t="str">
            <v>Copper lugs set 4 x 6 sqmm</v>
          </cell>
          <cell r="E244" t="str">
            <v>Jainson</v>
          </cell>
          <cell r="F244" t="str">
            <v>Set</v>
          </cell>
          <cell r="G244">
            <v>18.600000000000001</v>
          </cell>
          <cell r="H244">
            <v>0.15</v>
          </cell>
          <cell r="I244">
            <v>0.16</v>
          </cell>
          <cell r="J244">
            <v>0.153</v>
          </cell>
          <cell r="K244">
            <v>0</v>
          </cell>
        </row>
        <row r="245">
          <cell r="A245">
            <v>5240</v>
          </cell>
          <cell r="D245" t="str">
            <v>Copper pipe 15 mm o/d x 0.7 m thick</v>
          </cell>
          <cell r="E245" t="str">
            <v>VSM</v>
          </cell>
          <cell r="F245" t="str">
            <v>Metre</v>
          </cell>
          <cell r="G245">
            <v>59.055118110236215</v>
          </cell>
          <cell r="H245">
            <v>0.05</v>
          </cell>
          <cell r="J245">
            <v>5.0000000000000001E-3</v>
          </cell>
          <cell r="K245">
            <v>0.02</v>
          </cell>
        </row>
        <row r="246">
          <cell r="A246">
            <v>5241</v>
          </cell>
          <cell r="D246" t="str">
            <v>Copper pipe 28 mm o/d x 0.9 m thick</v>
          </cell>
          <cell r="E246" t="str">
            <v>VSM</v>
          </cell>
          <cell r="F246" t="str">
            <v>Metre</v>
          </cell>
          <cell r="G246">
            <v>135.82677165354329</v>
          </cell>
          <cell r="H246">
            <v>0.05</v>
          </cell>
          <cell r="J246">
            <v>5.0000000000000001E-3</v>
          </cell>
          <cell r="K246">
            <v>0.02</v>
          </cell>
        </row>
        <row r="247">
          <cell r="A247">
            <v>5242</v>
          </cell>
          <cell r="D247" t="str">
            <v>Supports for copper pipe</v>
          </cell>
          <cell r="E247" t="str">
            <v>Contractor</v>
          </cell>
          <cell r="F247" t="str">
            <v>Set</v>
          </cell>
          <cell r="G247">
            <v>25</v>
          </cell>
          <cell r="H247">
            <v>0</v>
          </cell>
        </row>
        <row r="248">
          <cell r="A248">
            <v>5243</v>
          </cell>
          <cell r="D248" t="str">
            <v>Elastomeric insulation for 15mm o/d pipe, 25mm thick</v>
          </cell>
          <cell r="E248" t="str">
            <v>Armacell Insulation</v>
          </cell>
          <cell r="F248" t="str">
            <v>Metre</v>
          </cell>
          <cell r="G248">
            <v>142.30000000000001</v>
          </cell>
          <cell r="H248">
            <v>0.15</v>
          </cell>
          <cell r="I248">
            <v>0.01</v>
          </cell>
          <cell r="J248">
            <v>0.153</v>
          </cell>
          <cell r="K248">
            <v>0.02</v>
          </cell>
        </row>
        <row r="249">
          <cell r="A249">
            <v>5245</v>
          </cell>
          <cell r="D249" t="str">
            <v>Elastomeric insulation for 28mm o/d pipe, 25mm thick</v>
          </cell>
          <cell r="E249" t="str">
            <v>Armacell Insulation</v>
          </cell>
          <cell r="F249" t="str">
            <v>Metre</v>
          </cell>
          <cell r="G249">
            <v>172.3</v>
          </cell>
          <cell r="H249">
            <v>0.15</v>
          </cell>
          <cell r="I249">
            <v>0.01</v>
          </cell>
          <cell r="J249">
            <v>0.153</v>
          </cell>
          <cell r="K249">
            <v>0.02</v>
          </cell>
        </row>
        <row r="250">
          <cell r="A250">
            <v>5246</v>
          </cell>
          <cell r="D250" t="str">
            <v>Fibreglass insulation 40 mm thick, 32 Kg / CuM dense</v>
          </cell>
          <cell r="E250" t="str">
            <v>UP Twiga</v>
          </cell>
          <cell r="F250" t="str">
            <v>Sq Mtr</v>
          </cell>
          <cell r="G250">
            <v>146.5</v>
          </cell>
          <cell r="H250">
            <v>0.15</v>
          </cell>
          <cell r="I250">
            <v>0.16</v>
          </cell>
          <cell r="J250">
            <v>0.153</v>
          </cell>
          <cell r="K250">
            <v>0.02</v>
          </cell>
        </row>
        <row r="251">
          <cell r="A251">
            <v>5247</v>
          </cell>
          <cell r="D251" t="str">
            <v>Copper Brazing</v>
          </cell>
          <cell r="E251" t="str">
            <v>ebm NADI</v>
          </cell>
          <cell r="F251" t="str">
            <v>mm</v>
          </cell>
          <cell r="G251">
            <v>0.1</v>
          </cell>
          <cell r="H251">
            <v>0</v>
          </cell>
          <cell r="I251">
            <v>0.16</v>
          </cell>
          <cell r="J251">
            <v>0.126</v>
          </cell>
          <cell r="K251">
            <v>0.06</v>
          </cell>
        </row>
        <row r="252">
          <cell r="A252">
            <v>5248</v>
          </cell>
          <cell r="D252" t="str">
            <v>Roof Extractor, axial type, single speed 1000 CFM with suitable 3 ph, 400 V, 50 Hz AC motor and base frame</v>
          </cell>
          <cell r="E252" t="str">
            <v>Caryaire</v>
          </cell>
          <cell r="F252" t="str">
            <v>Set</v>
          </cell>
          <cell r="G252">
            <v>41000</v>
          </cell>
          <cell r="H252">
            <v>0.05</v>
          </cell>
          <cell r="I252">
            <v>0.16</v>
          </cell>
          <cell r="J252">
            <v>0.1</v>
          </cell>
          <cell r="K252">
            <v>0.04</v>
          </cell>
        </row>
        <row r="253">
          <cell r="A253">
            <v>5249</v>
          </cell>
          <cell r="D253" t="str">
            <v>Roof Extractor, axial type, single speed 1500 CFM with suitable 3 ph, 400 V, 50 Hz AC motor and base frame</v>
          </cell>
          <cell r="E253" t="str">
            <v>Caryaire</v>
          </cell>
          <cell r="F253" t="str">
            <v>Set</v>
          </cell>
          <cell r="G253">
            <v>49000</v>
          </cell>
          <cell r="H253">
            <v>0.05</v>
          </cell>
          <cell r="I253">
            <v>0.16</v>
          </cell>
          <cell r="J253">
            <v>0.1</v>
          </cell>
          <cell r="K253">
            <v>0.04</v>
          </cell>
        </row>
        <row r="254">
          <cell r="A254">
            <v>5250</v>
          </cell>
          <cell r="D254" t="str">
            <v>Roof Extractor, axial type, single speed 1000 CFM with suitable 3 ph, 400 V, 50 Hz AC motor and base frame</v>
          </cell>
          <cell r="E254" t="str">
            <v>ebm NADI</v>
          </cell>
          <cell r="F254" t="str">
            <v>Set</v>
          </cell>
          <cell r="G254">
            <v>20640</v>
          </cell>
          <cell r="H254">
            <v>0.05</v>
          </cell>
          <cell r="I254">
            <v>0.16</v>
          </cell>
          <cell r="J254">
            <v>0.126</v>
          </cell>
          <cell r="K254">
            <v>0.04</v>
          </cell>
        </row>
        <row r="255">
          <cell r="A255">
            <v>5251</v>
          </cell>
          <cell r="D255" t="str">
            <v>Roof Extractor, axial type, single speed 1500 CFM with suitable 3 ph, 400 V, 50 Hz AC motor and base frame</v>
          </cell>
          <cell r="E255" t="str">
            <v>ebm NADI</v>
          </cell>
          <cell r="F255" t="str">
            <v>Set</v>
          </cell>
          <cell r="G255">
            <v>21700</v>
          </cell>
          <cell r="H255">
            <v>0.05</v>
          </cell>
          <cell r="I255">
            <v>0.16</v>
          </cell>
          <cell r="J255">
            <v>0.126</v>
          </cell>
          <cell r="K255">
            <v>0.04</v>
          </cell>
        </row>
        <row r="256">
          <cell r="A256">
            <v>5252</v>
          </cell>
          <cell r="D256" t="str">
            <v>Ventilation fan, axial type, single speed 2000 CFM with suitable 3 ph, 415 V, 50 Hz AC motor and base frame</v>
          </cell>
          <cell r="E256" t="str">
            <v>Caryaire</v>
          </cell>
          <cell r="F256" t="str">
            <v>Set</v>
          </cell>
          <cell r="G256">
            <v>32000</v>
          </cell>
          <cell r="H256">
            <v>0</v>
          </cell>
          <cell r="I256">
            <v>0.16</v>
          </cell>
          <cell r="J256">
            <v>0.1</v>
          </cell>
          <cell r="K256">
            <v>0.04</v>
          </cell>
        </row>
        <row r="257">
          <cell r="A257">
            <v>5253</v>
          </cell>
          <cell r="D257" t="str">
            <v>Ventilation fan, axial type, single speed 2000 CFM with suitable 3 ph, 415 V, 50 Hz AC motor and base frame</v>
          </cell>
          <cell r="E257" t="str">
            <v>ebm NADI</v>
          </cell>
          <cell r="F257" t="str">
            <v>Set</v>
          </cell>
          <cell r="G257">
            <v>15330</v>
          </cell>
          <cell r="H257">
            <v>0</v>
          </cell>
          <cell r="I257">
            <v>0.16</v>
          </cell>
          <cell r="J257">
            <v>0.126</v>
          </cell>
          <cell r="K257">
            <v>0.04</v>
          </cell>
        </row>
        <row r="258">
          <cell r="A258">
            <v>5254</v>
          </cell>
          <cell r="D258" t="str">
            <v>Motorized 2 Way Modulating Valve - 50 mm dia suitable for 30 TR AHU</v>
          </cell>
          <cell r="E258" t="str">
            <v>Siemens</v>
          </cell>
          <cell r="F258" t="str">
            <v>Each</v>
          </cell>
          <cell r="G258">
            <v>24160</v>
          </cell>
          <cell r="H258">
            <v>0.05</v>
          </cell>
          <cell r="I258">
            <v>0.16</v>
          </cell>
          <cell r="J258">
            <v>0.126</v>
          </cell>
          <cell r="K258">
            <v>0.02</v>
          </cell>
        </row>
        <row r="259">
          <cell r="A259">
            <v>5252</v>
          </cell>
          <cell r="D259" t="str">
            <v>AHU double skinned with 40kg/sqcm PUF - 10 TR</v>
          </cell>
          <cell r="E259" t="str">
            <v>Voltas</v>
          </cell>
          <cell r="F259" t="str">
            <v>Job</v>
          </cell>
          <cell r="G259">
            <v>192012</v>
          </cell>
          <cell r="H259">
            <v>0.05</v>
          </cell>
        </row>
        <row r="260">
          <cell r="A260">
            <v>5253</v>
          </cell>
          <cell r="D260" t="str">
            <v>AHU double skinned with 40kg/sqcm PUF - 12 TR</v>
          </cell>
          <cell r="E260" t="str">
            <v>Voltas</v>
          </cell>
          <cell r="F260" t="str">
            <v>Job</v>
          </cell>
          <cell r="G260">
            <v>231335</v>
          </cell>
          <cell r="H260">
            <v>0.05</v>
          </cell>
        </row>
        <row r="261">
          <cell r="A261">
            <v>5345</v>
          </cell>
          <cell r="D261" t="str">
            <v>AHU double skinned with 40kg/sqcm PUF - 15 TR</v>
          </cell>
          <cell r="E261" t="str">
            <v>Voltas</v>
          </cell>
          <cell r="F261" t="str">
            <v>Job</v>
          </cell>
          <cell r="G261">
            <v>253326</v>
          </cell>
          <cell r="H261">
            <v>0.05</v>
          </cell>
        </row>
        <row r="262">
          <cell r="A262">
            <v>5346</v>
          </cell>
          <cell r="D262" t="str">
            <v>Ventilation fan, axial type, single speed 1000 CFM with suitable 1 ph, 230 V, 50 Hz AC motor and base frame</v>
          </cell>
          <cell r="E262" t="str">
            <v>ebm NADI</v>
          </cell>
          <cell r="F262" t="str">
            <v>Each</v>
          </cell>
          <cell r="G262">
            <v>15330</v>
          </cell>
          <cell r="H262">
            <v>0.05</v>
          </cell>
          <cell r="I262">
            <v>0.16</v>
          </cell>
          <cell r="J262">
            <v>0.126</v>
          </cell>
          <cell r="K262">
            <v>0.06</v>
          </cell>
        </row>
        <row r="263">
          <cell r="A263">
            <v>5347</v>
          </cell>
          <cell r="D263" t="str">
            <v>Ventilation fan, axial type, single speed 4500 CFM with suitable 3 ph, 415 V, 50 Hz AC motor and base frame</v>
          </cell>
          <cell r="E263" t="str">
            <v>ebm NADI</v>
          </cell>
          <cell r="F263" t="str">
            <v>Each</v>
          </cell>
          <cell r="G263">
            <v>17530</v>
          </cell>
          <cell r="H263">
            <v>0.05</v>
          </cell>
          <cell r="I263">
            <v>0.16</v>
          </cell>
          <cell r="J263">
            <v>0.126</v>
          </cell>
          <cell r="K263">
            <v>0.06</v>
          </cell>
        </row>
        <row r="264">
          <cell r="A264">
            <v>5348</v>
          </cell>
          <cell r="D264" t="str">
            <v>Ventilation fan, axial type, single speed 5000 CFM with suitable 3 ph, 415 V, 50 Hz AC motor and base frame</v>
          </cell>
          <cell r="E264" t="str">
            <v>ebm NADI</v>
          </cell>
          <cell r="F264" t="str">
            <v>Each</v>
          </cell>
          <cell r="G264">
            <v>17680</v>
          </cell>
          <cell r="H264">
            <v>0.05</v>
          </cell>
          <cell r="I264">
            <v>0.16</v>
          </cell>
          <cell r="J264">
            <v>0.126</v>
          </cell>
          <cell r="K264">
            <v>0.06</v>
          </cell>
        </row>
        <row r="265">
          <cell r="A265">
            <v>5349</v>
          </cell>
          <cell r="D265" t="str">
            <v>Ventilation fan, centrifugal type, double speed 21000 / 42000 CFM with suitable 3 ph, 415 V, 50 Hz AC motor and base frame</v>
          </cell>
          <cell r="E265" t="str">
            <v>ebm NADI</v>
          </cell>
          <cell r="F265" t="str">
            <v>Each</v>
          </cell>
          <cell r="G265">
            <v>165030</v>
          </cell>
          <cell r="H265">
            <v>0.05</v>
          </cell>
          <cell r="I265">
            <v>0.16</v>
          </cell>
          <cell r="J265">
            <v>0.126</v>
          </cell>
          <cell r="K265">
            <v>0.06</v>
          </cell>
        </row>
        <row r="266">
          <cell r="A266">
            <v>5350</v>
          </cell>
          <cell r="D266" t="str">
            <v>Ventilation fan, centrifugal type, double speed 28000 / 56000 CFM with suitable 3 ph, 415 V, 50 Hz AC motor and base frame</v>
          </cell>
          <cell r="E266" t="str">
            <v>ebm NADI</v>
          </cell>
          <cell r="F266" t="str">
            <v>Each</v>
          </cell>
          <cell r="G266">
            <v>265295</v>
          </cell>
          <cell r="H266">
            <v>0.05</v>
          </cell>
          <cell r="I266">
            <v>0.16</v>
          </cell>
          <cell r="J266">
            <v>0.126</v>
          </cell>
          <cell r="K266">
            <v>0.06</v>
          </cell>
        </row>
        <row r="267">
          <cell r="A267">
            <v>5351</v>
          </cell>
          <cell r="D267" t="str">
            <v>Ventilation fan, centrifugal type, double speed 30000 / 60000 CFM with suitable 3 ph, 415 V, 50 Hz AC motor and base frame</v>
          </cell>
          <cell r="E267" t="str">
            <v>ebm NADI</v>
          </cell>
          <cell r="F267" t="str">
            <v>Each</v>
          </cell>
          <cell r="G267">
            <v>265295</v>
          </cell>
          <cell r="H267">
            <v>0.05</v>
          </cell>
          <cell r="I267">
            <v>0.16</v>
          </cell>
          <cell r="J267">
            <v>0.126</v>
          </cell>
          <cell r="K267">
            <v>0.06</v>
          </cell>
        </row>
        <row r="268">
          <cell r="A268">
            <v>5352</v>
          </cell>
          <cell r="D268" t="str">
            <v>Ventilation fan, centrifugal type, double speed 33000 / 66000 CFM with suitable 3 ph, 415 V, 50 Hz AC motor and base frame</v>
          </cell>
          <cell r="E268" t="str">
            <v>ebm NADI</v>
          </cell>
          <cell r="F268" t="str">
            <v>Each</v>
          </cell>
          <cell r="G268">
            <v>265295</v>
          </cell>
          <cell r="H268">
            <v>0.05</v>
          </cell>
          <cell r="I268">
            <v>0.16</v>
          </cell>
          <cell r="J268">
            <v>0.126</v>
          </cell>
          <cell r="K268">
            <v>0.06</v>
          </cell>
        </row>
        <row r="269">
          <cell r="A269">
            <v>5353</v>
          </cell>
          <cell r="D269" t="str">
            <v>Ventilation fan, centrifugal type, single speed 15000 CFM with suitable 3 ph, 415 V, 50 Hz AC motor and base frame</v>
          </cell>
          <cell r="E269" t="str">
            <v>ebm NADI</v>
          </cell>
          <cell r="F269" t="str">
            <v>Each</v>
          </cell>
          <cell r="G269">
            <v>70860</v>
          </cell>
          <cell r="H269">
            <v>0.05</v>
          </cell>
          <cell r="I269">
            <v>0.16</v>
          </cell>
          <cell r="J269">
            <v>0.126</v>
          </cell>
          <cell r="K269">
            <v>0.06</v>
          </cell>
        </row>
        <row r="270">
          <cell r="A270">
            <v>5354</v>
          </cell>
          <cell r="D270" t="str">
            <v>Ventilation fan, centrifugal type, single speed 20000 CFM with suitable 3 ph, 415 V, 50 Hz AC motor and base frame</v>
          </cell>
          <cell r="E270" t="str">
            <v>ebm NADI</v>
          </cell>
          <cell r="F270" t="str">
            <v>Each</v>
          </cell>
          <cell r="G270">
            <v>83660</v>
          </cell>
          <cell r="H270">
            <v>0.05</v>
          </cell>
          <cell r="I270">
            <v>0.16</v>
          </cell>
          <cell r="J270">
            <v>0.126</v>
          </cell>
          <cell r="K270">
            <v>0.06</v>
          </cell>
        </row>
        <row r="271">
          <cell r="A271">
            <v>5355</v>
          </cell>
          <cell r="D271" t="str">
            <v>Ventilation fan, centrifugal type, single speed 6500 CFM with suitable 3 ph, 415 V, 50 Hz AC motor and base frame</v>
          </cell>
          <cell r="E271" t="str">
            <v>ebm NADI</v>
          </cell>
          <cell r="F271" t="str">
            <v>Each</v>
          </cell>
          <cell r="G271">
            <v>44115</v>
          </cell>
          <cell r="H271">
            <v>0.05</v>
          </cell>
          <cell r="I271">
            <v>0.16</v>
          </cell>
          <cell r="J271">
            <v>0.126</v>
          </cell>
          <cell r="K271">
            <v>0.06</v>
          </cell>
        </row>
        <row r="272">
          <cell r="A272">
            <v>5356</v>
          </cell>
          <cell r="D272" t="str">
            <v>Ventilation fan, centrifugal type, single speed 8000 CFM with suitable 3 ph, 415 V, 50 Hz AC motor and base frame</v>
          </cell>
          <cell r="E272" t="str">
            <v>ebm NADI</v>
          </cell>
          <cell r="F272" t="str">
            <v>Each</v>
          </cell>
          <cell r="G272">
            <v>50750</v>
          </cell>
          <cell r="H272">
            <v>0.05</v>
          </cell>
          <cell r="I272">
            <v>0.16</v>
          </cell>
          <cell r="J272">
            <v>0.126</v>
          </cell>
          <cell r="K272">
            <v>0.06</v>
          </cell>
        </row>
        <row r="273">
          <cell r="A273">
            <v>5357</v>
          </cell>
          <cell r="D273" t="str">
            <v>AHU double skinned with 40kg/sqcm PUF - 10 TR</v>
          </cell>
          <cell r="E273" t="str">
            <v>Voltas</v>
          </cell>
          <cell r="F273" t="str">
            <v>Job</v>
          </cell>
          <cell r="G273">
            <v>192012</v>
          </cell>
          <cell r="H273">
            <v>0.05</v>
          </cell>
        </row>
        <row r="274">
          <cell r="A274">
            <v>5358</v>
          </cell>
          <cell r="D274" t="str">
            <v>AHU double skinned with 40kg/sqcm PUF - 12 TR</v>
          </cell>
          <cell r="E274" t="str">
            <v>Voltas</v>
          </cell>
          <cell r="F274" t="str">
            <v>Job</v>
          </cell>
          <cell r="G274">
            <v>231335</v>
          </cell>
          <cell r="H274">
            <v>0.05</v>
          </cell>
        </row>
        <row r="275">
          <cell r="A275">
            <v>5359</v>
          </cell>
          <cell r="D275" t="str">
            <v>AHU double skinned with 40kg/sqcm PUF - 15 TR</v>
          </cell>
          <cell r="E275" t="str">
            <v>Voltas</v>
          </cell>
          <cell r="F275" t="str">
            <v>Job</v>
          </cell>
          <cell r="G275">
            <v>253326</v>
          </cell>
          <cell r="H275">
            <v>0.05</v>
          </cell>
        </row>
        <row r="276">
          <cell r="A276">
            <v>5360</v>
          </cell>
          <cell r="D276" t="str">
            <v>AHU double skinned with 40kg/sqcm PUF - 20 TR</v>
          </cell>
          <cell r="E276" t="str">
            <v>Voltas</v>
          </cell>
          <cell r="F276" t="str">
            <v>Job</v>
          </cell>
          <cell r="G276">
            <v>308617</v>
          </cell>
          <cell r="H276">
            <v>0.05</v>
          </cell>
        </row>
        <row r="277">
          <cell r="A277">
            <v>5361</v>
          </cell>
          <cell r="D277" t="str">
            <v>AHU double skinned with 40kg/sqcm PUF - 25 TR</v>
          </cell>
          <cell r="E277" t="str">
            <v>Voltas</v>
          </cell>
          <cell r="F277" t="str">
            <v>Job</v>
          </cell>
          <cell r="G277">
            <v>356631</v>
          </cell>
          <cell r="H277">
            <v>0.05</v>
          </cell>
        </row>
        <row r="278">
          <cell r="A278">
            <v>5362</v>
          </cell>
          <cell r="D278" t="str">
            <v>AHU double skinned with 40kg/sqcm PUF - 35 TR</v>
          </cell>
          <cell r="E278" t="str">
            <v>Voltas</v>
          </cell>
          <cell r="F278" t="str">
            <v>Job</v>
          </cell>
          <cell r="G278">
            <v>488835</v>
          </cell>
          <cell r="H278">
            <v>0.05</v>
          </cell>
        </row>
        <row r="279">
          <cell r="A279">
            <v>5363</v>
          </cell>
          <cell r="D279" t="str">
            <v>AHU double skinned with 40kg/sqcm PUF - 5 TR</v>
          </cell>
          <cell r="E279" t="str">
            <v>Voltas</v>
          </cell>
          <cell r="F279" t="str">
            <v>Job</v>
          </cell>
          <cell r="G279">
            <v>130085</v>
          </cell>
          <cell r="H279">
            <v>0.05</v>
          </cell>
        </row>
        <row r="280">
          <cell r="A280">
            <v>5364</v>
          </cell>
          <cell r="D280" t="str">
            <v>Fan coil Unit 1.5 TR</v>
          </cell>
          <cell r="E280" t="str">
            <v>Voltas</v>
          </cell>
          <cell r="F280" t="str">
            <v>Job</v>
          </cell>
          <cell r="G280">
            <v>20750</v>
          </cell>
          <cell r="H280">
            <v>0.05</v>
          </cell>
        </row>
        <row r="281">
          <cell r="A281">
            <v>5365</v>
          </cell>
          <cell r="D281" t="str">
            <v>Fan coil Unit 2.0 TR</v>
          </cell>
          <cell r="E281" t="str">
            <v>Voltas</v>
          </cell>
          <cell r="F281" t="str">
            <v>Job</v>
          </cell>
          <cell r="G281">
            <v>22900</v>
          </cell>
          <cell r="H281">
            <v>0.05</v>
          </cell>
        </row>
        <row r="282">
          <cell r="A282">
            <v>5366</v>
          </cell>
          <cell r="D282" t="str">
            <v>Budgetory offer from HPS Engineers for 18 SWG ducting</v>
          </cell>
          <cell r="E282" t="str">
            <v>HPS</v>
          </cell>
          <cell r="F282" t="str">
            <v>Sq Mtr</v>
          </cell>
          <cell r="G282">
            <v>753.55000000000007</v>
          </cell>
          <cell r="H282">
            <v>0.1</v>
          </cell>
          <cell r="K282">
            <v>2.64E-2</v>
          </cell>
        </row>
        <row r="283">
          <cell r="A283">
            <v>5367</v>
          </cell>
          <cell r="D283" t="str">
            <v>Budgetory offer from HPS Engineers for 20 SWG ducting</v>
          </cell>
          <cell r="E283" t="str">
            <v>HPS</v>
          </cell>
          <cell r="F283" t="str">
            <v>Sq Mtr</v>
          </cell>
          <cell r="G283">
            <v>550</v>
          </cell>
          <cell r="H283">
            <v>0.1</v>
          </cell>
          <cell r="K283">
            <v>2.64E-2</v>
          </cell>
        </row>
        <row r="284">
          <cell r="A284">
            <v>5368</v>
          </cell>
          <cell r="D284" t="str">
            <v>Budgetory offer from HPS Engineers for 22 SWG ducting</v>
          </cell>
          <cell r="E284" t="str">
            <v>HPS</v>
          </cell>
          <cell r="F284" t="str">
            <v>Sq Mtr</v>
          </cell>
          <cell r="G284">
            <v>470</v>
          </cell>
          <cell r="H284">
            <v>0.1</v>
          </cell>
          <cell r="K284">
            <v>2.64E-2</v>
          </cell>
        </row>
        <row r="285">
          <cell r="A285">
            <v>5369</v>
          </cell>
          <cell r="D285" t="str">
            <v>Budgetory offer from HPS Engineers for 24 SWG ducting</v>
          </cell>
          <cell r="E285" t="str">
            <v>HPS</v>
          </cell>
          <cell r="F285" t="str">
            <v>Sq Mtr</v>
          </cell>
          <cell r="G285">
            <v>430</v>
          </cell>
          <cell r="H285">
            <v>0.1</v>
          </cell>
          <cell r="K285">
            <v>2.64E-2</v>
          </cell>
        </row>
        <row r="286">
          <cell r="A286">
            <v>5370</v>
          </cell>
          <cell r="D286" t="str">
            <v>Budgetory offer from HPS Engineers for Volume control dampers in ducts</v>
          </cell>
          <cell r="E286" t="str">
            <v>HPS</v>
          </cell>
          <cell r="F286" t="str">
            <v>Sq Mtr</v>
          </cell>
          <cell r="G286">
            <v>4500</v>
          </cell>
          <cell r="H286">
            <v>0.1</v>
          </cell>
          <cell r="K286">
            <v>2.64E-2</v>
          </cell>
        </row>
        <row r="287">
          <cell r="A287">
            <v>5371</v>
          </cell>
          <cell r="D287" t="str">
            <v>Budgetory offer from HPS Engineers Kitchen Air scrubber complete set (nominal overall size of Air washer 1320 L x 1800 W x 1575 H)</v>
          </cell>
          <cell r="E287" t="str">
            <v>HPS</v>
          </cell>
          <cell r="F287" t="str">
            <v>Set</v>
          </cell>
          <cell r="G287">
            <v>110000</v>
          </cell>
          <cell r="H287">
            <v>0.1</v>
          </cell>
          <cell r="K287">
            <v>2.64E-2</v>
          </cell>
        </row>
        <row r="288">
          <cell r="A288">
            <v>5372</v>
          </cell>
          <cell r="D288" t="str">
            <v>Budgetory offer from HPS Engineers for Kitchen Hoods made from GSS</v>
          </cell>
          <cell r="E288" t="str">
            <v>HPS</v>
          </cell>
          <cell r="F288" t="str">
            <v>Sq Mtr</v>
          </cell>
          <cell r="G288">
            <v>32500</v>
          </cell>
          <cell r="H288">
            <v>0.1</v>
          </cell>
          <cell r="K288">
            <v>2.64E-2</v>
          </cell>
        </row>
        <row r="289">
          <cell r="A289">
            <v>5373</v>
          </cell>
          <cell r="D289" t="str">
            <v>Budgetory offer from Saitech HVAC Projects (P) Ltd for 18 SWG ducting</v>
          </cell>
          <cell r="E289" t="str">
            <v>SaiTech HVAC</v>
          </cell>
          <cell r="F289" t="str">
            <v>Sq Mtr</v>
          </cell>
          <cell r="G289">
            <v>680</v>
          </cell>
          <cell r="H289">
            <v>0.1</v>
          </cell>
          <cell r="K289">
            <v>6.6400000000000001E-2</v>
          </cell>
        </row>
        <row r="290">
          <cell r="A290">
            <v>5374</v>
          </cell>
          <cell r="D290" t="str">
            <v>Budgetory offer from Saitech HVAC Projects (P) Ltd for 20 SWG ducting</v>
          </cell>
          <cell r="E290" t="str">
            <v>SaiTech HVAC</v>
          </cell>
          <cell r="F290" t="str">
            <v>Sq Mtr</v>
          </cell>
          <cell r="G290">
            <v>590</v>
          </cell>
          <cell r="H290">
            <v>0.1</v>
          </cell>
          <cell r="K290">
            <v>6.6400000000000001E-2</v>
          </cell>
        </row>
        <row r="291">
          <cell r="A291">
            <v>5375</v>
          </cell>
          <cell r="D291" t="str">
            <v>Budgetory offer from Saitech HVAC Projects (P) Ltd for 22 SWG ducting</v>
          </cell>
          <cell r="E291" t="str">
            <v>SaiTech HVAC</v>
          </cell>
          <cell r="F291" t="str">
            <v>Sq Mtr</v>
          </cell>
          <cell r="G291">
            <v>570</v>
          </cell>
          <cell r="H291">
            <v>0.1</v>
          </cell>
          <cell r="K291">
            <v>6.6400000000000001E-2</v>
          </cell>
        </row>
        <row r="292">
          <cell r="A292">
            <v>5376</v>
          </cell>
          <cell r="D292" t="str">
            <v>Budgetory offer from Saitech HVAC Projects (P) Ltd for 24 SWG ducting</v>
          </cell>
          <cell r="E292" t="str">
            <v>SaiTech HVAC</v>
          </cell>
          <cell r="F292" t="str">
            <v>Sq Mtr</v>
          </cell>
          <cell r="G292">
            <v>495</v>
          </cell>
          <cell r="H292">
            <v>0.1</v>
          </cell>
          <cell r="K292">
            <v>6.6400000000000001E-2</v>
          </cell>
        </row>
        <row r="293">
          <cell r="A293">
            <v>5377</v>
          </cell>
          <cell r="D293" t="str">
            <v>Budgetory offer from Saitech HVAC Projects (P) Ltd for Volume control dampers in ducts</v>
          </cell>
          <cell r="E293" t="str">
            <v>SaiTech HVAC</v>
          </cell>
          <cell r="F293" t="str">
            <v>Sq Mtr</v>
          </cell>
          <cell r="G293">
            <v>6000</v>
          </cell>
          <cell r="H293">
            <v>0.1</v>
          </cell>
          <cell r="K293">
            <v>6.6400000000000001E-2</v>
          </cell>
        </row>
        <row r="294">
          <cell r="A294">
            <v>5378</v>
          </cell>
          <cell r="D294" t="str">
            <v>Budgetory offer from Saitech HVAC Projects (P) Ltd Kitchen Air scrubber complete set (nominal overall size of Air washer 1320 L x 1800 W x 1575 H)</v>
          </cell>
          <cell r="E294" t="str">
            <v>SaiTech HVAC</v>
          </cell>
          <cell r="F294" t="str">
            <v>Set</v>
          </cell>
          <cell r="G294">
            <v>175500</v>
          </cell>
          <cell r="H294">
            <v>0.1</v>
          </cell>
          <cell r="K294">
            <v>6.6400000000000001E-2</v>
          </cell>
        </row>
        <row r="295">
          <cell r="A295">
            <v>5379</v>
          </cell>
          <cell r="D295" t="str">
            <v>Budgetory offer from Saitech HVAC Projects (P) Ltd for Kitchen Hoods made from GSS</v>
          </cell>
          <cell r="E295" t="str">
            <v>SaiTech HVAC</v>
          </cell>
          <cell r="F295" t="str">
            <v>Sq Mtr</v>
          </cell>
          <cell r="G295">
            <v>15200</v>
          </cell>
          <cell r="H295">
            <v>0.1</v>
          </cell>
          <cell r="K295">
            <v>6.6400000000000001E-2</v>
          </cell>
        </row>
        <row r="296">
          <cell r="A296">
            <v>5289</v>
          </cell>
        </row>
        <row r="297">
          <cell r="A297">
            <v>5290</v>
          </cell>
        </row>
        <row r="298">
          <cell r="A298">
            <v>5291</v>
          </cell>
        </row>
        <row r="299">
          <cell r="A299">
            <v>5292</v>
          </cell>
        </row>
        <row r="300">
          <cell r="A300">
            <v>5293</v>
          </cell>
        </row>
        <row r="301">
          <cell r="A301">
            <v>5294</v>
          </cell>
        </row>
        <row r="302">
          <cell r="A302">
            <v>5295</v>
          </cell>
        </row>
        <row r="303">
          <cell r="A303">
            <v>5296</v>
          </cell>
        </row>
        <row r="304">
          <cell r="A304">
            <v>5297</v>
          </cell>
        </row>
        <row r="305">
          <cell r="A305">
            <v>5298</v>
          </cell>
        </row>
        <row r="306">
          <cell r="A306">
            <v>5299</v>
          </cell>
        </row>
        <row r="307">
          <cell r="A307">
            <v>5300</v>
          </cell>
        </row>
        <row r="308">
          <cell r="A308">
            <v>5301</v>
          </cell>
        </row>
        <row r="309">
          <cell r="A309">
            <v>5302</v>
          </cell>
        </row>
        <row r="310">
          <cell r="A310">
            <v>5303</v>
          </cell>
        </row>
        <row r="311">
          <cell r="A311">
            <v>5304</v>
          </cell>
        </row>
        <row r="312">
          <cell r="A312">
            <v>6000</v>
          </cell>
          <cell r="H312">
            <v>0</v>
          </cell>
        </row>
        <row r="313">
          <cell r="A313">
            <v>6001</v>
          </cell>
          <cell r="D313" t="str">
            <v>Mechanic AC</v>
          </cell>
          <cell r="G313">
            <v>137.4</v>
          </cell>
          <cell r="H313">
            <v>0</v>
          </cell>
        </row>
        <row r="314">
          <cell r="A314">
            <v>6002</v>
          </cell>
          <cell r="D314" t="str">
            <v>Wireman</v>
          </cell>
          <cell r="G314">
            <v>137.4</v>
          </cell>
          <cell r="H314">
            <v>0</v>
          </cell>
        </row>
        <row r="315">
          <cell r="A315">
            <v>6003</v>
          </cell>
          <cell r="D315" t="str">
            <v>Plumber</v>
          </cell>
          <cell r="G315">
            <v>137.4</v>
          </cell>
          <cell r="H315">
            <v>0</v>
          </cell>
        </row>
        <row r="316">
          <cell r="A316">
            <v>6004</v>
          </cell>
          <cell r="D316" t="str">
            <v>Welder</v>
          </cell>
          <cell r="G316">
            <v>137.4</v>
          </cell>
          <cell r="H316">
            <v>0</v>
          </cell>
        </row>
        <row r="317">
          <cell r="A317">
            <v>6005</v>
          </cell>
          <cell r="D317" t="str">
            <v>Mason</v>
          </cell>
          <cell r="G317">
            <v>135.4</v>
          </cell>
          <cell r="H317">
            <v>0</v>
          </cell>
        </row>
        <row r="318">
          <cell r="A318">
            <v>6006</v>
          </cell>
          <cell r="D318" t="str">
            <v>Khallasi</v>
          </cell>
          <cell r="G318">
            <v>132.4</v>
          </cell>
          <cell r="H318">
            <v>0</v>
          </cell>
        </row>
        <row r="319">
          <cell r="A319">
            <v>6007</v>
          </cell>
          <cell r="D319" t="str">
            <v>Company Erection / Service Engineer</v>
          </cell>
          <cell r="G319">
            <v>800</v>
          </cell>
          <cell r="H319">
            <v>0</v>
          </cell>
        </row>
        <row r="320">
          <cell r="A320">
            <v>6008</v>
          </cell>
          <cell r="D320" t="str">
            <v>Sheet Metal Worker</v>
          </cell>
          <cell r="G320">
            <v>137.4</v>
          </cell>
          <cell r="H320">
            <v>0</v>
          </cell>
        </row>
        <row r="321">
          <cell r="A321">
            <v>6009</v>
          </cell>
          <cell r="D321" t="str">
            <v>Fitter</v>
          </cell>
          <cell r="G321">
            <v>135.4</v>
          </cell>
          <cell r="H321">
            <v>0</v>
          </cell>
        </row>
        <row r="322">
          <cell r="A322">
            <v>6010</v>
          </cell>
          <cell r="D322" t="str">
            <v>Blacksmith</v>
          </cell>
          <cell r="G322">
            <v>135.4</v>
          </cell>
          <cell r="H322">
            <v>0</v>
          </cell>
        </row>
        <row r="323">
          <cell r="A323">
            <v>6011</v>
          </cell>
          <cell r="D323" t="str">
            <v>Cable jointer</v>
          </cell>
          <cell r="G323">
            <v>137.4</v>
          </cell>
          <cell r="H323">
            <v>0</v>
          </cell>
        </row>
        <row r="324">
          <cell r="A324">
            <v>5317</v>
          </cell>
        </row>
        <row r="325">
          <cell r="A325">
            <v>5318</v>
          </cell>
        </row>
        <row r="326">
          <cell r="A326">
            <v>5319</v>
          </cell>
        </row>
        <row r="327">
          <cell r="A327">
            <v>5320</v>
          </cell>
        </row>
        <row r="328">
          <cell r="A328">
            <v>5321</v>
          </cell>
        </row>
        <row r="329">
          <cell r="A329">
            <v>5322</v>
          </cell>
        </row>
        <row r="330">
          <cell r="A330">
            <v>5323</v>
          </cell>
        </row>
        <row r="331">
          <cell r="A331">
            <v>5324</v>
          </cell>
        </row>
        <row r="332">
          <cell r="A332">
            <v>5325</v>
          </cell>
        </row>
        <row r="333">
          <cell r="A333">
            <v>5326</v>
          </cell>
        </row>
        <row r="334">
          <cell r="A334">
            <v>5327</v>
          </cell>
        </row>
        <row r="335">
          <cell r="A335">
            <v>5328</v>
          </cell>
        </row>
        <row r="336">
          <cell r="A336">
            <v>5329</v>
          </cell>
        </row>
        <row r="337">
          <cell r="A337">
            <v>5330</v>
          </cell>
        </row>
        <row r="338">
          <cell r="A338">
            <v>5331</v>
          </cell>
        </row>
        <row r="339">
          <cell r="A339">
            <v>5332</v>
          </cell>
        </row>
        <row r="340">
          <cell r="A340">
            <v>5333</v>
          </cell>
        </row>
        <row r="341">
          <cell r="A341">
            <v>5334</v>
          </cell>
        </row>
        <row r="342">
          <cell r="A342">
            <v>5335</v>
          </cell>
        </row>
        <row r="343">
          <cell r="A343">
            <v>5336</v>
          </cell>
        </row>
        <row r="344">
          <cell r="A344">
            <v>5337</v>
          </cell>
        </row>
        <row r="345">
          <cell r="A345">
            <v>5338</v>
          </cell>
        </row>
        <row r="346">
          <cell r="A346">
            <v>5339</v>
          </cell>
        </row>
        <row r="347">
          <cell r="A347">
            <v>5340</v>
          </cell>
        </row>
        <row r="348">
          <cell r="A348">
            <v>5341</v>
          </cell>
        </row>
        <row r="349">
          <cell r="A349">
            <v>5342</v>
          </cell>
          <cell r="D349" t="str">
            <v>Tube Axial Fan 1000 CFM</v>
          </cell>
        </row>
        <row r="350">
          <cell r="A350">
            <v>5343</v>
          </cell>
          <cell r="D350" t="str">
            <v>Tube Axial Fan 4500 CFM</v>
          </cell>
        </row>
        <row r="351">
          <cell r="A351">
            <v>5344</v>
          </cell>
          <cell r="D351" t="str">
            <v>Tube Axial Fan 5000 CFM</v>
          </cell>
        </row>
        <row r="352">
          <cell r="A352">
            <v>5345</v>
          </cell>
        </row>
        <row r="353">
          <cell r="A353">
            <v>5346</v>
          </cell>
          <cell r="D353" t="str">
            <v>Ventilation fan, axial type, single speed 1000 CFM with suitable 3 ph, 415 V, 50 Hz AC motor and base frame</v>
          </cell>
          <cell r="E353" t="str">
            <v>ebm NADI</v>
          </cell>
          <cell r="F353" t="str">
            <v>Each</v>
          </cell>
          <cell r="G353">
            <v>15690</v>
          </cell>
          <cell r="H353">
            <v>0.16</v>
          </cell>
          <cell r="I353">
            <v>0.16</v>
          </cell>
          <cell r="J353">
            <v>0.126</v>
          </cell>
          <cell r="K353">
            <v>0.06</v>
          </cell>
        </row>
        <row r="354">
          <cell r="A354">
            <v>5347</v>
          </cell>
          <cell r="D354" t="str">
            <v>Ventilation fan, axial type, single speed 4500 CFM with suitable 3 ph, 415 V, 50 Hz AC motor and base frame</v>
          </cell>
          <cell r="E354" t="str">
            <v>ebm NADI</v>
          </cell>
          <cell r="F354" t="str">
            <v>Each</v>
          </cell>
          <cell r="G354">
            <v>17530</v>
          </cell>
          <cell r="H354">
            <v>0.16</v>
          </cell>
          <cell r="I354">
            <v>0.16</v>
          </cell>
          <cell r="J354">
            <v>0.126</v>
          </cell>
          <cell r="K354">
            <v>0.06</v>
          </cell>
        </row>
        <row r="355">
          <cell r="A355">
            <v>5348</v>
          </cell>
          <cell r="D355" t="str">
            <v>Ventilation fan, axial type, single speed 5000 CFM with suitable 3 ph, 415 V, 50 Hz AC motor and base frame</v>
          </cell>
          <cell r="E355" t="str">
            <v>ebm NADI</v>
          </cell>
          <cell r="F355" t="str">
            <v>Each</v>
          </cell>
          <cell r="G355">
            <v>17680</v>
          </cell>
          <cell r="H355">
            <v>0.16</v>
          </cell>
          <cell r="I355">
            <v>0.16</v>
          </cell>
          <cell r="J355">
            <v>0.126</v>
          </cell>
          <cell r="K355">
            <v>0.06</v>
          </cell>
        </row>
        <row r="356">
          <cell r="A356">
            <v>5349</v>
          </cell>
          <cell r="D356" t="str">
            <v>Ventilation fan, centrifugal type, double speed 21000 / 42000 CFM with suitable 3 ph, 415 V, 50 Hz AC motor and base frame</v>
          </cell>
          <cell r="E356" t="str">
            <v>ebm NADI</v>
          </cell>
          <cell r="F356" t="str">
            <v>Each</v>
          </cell>
          <cell r="G356">
            <v>165030</v>
          </cell>
          <cell r="H356">
            <v>0.16</v>
          </cell>
          <cell r="I356">
            <v>0.16</v>
          </cell>
          <cell r="J356">
            <v>0.126</v>
          </cell>
          <cell r="K356">
            <v>0.06</v>
          </cell>
        </row>
        <row r="357">
          <cell r="A357">
            <v>5350</v>
          </cell>
          <cell r="D357" t="str">
            <v>Ventilation fan, centrifugal type, double speed 28000 / 56000 CFM with suitable 3 ph, 415 V, 50 Hz AC motor and base frame</v>
          </cell>
          <cell r="E357" t="str">
            <v>ebm NADI</v>
          </cell>
          <cell r="F357" t="str">
            <v>Each</v>
          </cell>
          <cell r="G357">
            <v>265295</v>
          </cell>
          <cell r="H357">
            <v>0.16</v>
          </cell>
          <cell r="I357">
            <v>0.16</v>
          </cell>
          <cell r="J357">
            <v>0.126</v>
          </cell>
          <cell r="K357">
            <v>0.06</v>
          </cell>
        </row>
        <row r="358">
          <cell r="A358">
            <v>5351</v>
          </cell>
          <cell r="D358" t="str">
            <v>Ventilation fan, centrifugal type, double speed 30000 / 60000 CFM with suitable 3 ph, 415 V, 50 Hz AC motor and base frame</v>
          </cell>
          <cell r="E358" t="str">
            <v>ebm NADI</v>
          </cell>
          <cell r="F358" t="str">
            <v>Each</v>
          </cell>
          <cell r="G358">
            <v>265295</v>
          </cell>
          <cell r="H358">
            <v>0.16</v>
          </cell>
          <cell r="I358">
            <v>0.16</v>
          </cell>
          <cell r="J358">
            <v>0.126</v>
          </cell>
          <cell r="K358">
            <v>0.06</v>
          </cell>
        </row>
        <row r="359">
          <cell r="A359">
            <v>5352</v>
          </cell>
          <cell r="D359" t="str">
            <v>Ventilation fan, centrifugal type, double speed 33000 / 66000 CFM with suitable 3 ph, 415 V, 50 Hz AC motor and base frame</v>
          </cell>
          <cell r="E359" t="str">
            <v>ebm NADI</v>
          </cell>
          <cell r="F359" t="str">
            <v>Each</v>
          </cell>
          <cell r="G359">
            <v>265295</v>
          </cell>
          <cell r="H359">
            <v>0.16</v>
          </cell>
          <cell r="I359">
            <v>0.16</v>
          </cell>
          <cell r="J359">
            <v>0.126</v>
          </cell>
          <cell r="K359">
            <v>0.06</v>
          </cell>
        </row>
        <row r="360">
          <cell r="A360">
            <v>5353</v>
          </cell>
          <cell r="D360" t="str">
            <v>Ventilation fan, centrifugal type, single speed 15000 CFM with suitable 3 ph, 415 V, 50 Hz AC motor and base frame</v>
          </cell>
          <cell r="E360" t="str">
            <v>ebm NADI</v>
          </cell>
          <cell r="F360" t="str">
            <v>Each</v>
          </cell>
          <cell r="G360">
            <v>70860</v>
          </cell>
          <cell r="H360">
            <v>0.16</v>
          </cell>
          <cell r="I360">
            <v>0.16</v>
          </cell>
          <cell r="J360">
            <v>0.126</v>
          </cell>
          <cell r="K360">
            <v>0.06</v>
          </cell>
        </row>
        <row r="361">
          <cell r="A361">
            <v>5354</v>
          </cell>
          <cell r="D361" t="str">
            <v>Ventilation fan, centrifugal type, single speed 20000 CFM with suitable 3 ph, 415 V, 50 Hz AC motor and base frame</v>
          </cell>
          <cell r="E361" t="str">
            <v>ebm NADI</v>
          </cell>
          <cell r="F361" t="str">
            <v>Each</v>
          </cell>
          <cell r="G361">
            <v>83660</v>
          </cell>
          <cell r="H361">
            <v>0.16</v>
          </cell>
          <cell r="I361">
            <v>0.16</v>
          </cell>
          <cell r="J361">
            <v>0.126</v>
          </cell>
          <cell r="K361">
            <v>0.06</v>
          </cell>
        </row>
        <row r="362">
          <cell r="A362">
            <v>5355</v>
          </cell>
          <cell r="D362" t="str">
            <v>Ventilation fan, centrifugal type, single speed 6500 CFM with suitable 3 ph, 415 V, 50 Hz AC motor and base frame</v>
          </cell>
          <cell r="E362" t="str">
            <v>ebm NADI</v>
          </cell>
          <cell r="F362" t="str">
            <v>Each</v>
          </cell>
          <cell r="G362">
            <v>44115</v>
          </cell>
          <cell r="H362">
            <v>0.16</v>
          </cell>
          <cell r="I362">
            <v>0.16</v>
          </cell>
          <cell r="J362">
            <v>0.126</v>
          </cell>
          <cell r="K362">
            <v>0.06</v>
          </cell>
        </row>
        <row r="363">
          <cell r="A363">
            <v>5356</v>
          </cell>
          <cell r="D363" t="str">
            <v>Ventilation fan, centrifugal type, single speed 8000 CFM with suitable 3 ph, 415 V, 50 Hz AC motor and base frame</v>
          </cell>
          <cell r="E363" t="str">
            <v>ebm NADI</v>
          </cell>
          <cell r="F363" t="str">
            <v>Each</v>
          </cell>
          <cell r="G363">
            <v>50750</v>
          </cell>
          <cell r="H363">
            <v>0.16</v>
          </cell>
          <cell r="I363">
            <v>0.16</v>
          </cell>
          <cell r="J363">
            <v>0.126</v>
          </cell>
          <cell r="K363">
            <v>0.06</v>
          </cell>
        </row>
        <row r="364">
          <cell r="A364">
            <v>5357</v>
          </cell>
        </row>
        <row r="365">
          <cell r="A365">
            <v>5358</v>
          </cell>
        </row>
        <row r="366">
          <cell r="A366">
            <v>5359</v>
          </cell>
        </row>
        <row r="367">
          <cell r="A367">
            <v>5360</v>
          </cell>
        </row>
        <row r="368">
          <cell r="A368">
            <v>5361</v>
          </cell>
        </row>
        <row r="369">
          <cell r="A369">
            <v>5362</v>
          </cell>
        </row>
        <row r="370">
          <cell r="A370">
            <v>5363</v>
          </cell>
        </row>
        <row r="371">
          <cell r="A371">
            <v>5364</v>
          </cell>
        </row>
        <row r="372">
          <cell r="A372">
            <v>5365</v>
          </cell>
        </row>
        <row r="373">
          <cell r="A373">
            <v>5366</v>
          </cell>
        </row>
        <row r="374">
          <cell r="A374">
            <v>5367</v>
          </cell>
        </row>
        <row r="375">
          <cell r="A375">
            <v>5368</v>
          </cell>
        </row>
        <row r="376">
          <cell r="A376">
            <v>5369</v>
          </cell>
        </row>
        <row r="377">
          <cell r="A377">
            <v>5370</v>
          </cell>
        </row>
        <row r="378">
          <cell r="A378">
            <v>5371</v>
          </cell>
        </row>
        <row r="379">
          <cell r="A379">
            <v>5372</v>
          </cell>
        </row>
        <row r="380">
          <cell r="A380">
            <v>5373</v>
          </cell>
        </row>
        <row r="381">
          <cell r="A381">
            <v>5374</v>
          </cell>
        </row>
        <row r="382">
          <cell r="A382">
            <v>5375</v>
          </cell>
        </row>
        <row r="383">
          <cell r="A383">
            <v>5376</v>
          </cell>
        </row>
        <row r="384">
          <cell r="A384">
            <v>5377</v>
          </cell>
        </row>
        <row r="385">
          <cell r="A385">
            <v>5378</v>
          </cell>
        </row>
        <row r="386">
          <cell r="A386">
            <v>5379</v>
          </cell>
        </row>
        <row r="387">
          <cell r="A387">
            <v>5380</v>
          </cell>
        </row>
        <row r="388">
          <cell r="A388">
            <v>5381</v>
          </cell>
        </row>
        <row r="389">
          <cell r="A389">
            <v>5382</v>
          </cell>
        </row>
        <row r="390">
          <cell r="A390">
            <v>5383</v>
          </cell>
        </row>
        <row r="391">
          <cell r="A391">
            <v>5384</v>
          </cell>
        </row>
        <row r="392">
          <cell r="A392">
            <v>5385</v>
          </cell>
        </row>
        <row r="393">
          <cell r="A393">
            <v>5386</v>
          </cell>
        </row>
        <row r="394">
          <cell r="A394">
            <v>5387</v>
          </cell>
        </row>
        <row r="395">
          <cell r="A395">
            <v>5388</v>
          </cell>
        </row>
        <row r="396">
          <cell r="A396">
            <v>5389</v>
          </cell>
        </row>
        <row r="397">
          <cell r="A397">
            <v>5390</v>
          </cell>
        </row>
        <row r="398">
          <cell r="A398">
            <v>5391</v>
          </cell>
        </row>
        <row r="399">
          <cell r="A399">
            <v>5392</v>
          </cell>
        </row>
        <row r="400">
          <cell r="A400">
            <v>5393</v>
          </cell>
        </row>
        <row r="401">
          <cell r="A401">
            <v>5394</v>
          </cell>
        </row>
        <row r="402">
          <cell r="A402">
            <v>5395</v>
          </cell>
        </row>
        <row r="403">
          <cell r="A403">
            <v>5396</v>
          </cell>
        </row>
        <row r="404">
          <cell r="A404">
            <v>5397</v>
          </cell>
        </row>
        <row r="405">
          <cell r="A405">
            <v>5398</v>
          </cell>
        </row>
        <row r="406">
          <cell r="A406">
            <v>5399</v>
          </cell>
        </row>
        <row r="407">
          <cell r="A407">
            <v>5400</v>
          </cell>
        </row>
        <row r="408">
          <cell r="A408">
            <v>6001</v>
          </cell>
          <cell r="D408" t="str">
            <v>AC Mechanic</v>
          </cell>
          <cell r="G408">
            <v>137.4</v>
          </cell>
          <cell r="K408">
            <v>137.4</v>
          </cell>
        </row>
        <row r="409">
          <cell r="A409">
            <v>6002</v>
          </cell>
          <cell r="D409" t="str">
            <v>Wireman</v>
          </cell>
          <cell r="G409">
            <v>137.4</v>
          </cell>
          <cell r="K409">
            <v>137.4</v>
          </cell>
        </row>
        <row r="410">
          <cell r="A410">
            <v>6003</v>
          </cell>
          <cell r="D410" t="str">
            <v>Plumber</v>
          </cell>
          <cell r="G410">
            <v>137.4</v>
          </cell>
          <cell r="K410">
            <v>137.4</v>
          </cell>
        </row>
        <row r="411">
          <cell r="A411">
            <v>6004</v>
          </cell>
          <cell r="D411" t="str">
            <v>Welder</v>
          </cell>
          <cell r="G411">
            <v>137.4</v>
          </cell>
          <cell r="K411">
            <v>137.4</v>
          </cell>
        </row>
        <row r="412">
          <cell r="A412">
            <v>6005</v>
          </cell>
          <cell r="D412" t="str">
            <v>Mason</v>
          </cell>
          <cell r="G412">
            <v>135.4</v>
          </cell>
          <cell r="K412">
            <v>135.4</v>
          </cell>
        </row>
        <row r="413">
          <cell r="A413">
            <v>6006</v>
          </cell>
          <cell r="D413" t="str">
            <v>Khallasi</v>
          </cell>
          <cell r="G413">
            <v>132.4</v>
          </cell>
          <cell r="K413">
            <v>132.4</v>
          </cell>
        </row>
        <row r="414">
          <cell r="A414">
            <v>6007</v>
          </cell>
          <cell r="D414" t="str">
            <v>Company Erection / Service Engineer</v>
          </cell>
          <cell r="G414">
            <v>800</v>
          </cell>
          <cell r="K414">
            <v>800</v>
          </cell>
        </row>
        <row r="415">
          <cell r="A415">
            <v>6008</v>
          </cell>
          <cell r="D415" t="str">
            <v>Sheet Metal Worker</v>
          </cell>
          <cell r="G415">
            <v>137.4</v>
          </cell>
          <cell r="K415">
            <v>137.4</v>
          </cell>
        </row>
        <row r="416">
          <cell r="A416">
            <v>6009</v>
          </cell>
          <cell r="D416" t="str">
            <v>Fitter</v>
          </cell>
          <cell r="G416">
            <v>135.4</v>
          </cell>
          <cell r="K416">
            <v>135.4</v>
          </cell>
        </row>
        <row r="417">
          <cell r="A417">
            <v>6010</v>
          </cell>
          <cell r="D417" t="str">
            <v>Blacksmith</v>
          </cell>
          <cell r="G417">
            <v>135.4</v>
          </cell>
          <cell r="K417">
            <v>135.4</v>
          </cell>
        </row>
        <row r="418">
          <cell r="A418">
            <v>6011</v>
          </cell>
          <cell r="D418" t="str">
            <v>Cable jointer</v>
          </cell>
          <cell r="G418">
            <v>137.4</v>
          </cell>
          <cell r="K418">
            <v>137.4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row r="7">
          <cell r="A7" t="str">
            <v>A 1</v>
          </cell>
        </row>
      </sheetData>
      <sheetData sheetId="19"/>
      <sheetData sheetId="20"/>
      <sheetData sheetId="21"/>
      <sheetData sheetId="22"/>
      <sheetData sheetId="23"/>
      <sheetData sheetId="24"/>
      <sheetData sheetId="25"/>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as"/>
      <sheetName val="Overall Summary"/>
      <sheetName val="Basement Summary"/>
      <sheetName val="Basement Budget"/>
      <sheetName val="Podium Summary"/>
      <sheetName val="Podium Budgets"/>
      <sheetName val="Guestroom Summary"/>
      <sheetName val="Guestroom Budget"/>
      <sheetName val="Sitework Summary"/>
      <sheetName val="Sitework Budget"/>
      <sheetName val="TBAL9697 -group wise  sdpl"/>
      <sheetName val="PCS"/>
      <sheetName val="Estimate"/>
      <sheetName val="Cost summary"/>
      <sheetName val="Headings"/>
      <sheetName val="PANEL ANNEXURE"/>
      <sheetName val="GM &amp; TA"/>
      <sheetName val="beam-reinft"/>
      <sheetName val="Micro"/>
      <sheetName val="Macro"/>
      <sheetName val="Scaff-Rose"/>
      <sheetName val="Break up Sheet"/>
      <sheetName val="Rate analysis"/>
      <sheetName val="INPUT SHEET"/>
      <sheetName val="RES-PLANNING"/>
      <sheetName val="LIST OF MAKES"/>
      <sheetName val="Material "/>
      <sheetName val="Labour &amp; Plant"/>
      <sheetName val="Voucher"/>
      <sheetName val="Balustrade"/>
      <sheetName val="Data"/>
      <sheetName val="Master Sheet"/>
      <sheetName val="Site Dev BOQ"/>
      <sheetName val="Sheet2"/>
      <sheetName val="Fill this out first..."/>
      <sheetName val="HPL"/>
      <sheetName val="Timesheet"/>
      <sheetName val="Staff Acco."/>
      <sheetName val="Macro1"/>
      <sheetName val="Template-Design Devt Estimate"/>
      <sheetName val="FACTOR"/>
      <sheetName val="Indices"/>
      <sheetName val="Lead"/>
      <sheetName val="dBase"/>
      <sheetName val="Summary year Plan"/>
      <sheetName val="Sheet1"/>
      <sheetName val="96수출"/>
      <sheetName val="预算"/>
      <sheetName val="PUMP"/>
      <sheetName val="X rate"/>
      <sheetName val="월선수금"/>
      <sheetName val="Codes"/>
      <sheetName val="Sheet4"/>
      <sheetName val="CFForecast detail"/>
      <sheetName val="Design"/>
      <sheetName val="3. Elemental Summary"/>
      <sheetName val="9. Package split - Cost "/>
      <sheetName val="12a. CFTable"/>
      <sheetName val="Legend"/>
      <sheetName val="10. &amp; 11. Rate Code &amp; BQ"/>
      <sheetName val="Input"/>
      <sheetName val="Break_Up"/>
      <sheetName val="RESULT"/>
      <sheetName val="dlvoid"/>
      <sheetName val="GBW"/>
      <sheetName val="Fin"/>
      <sheetName val="Area"/>
      <sheetName val="Intro"/>
      <sheetName val="PRECAST lightconc-II"/>
      <sheetName val="E150-4"/>
      <sheetName val="Masters"/>
      <sheetName val="Testing"/>
      <sheetName val="final estimate"/>
      <sheetName val="horizontal"/>
      <sheetName val="RMZ Summary"/>
      <sheetName val="Fin. Assumpt. - Sensitivities"/>
      <sheetName val="Misc.Liq"/>
      <sheetName val="Results"/>
      <sheetName val="Invoice"/>
      <sheetName val="Working"/>
      <sheetName val="Conc"/>
      <sheetName val="S 2"/>
      <sheetName val="VALIDATIONS"/>
      <sheetName val="Background"/>
      <sheetName val="Overall_Summary"/>
      <sheetName val="Basement_Summary"/>
      <sheetName val="Basement_Budget"/>
      <sheetName val="Podium_Summary"/>
      <sheetName val="Podium_Budgets"/>
      <sheetName val="Guestroom_Summary"/>
      <sheetName val="Guestroom_Budget"/>
      <sheetName val="Sitework_Summary"/>
      <sheetName val="Sitework_Budget"/>
      <sheetName val="TBAL9697_-group_wise__sdpl"/>
      <sheetName val="Cost_summary"/>
      <sheetName val="GM_&amp;_TA"/>
      <sheetName val="PANEL_ANNEXURE"/>
      <sheetName val="Break_up_Sheet"/>
      <sheetName val="Rate_analysis"/>
      <sheetName val="INPUT_SHEET"/>
      <sheetName val="LIST_OF_MAKES"/>
      <sheetName val="Material_"/>
      <sheetName val="Labour_&amp;_Plant"/>
      <sheetName val="Master_Sheet"/>
      <sheetName val="Site_Dev_BOQ"/>
      <sheetName val="Substation"/>
      <sheetName val="ABB"/>
      <sheetName val="Base data Security Procedures"/>
      <sheetName val="Project Budget Worksheet"/>
      <sheetName val="BOQ"/>
      <sheetName val="loadcal"/>
      <sheetName val="GF Columns"/>
      <sheetName val="IO LIST"/>
      <sheetName val="Costing"/>
      <sheetName val="P&amp;L"/>
      <sheetName val="Other Inc"/>
      <sheetName val="F&amp;B"/>
      <sheetName val="Admin"/>
      <sheetName val="Room Rev"/>
      <sheetName val="SMS Format"/>
      <sheetName val="Factors"/>
      <sheetName val="External"/>
      <sheetName val="SUPPLY -Sanitary Fixtures"/>
      <sheetName val="ITEMS FOR CIVIL TENDER"/>
      <sheetName val="#REF"/>
      <sheetName val="Maint"/>
      <sheetName val="Kitchen"/>
      <sheetName val="Housek"/>
      <sheetName val="I-CO"/>
      <sheetName val="Sheet3"/>
      <sheetName val="analysis"/>
      <sheetName val="Global Assm."/>
      <sheetName val="PointNo.5"/>
      <sheetName val="Summary"/>
      <sheetName val="ESTIMATE for approval"/>
      <sheetName val="Phase 1"/>
      <sheetName val="Phase 2"/>
      <sheetName val="Pay_Sep06"/>
      <sheetName val="Pay Rec"/>
      <sheetName val="Assumptions"/>
      <sheetName val="07016, Master List-Major Minor"/>
      <sheetName val="HEAD"/>
      <sheetName val="MASTER_RATE ANALYSIS"/>
      <sheetName val="Basic Rates"/>
      <sheetName val="NPV"/>
      <sheetName val="Construction"/>
      <sheetName val="GreenSheet"/>
      <sheetName val="Build-up"/>
      <sheetName val="Traffic"/>
      <sheetName val="Area St"/>
      <sheetName val="Sump_cal"/>
      <sheetName val="LOM_MOD"/>
      <sheetName val="Variables"/>
      <sheetName val="3cd Annexure"/>
      <sheetName val="os liabilities analysis"/>
      <sheetName val="Intaccrual"/>
      <sheetName val="SBU"/>
      <sheetName val="tdint"/>
      <sheetName val="introduction"/>
      <sheetName val="INDIGINEOUS ITEMS "/>
      <sheetName val="Extra Item"/>
      <sheetName val="Database"/>
      <sheetName val="SCHEDULE"/>
      <sheetName val="schedule nos"/>
      <sheetName val=" B3"/>
      <sheetName val=" B1"/>
      <sheetName val="AutoOpen Stub Data"/>
      <sheetName val="Guidelines"/>
      <sheetName val="Cont"/>
      <sheetName val="Assumption Inputs"/>
      <sheetName val="FORM7"/>
      <sheetName val="sept-plan"/>
      <sheetName val="Civil Boq"/>
      <sheetName val="Detail"/>
      <sheetName val="labour coeff"/>
      <sheetName val="COST"/>
      <sheetName val="Reference Information"/>
      <sheetName val="Employee List"/>
      <sheetName val="Sales Office"/>
      <sheetName val="HVAC1"/>
      <sheetName val="SECURITY 1"/>
      <sheetName val="Vehicles"/>
      <sheetName val="sqn_ldr_3 Unit_2_"/>
      <sheetName val="Cal"/>
      <sheetName val="협조전"/>
      <sheetName val="Sheet14"/>
      <sheetName val="Sheet15"/>
      <sheetName val="Master"/>
      <sheetName val="Msht 5F"/>
      <sheetName val="Risk &amp; Opportunities"/>
      <sheetName val="PROG_DATA"/>
      <sheetName val="LOCAL RATES"/>
      <sheetName val="collections plan 0401"/>
      <sheetName val="DB_REL_SIDC_UP"/>
      <sheetName val="Estimation"/>
      <sheetName val="Msht-Int-Msht-GF"/>
      <sheetName val="ISO RECON"/>
      <sheetName val="Back filling"/>
      <sheetName val="NT items summary"/>
      <sheetName val="VCH-SLC"/>
      <sheetName val="Supplier"/>
      <sheetName val="Wordsdata"/>
      <sheetName val="item"/>
      <sheetName val="Meas.-Hotel Part"/>
      <sheetName val="type ahead combo"/>
      <sheetName val="adp-budget"/>
      <sheetName val="Constants"/>
      <sheetName val="labour rates"/>
      <sheetName val="Fill_this_out_first___"/>
      <sheetName val="FTE Totals_Plan"/>
      <sheetName val="Masonry"/>
      <sheetName val="RCC,Ret. Wall"/>
      <sheetName val="Assmpns"/>
      <sheetName val="Erection grider"/>
      <sheetName val="doq"/>
      <sheetName val="keyword"/>
      <sheetName val="PA- Consutant "/>
      <sheetName val="Order Info"/>
      <sheetName val="電気設備表"/>
      <sheetName val="PEDESB"/>
      <sheetName val="p&amp;m"/>
      <sheetName val="DATA BOQ"/>
      <sheetName val="HOLIDAY LIST"/>
      <sheetName val="DASH BOARD"/>
      <sheetName val="#REF!"/>
      <sheetName val="BoQ-1"/>
      <sheetName val="BoQ-2"/>
      <sheetName val="INDEX"/>
      <sheetName val="zone-8"/>
      <sheetName val="MHNO_LEV"/>
      <sheetName val="재1"/>
      <sheetName val="Status Control Sheet"/>
      <sheetName val="Hardware"/>
      <sheetName val="Dimensions"/>
      <sheetName val="crews"/>
      <sheetName val="appendix A"/>
      <sheetName val="maing1"/>
      <sheetName val="Approved MTD Proj #'s"/>
      <sheetName val="M"/>
      <sheetName val="N"/>
      <sheetName val="Overall_Summary1"/>
      <sheetName val="Basement_Summary1"/>
      <sheetName val="Basement_Budget1"/>
      <sheetName val="Podium_Summary1"/>
      <sheetName val="Podium_Budgets1"/>
      <sheetName val="Guestroom_Summary1"/>
      <sheetName val="Guestroom_Budget1"/>
      <sheetName val="Sitework_Summary1"/>
      <sheetName val="Sitework_Budget1"/>
      <sheetName val="GM_&amp;_TA1"/>
      <sheetName val="Break_up_Sheet1"/>
      <sheetName val="Rate_analysis1"/>
      <sheetName val="LIST_OF_MAKES1"/>
      <sheetName val="Cost_summary1"/>
      <sheetName val="Master_Sheet1"/>
      <sheetName val="TBAL9697_-group_wise__sdpl1"/>
      <sheetName val="INPUT_SHEET1"/>
      <sheetName val="PANEL_ANNEXURE1"/>
      <sheetName val="Site_Dev_BOQ1"/>
      <sheetName val="Staff_Acco_"/>
      <sheetName val="Template-Design_Devt_Estimate"/>
      <sheetName val="Material_1"/>
      <sheetName val="Labour_&amp;_Plant1"/>
      <sheetName val="final_estimate"/>
      <sheetName val="CFForecast_detail"/>
      <sheetName val="3__Elemental_Summary"/>
      <sheetName val="9__Package_split_-_Cost_"/>
      <sheetName val="12a__CFTable"/>
      <sheetName val="10__&amp;_11__Rate_Code_&amp;_BQ"/>
      <sheetName val="PRECAST_lightconc-II"/>
      <sheetName val="Fin__Assumpt__-_Sensitivities"/>
      <sheetName val="SUPPLY_-Sanitary_Fixtures"/>
      <sheetName val="ITEMS_FOR_CIVIL_TENDER"/>
      <sheetName val="Global_Assm_"/>
      <sheetName val="X_rate"/>
      <sheetName val="PointNo_5"/>
      <sheetName val="Misc_Liq"/>
      <sheetName val="RMZ_Summary"/>
      <sheetName val="Project_Budget_Worksheet"/>
      <sheetName val="Base_data_Security_Procedures"/>
      <sheetName val="GF_Columns"/>
      <sheetName val="IO_LIST"/>
      <sheetName val="AutoOpen_Stub_Data"/>
      <sheetName val="Phase_1"/>
      <sheetName val="Phase_2"/>
      <sheetName val="Pay_Rec"/>
      <sheetName val="Other_Inc"/>
      <sheetName val="Room_Rev"/>
      <sheetName val="SMS_Format"/>
      <sheetName val="S_2"/>
      <sheetName val="ESTIMATE_for_approval"/>
      <sheetName val="Summary_year_Plan"/>
      <sheetName val="07016,_Master_List-Major_Minor"/>
      <sheetName val="Basic_Rates"/>
      <sheetName val="MASTER_RATE_ANALYSIS"/>
      <sheetName val="INDIGINEOUS_ITEMS_"/>
      <sheetName val="Extra_Item"/>
      <sheetName val="schedule_nos"/>
      <sheetName val="_B3"/>
      <sheetName val="_B1"/>
      <sheetName val="collections_plan_0401"/>
      <sheetName val="SECURITY_1"/>
      <sheetName val="Reference_Information"/>
      <sheetName val="Employee_List"/>
      <sheetName val="Sales_Office"/>
      <sheetName val="3cd_Annexure"/>
      <sheetName val="Assumption_Inputs"/>
      <sheetName val="Civil_Boq"/>
      <sheetName val="Risk_&amp;_Opportunities"/>
      <sheetName val="type_ahead_combo"/>
      <sheetName val="os_liabilities_analysis"/>
      <sheetName val="Area_St"/>
      <sheetName val="Msht_5F"/>
      <sheetName val="sqn_ldr_3_Unit_2_"/>
      <sheetName val="labour_coeff"/>
      <sheetName val="Overall_Summary2"/>
      <sheetName val="Basement_Summary2"/>
      <sheetName val="Basement_Budget2"/>
      <sheetName val="Podium_Summary2"/>
      <sheetName val="Podium_Budgets2"/>
      <sheetName val="Guestroom_Summary2"/>
      <sheetName val="Guestroom_Budget2"/>
      <sheetName val="Sitework_Summary2"/>
      <sheetName val="Sitework_Budget2"/>
      <sheetName val="GM_&amp;_TA2"/>
      <sheetName val="TBAL9697_-group_wise__sdpl2"/>
      <sheetName val="PANEL_ANNEXURE2"/>
      <sheetName val="Cost_summary2"/>
      <sheetName val="Break_up_Sheet2"/>
      <sheetName val="Rate_analysis2"/>
      <sheetName val="INPUT_SHEET2"/>
      <sheetName val="LIST_OF_MAKES2"/>
      <sheetName val="Material_2"/>
      <sheetName val="Labour_&amp;_Plant2"/>
      <sheetName val="Master_Sheet2"/>
      <sheetName val="Site_Dev_BOQ2"/>
      <sheetName val="Overall_Summary3"/>
      <sheetName val="Basement_Summary3"/>
      <sheetName val="Basement_Budget3"/>
      <sheetName val="Podium_Summary3"/>
      <sheetName val="Podium_Budgets3"/>
      <sheetName val="Guestroom_Summary3"/>
      <sheetName val="Guestroom_Budget3"/>
      <sheetName val="Sitework_Summary3"/>
      <sheetName val="Sitework_Budget3"/>
      <sheetName val="GM_&amp;_TA3"/>
      <sheetName val="TBAL9697_-group_wise__sdpl3"/>
      <sheetName val="X_rate1"/>
      <sheetName val="Cost_summary3"/>
      <sheetName val="PANEL_ANNEXURE3"/>
      <sheetName val="LIST_OF_MAKES3"/>
      <sheetName val="Break_up_Sheet3"/>
      <sheetName val="Rate_analysis3"/>
      <sheetName val="INPUT_SHEET3"/>
      <sheetName val="Master_Sheet3"/>
      <sheetName val="Material_3"/>
      <sheetName val="Labour_&amp;_Plant3"/>
      <sheetName val="Site_Dev_BOQ3"/>
      <sheetName val="CFForecast_detail1"/>
      <sheetName val="3__Elemental_Summary1"/>
      <sheetName val="9__Package_split_-_Cost_1"/>
      <sheetName val="12a__CFTable1"/>
      <sheetName val="10__&amp;_11__Rate_Code_&amp;_BQ1"/>
      <sheetName val="PRECAST_lightconc-II1"/>
      <sheetName val="Fill_this_out_first___1"/>
      <sheetName val="final_estimate1"/>
      <sheetName val="Base_data_Security_Procedures1"/>
      <sheetName val="Fin__Assumpt__-_Sensitivities1"/>
      <sheetName val="Template-Design_Devt_Estimate1"/>
      <sheetName val="Staff_Acco_1"/>
      <sheetName val="Project_Budget_Worksheet1"/>
      <sheetName val="RMZ_Summary1"/>
      <sheetName val="SUPPLY_-Sanitary_Fixtures1"/>
      <sheetName val="ITEMS_FOR_CIVIL_TENDER1"/>
      <sheetName val="Global_Assm_1"/>
      <sheetName val="PointNo_51"/>
      <sheetName val="ESTIMATE_for_approval1"/>
      <sheetName val="Misc_Liq1"/>
      <sheetName val="GF_Columns1"/>
      <sheetName val="IO_LIST1"/>
      <sheetName val="Phase_11"/>
      <sheetName val="Phase_21"/>
      <sheetName val="Pay_Rec1"/>
      <sheetName val="S_21"/>
      <sheetName val="07016,_Master_List-Major_Minor1"/>
      <sheetName val="Other_Inc1"/>
      <sheetName val="Room_Rev1"/>
      <sheetName val="SMS_Format1"/>
      <sheetName val="Basic_Rates1"/>
      <sheetName val="Summary_year_Plan1"/>
      <sheetName val="MASTER_RATE_ANALYSIS1"/>
      <sheetName val="AutoOpen_Stub_Data1"/>
      <sheetName val="INDIGINEOUS_ITEMS_1"/>
      <sheetName val="Extra_Item1"/>
      <sheetName val="schedule_nos1"/>
      <sheetName val="_B31"/>
      <sheetName val="_B11"/>
      <sheetName val="collections_plan_04011"/>
      <sheetName val="SECURITY_11"/>
      <sheetName val="Reference_Information1"/>
      <sheetName val="Employee_List1"/>
      <sheetName val="Sales_Office1"/>
      <sheetName val="3cd_Annexure1"/>
      <sheetName val="Risk_&amp;_Opportunities1"/>
      <sheetName val="Civil_Boq1"/>
      <sheetName val="type_ahead_combo1"/>
      <sheetName val="Assumption_Inputs1"/>
      <sheetName val="os_liabilities_analysis1"/>
      <sheetName val="Area_St1"/>
      <sheetName val="sqn_ldr_3_Unit_2_1"/>
      <sheetName val="labour_coeff1"/>
      <sheetName val="Msht_5F1"/>
      <sheetName val="Budgetary office area"/>
      <sheetName val="electr_ work CA "/>
      <sheetName val="CCB"/>
      <sheetName val="Config"/>
      <sheetName val="Break Dw"/>
      <sheetName val="BASIS -DEC 08"/>
      <sheetName val="Block A - BOQ"/>
      <sheetName val="Cover"/>
      <sheetName val="Material"/>
      <sheetName val="Position Class"/>
      <sheetName val="Timeoffice"/>
      <sheetName val="Ext Works"/>
      <sheetName val="F1a-Pile"/>
      <sheetName val="Driveway Beams"/>
      <sheetName val="Mat_Cost"/>
      <sheetName val="Other_Input"/>
      <sheetName val="Building 1"/>
      <sheetName val="PPA Summary"/>
      <sheetName val="LOCAL_RATES"/>
      <sheetName val="PA-_Consutant_"/>
      <sheetName val="ISO_RECON"/>
      <sheetName val="Back_filling"/>
      <sheetName val="NT_items_summary"/>
      <sheetName val="Meas_-Hotel_Part"/>
      <sheetName val="labour_rates"/>
      <sheetName val="RCC,Ret__Wall"/>
      <sheetName val="Erection_grider"/>
      <sheetName val="FTE_Totals_Plan"/>
      <sheetName val="DATA_BOQ"/>
      <sheetName val="Order_Info"/>
      <sheetName val="Report"/>
      <sheetName val="Fill_this_out_first___2"/>
      <sheetName val="LOCAL_RATES1"/>
      <sheetName val="PA-_Consutant_1"/>
      <sheetName val="ISO_RECON1"/>
      <sheetName val="Back_filling1"/>
      <sheetName val="NT_items_summary1"/>
      <sheetName val="Meas_-Hotel_Part1"/>
      <sheetName val="labour_rates1"/>
      <sheetName val="RCC,Ret__Wall1"/>
      <sheetName val="Erection_grider1"/>
      <sheetName val="FTE_Totals_Plan1"/>
      <sheetName val="DATA_BOQ1"/>
      <sheetName val="Order_Info1"/>
      <sheetName val="CFForecast_detail2"/>
      <sheetName val="3__Elemental_Summary2"/>
      <sheetName val="9__Package_split_-_Cost_2"/>
      <sheetName val="12a__CFTable2"/>
      <sheetName val="10__&amp;_11__Rate_Code_&amp;_BQ2"/>
      <sheetName val="PRECAST_lightconc-II2"/>
      <sheetName val="Fill_this_out_first___3"/>
      <sheetName val="X_rate2"/>
      <sheetName val="final_estimate2"/>
      <sheetName val="Base_data_Security_Procedures2"/>
      <sheetName val="Fin__Assumpt__-_Sensitivities2"/>
      <sheetName val="Template-Design_Devt_Estimate2"/>
      <sheetName val="Staff_Acco_2"/>
      <sheetName val="Project_Budget_Worksheet2"/>
      <sheetName val="RMZ_Summary2"/>
      <sheetName val="Misc_Liq2"/>
      <sheetName val="SUPPLY_-Sanitary_Fixtures2"/>
      <sheetName val="ITEMS_FOR_CIVIL_TENDER2"/>
      <sheetName val="Global_Assm_2"/>
      <sheetName val="PointNo_52"/>
      <sheetName val="ESTIMATE_for_approval2"/>
      <sheetName val="Phase_12"/>
      <sheetName val="Phase_22"/>
      <sheetName val="Pay_Rec2"/>
      <sheetName val="S_22"/>
      <sheetName val="07016,_Master_List-Major_Minor2"/>
      <sheetName val="Other_Inc2"/>
      <sheetName val="Room_Rev2"/>
      <sheetName val="SMS_Format2"/>
      <sheetName val="MASTER_RATE_ANALYSIS2"/>
      <sheetName val="GF_Columns2"/>
      <sheetName val="IO_LIST2"/>
      <sheetName val="Basic_Rates2"/>
      <sheetName val="Summary_year_Plan2"/>
      <sheetName val="INDIGINEOUS_ITEMS_2"/>
      <sheetName val="Extra_Item2"/>
      <sheetName val="schedule_nos2"/>
      <sheetName val="_B32"/>
      <sheetName val="_B12"/>
      <sheetName val="AutoOpen_Stub_Data2"/>
      <sheetName val="os_liabilities_analysis2"/>
      <sheetName val="3cd_Annexure2"/>
      <sheetName val="Civil_Boq2"/>
      <sheetName val="Assumption_Inputs2"/>
      <sheetName val="labour_coeff2"/>
      <sheetName val="sqn_ldr_3_Unit_2_2"/>
      <sheetName val="Reference_Information2"/>
      <sheetName val="Employee_List2"/>
      <sheetName val="Sales_Office2"/>
      <sheetName val="SECURITY_12"/>
      <sheetName val="Area_St2"/>
      <sheetName val="collections_plan_04012"/>
      <sheetName val="LOCAL_RATES2"/>
      <sheetName val="Msht_5F2"/>
      <sheetName val="Risk_&amp;_Opportunities2"/>
      <sheetName val="PA-_Consutant_2"/>
      <sheetName val="ISO_RECON2"/>
      <sheetName val="Back_filling2"/>
      <sheetName val="NT_items_summary2"/>
      <sheetName val="Meas_-Hotel_Part2"/>
      <sheetName val="type_ahead_combo2"/>
      <sheetName val="labour_rates2"/>
      <sheetName val="RCC,Ret__Wall2"/>
      <sheetName val="Controls"/>
      <sheetName val="BBS"/>
      <sheetName val="L.Chg"/>
      <sheetName val="Erection_grider2"/>
      <sheetName val="FTE_Totals_Plan2"/>
      <sheetName val="DATA_BOQ2"/>
      <sheetName val="Order_Info2"/>
      <sheetName val="Overall_Summary4"/>
      <sheetName val="Basement_Summary4"/>
      <sheetName val="Basement_Budget4"/>
      <sheetName val="Podium_Summary4"/>
      <sheetName val="Podium_Budgets4"/>
      <sheetName val="Guestroom_Summary4"/>
      <sheetName val="Guestroom_Budget4"/>
      <sheetName val="Sitework_Summary4"/>
      <sheetName val="Sitework_Budget4"/>
      <sheetName val="Master_Sheet4"/>
      <sheetName val="GM_&amp;_TA4"/>
      <sheetName val="Cost_summary4"/>
      <sheetName val="TBAL9697_-group_wise__sdpl4"/>
      <sheetName val="Material_4"/>
      <sheetName val="Labour_&amp;_Plant4"/>
      <sheetName val="LIST_OF_MAKES4"/>
      <sheetName val="INPUT_SHEET4"/>
      <sheetName val="Site_Dev_BOQ4"/>
      <sheetName val="CFForecast_detail3"/>
      <sheetName val="3__Elemental_Summary3"/>
      <sheetName val="9__Package_split_-_Cost_3"/>
      <sheetName val="12a__CFTable3"/>
      <sheetName val="10__&amp;_11__Rate_Code_&amp;_BQ3"/>
      <sheetName val="Break_up_Sheet4"/>
      <sheetName val="PRECAST_lightconc-II3"/>
      <sheetName val="PANEL_ANNEXURE4"/>
      <sheetName val="Rate_analysis4"/>
      <sheetName val="Fill_this_out_first___4"/>
      <sheetName val="X_rate3"/>
      <sheetName val="final_estimate3"/>
      <sheetName val="Base_data_Security_Procedures3"/>
      <sheetName val="Fin__Assumpt__-_Sensitivities3"/>
      <sheetName val="Template-Design_Devt_Estimate3"/>
      <sheetName val="Staff_Acco_3"/>
      <sheetName val="Project_Budget_Worksheet3"/>
      <sheetName val="RMZ_Summary3"/>
      <sheetName val="Misc_Liq3"/>
      <sheetName val="SUPPLY_-Sanitary_Fixtures3"/>
      <sheetName val="ITEMS_FOR_CIVIL_TENDER3"/>
      <sheetName val="Global_Assm_3"/>
      <sheetName val="PointNo_53"/>
      <sheetName val="ESTIMATE_for_approval3"/>
      <sheetName val="Phase_13"/>
      <sheetName val="Phase_23"/>
      <sheetName val="Pay_Rec3"/>
      <sheetName val="S_23"/>
      <sheetName val="07016,_Master_List-Major_Minor3"/>
      <sheetName val="Other_Inc3"/>
      <sheetName val="Room_Rev3"/>
      <sheetName val="SMS_Format3"/>
      <sheetName val="MASTER_RATE_ANALYSIS3"/>
      <sheetName val="GF_Columns3"/>
      <sheetName val="IO_LIST3"/>
      <sheetName val="Basic_Rates3"/>
      <sheetName val="Summary_year_Plan3"/>
      <sheetName val="INDIGINEOUS_ITEMS_3"/>
      <sheetName val="Extra_Item3"/>
      <sheetName val="schedule_nos3"/>
      <sheetName val="_B33"/>
      <sheetName val="_B13"/>
      <sheetName val="AutoOpen_Stub_Data3"/>
      <sheetName val="os_liabilities_analysis3"/>
      <sheetName val="3cd_Annexure3"/>
      <sheetName val="Civil_Boq3"/>
      <sheetName val="Assumption_Inputs3"/>
      <sheetName val="labour_coeff3"/>
      <sheetName val="sqn_ldr_3_Unit_2_3"/>
      <sheetName val="Reference_Information3"/>
      <sheetName val="Employee_List3"/>
      <sheetName val="Sales_Office3"/>
      <sheetName val="SECURITY_13"/>
      <sheetName val="Area_St3"/>
      <sheetName val="collections_plan_04013"/>
      <sheetName val="LOCAL_RATES3"/>
      <sheetName val="Msht_5F3"/>
      <sheetName val="Risk_&amp;_Opportunities3"/>
      <sheetName val="PA-_Consutant_3"/>
      <sheetName val="ISO_RECON3"/>
      <sheetName val="Back_filling3"/>
      <sheetName val="NT_items_summary3"/>
      <sheetName val="Meas_-Hotel_Part3"/>
      <sheetName val="type_ahead_combo3"/>
      <sheetName val="labour_rates3"/>
      <sheetName val="RCC,Ret__Wall3"/>
      <sheetName val="Erection_grider3"/>
      <sheetName val="FTE_Totals_Plan3"/>
      <sheetName val="DATA_BOQ3"/>
      <sheetName val="Order_Info3"/>
      <sheetName val="65 FINANCE"/>
      <sheetName val="Pacakges split"/>
      <sheetName val="beam-reinft-IIInd floor"/>
      <sheetName val="RA-markate"/>
      <sheetName val="Register"/>
      <sheetName val="Reference Values"/>
      <sheetName val="LANGUAGE"/>
      <sheetName val="Hot"/>
      <sheetName val="cashflow"/>
      <sheetName val="d-safe DELUXE"/>
      <sheetName val="Diawise steel abstract"/>
      <sheetName val="RA"/>
      <sheetName val="WORK TABLE"/>
      <sheetName val="Quotation"/>
      <sheetName val="대비내역"/>
      <sheetName val="Lowside"/>
      <sheetName val="Sqn_Abs"/>
      <sheetName val="DSLP"/>
      <sheetName val="Overall_Summary5"/>
      <sheetName val="Basement_Summary5"/>
      <sheetName val="Basement_Budget5"/>
      <sheetName val="Podium_Summary5"/>
      <sheetName val="Podium_Budgets5"/>
      <sheetName val="Guestroom_Summary5"/>
      <sheetName val="Guestroom_Budget5"/>
      <sheetName val="Sitework_Summary5"/>
      <sheetName val="Sitework_Budget5"/>
      <sheetName val="Master_Sheet5"/>
      <sheetName val="GM_&amp;_TA5"/>
      <sheetName val="Cost_summary5"/>
      <sheetName val="TBAL9697_-group_wise__sdpl5"/>
      <sheetName val="Material_5"/>
      <sheetName val="Labour_&amp;_Plant5"/>
      <sheetName val="LIST_OF_MAKES5"/>
      <sheetName val="INPUT_SHEET5"/>
      <sheetName val="Site_Dev_BOQ5"/>
      <sheetName val="CFForecast_detail4"/>
      <sheetName val="3__Elemental_Summary4"/>
      <sheetName val="9__Package_split_-_Cost_4"/>
      <sheetName val="12a__CFTable4"/>
      <sheetName val="10__&amp;_11__Rate_Code_&amp;_BQ4"/>
      <sheetName val="Break_up_Sheet5"/>
      <sheetName val="PRECAST_lightconc-II4"/>
      <sheetName val="PANEL_ANNEXURE5"/>
      <sheetName val="Rate_analysis5"/>
      <sheetName val="Fill_this_out_first___5"/>
      <sheetName val="X_rate4"/>
      <sheetName val="final_estimate4"/>
      <sheetName val="Base_data_Security_Procedures4"/>
      <sheetName val="Fin__Assumpt__-_Sensitivities4"/>
      <sheetName val="Template-Design_Devt_Estimate4"/>
      <sheetName val="Staff_Acco_4"/>
      <sheetName val="Project_Budget_Worksheet4"/>
      <sheetName val="RMZ_Summary4"/>
      <sheetName val="Misc_Liq4"/>
      <sheetName val="SUPPLY_-Sanitary_Fixtures4"/>
      <sheetName val="ITEMS_FOR_CIVIL_TENDER4"/>
      <sheetName val="Global_Assm_4"/>
      <sheetName val="PointNo_54"/>
      <sheetName val="ESTIMATE_for_approval4"/>
      <sheetName val="Phase_14"/>
      <sheetName val="Phase_24"/>
      <sheetName val="Pay_Rec4"/>
      <sheetName val="S_24"/>
      <sheetName val="07016,_Master_List-Major_Minor4"/>
      <sheetName val="Other_Inc4"/>
      <sheetName val="Room_Rev4"/>
      <sheetName val="SMS_Format4"/>
      <sheetName val="MASTER_RATE_ANALYSIS4"/>
      <sheetName val="GF_Columns4"/>
      <sheetName val="IO_LIST4"/>
      <sheetName val="Basic_Rates4"/>
      <sheetName val="Summary_year_Plan4"/>
      <sheetName val="INDIGINEOUS_ITEMS_4"/>
      <sheetName val="Extra_Item4"/>
      <sheetName val="schedule_nos4"/>
      <sheetName val="_B34"/>
      <sheetName val="_B14"/>
      <sheetName val="AutoOpen_Stub_Data4"/>
      <sheetName val="os_liabilities_analysis4"/>
      <sheetName val="3cd_Annexure4"/>
      <sheetName val="Civil_Boq4"/>
      <sheetName val="Assumption_Inputs4"/>
      <sheetName val="labour_coeff4"/>
      <sheetName val="sqn_ldr_3_Unit_2_4"/>
      <sheetName val="Reference_Information4"/>
      <sheetName val="Employee_List4"/>
      <sheetName val="Sales_Office4"/>
      <sheetName val="SECURITY_14"/>
      <sheetName val="Area_St4"/>
      <sheetName val="collections_plan_04014"/>
      <sheetName val="LOCAL_RATES4"/>
      <sheetName val="Msht_5F4"/>
      <sheetName val="Risk_&amp;_Opportunities4"/>
      <sheetName val="PA-_Consutant_4"/>
      <sheetName val="ISO_RECON4"/>
      <sheetName val="Back_filling4"/>
      <sheetName val="NT_items_summary4"/>
      <sheetName val="Meas_-Hotel_Part4"/>
      <sheetName val="type_ahead_combo4"/>
      <sheetName val="labour_rates4"/>
      <sheetName val="RCC,Ret__Wall4"/>
      <sheetName val="Erection_grider4"/>
      <sheetName val="FTE_Totals_Plan4"/>
      <sheetName val="DATA_BOQ4"/>
      <sheetName val="Order_Info4"/>
      <sheetName val="BASIS_-DEC_08"/>
      <sheetName val="Block_A_-_BOQ"/>
      <sheetName val="Approved_MTD_Proj_#'s"/>
      <sheetName val="Status_Control_Sheet"/>
      <sheetName val="HOLIDAY_LIST"/>
      <sheetName val="DASH_BOARD"/>
      <sheetName val="Overall_Summary6"/>
      <sheetName val="Basement_Summary6"/>
      <sheetName val="Basement_Budget6"/>
      <sheetName val="Podium_Summary6"/>
      <sheetName val="Podium_Budgets6"/>
      <sheetName val="Guestroom_Summary6"/>
      <sheetName val="Guestroom_Budget6"/>
      <sheetName val="Sitework_Summary6"/>
      <sheetName val="Sitework_Budget6"/>
      <sheetName val="Master_Sheet6"/>
      <sheetName val="GM_&amp;_TA6"/>
      <sheetName val="Cost_summary6"/>
      <sheetName val="TBAL9697_-group_wise__sdpl6"/>
      <sheetName val="Material_6"/>
      <sheetName val="Labour_&amp;_Plant6"/>
      <sheetName val="LIST_OF_MAKES6"/>
      <sheetName val="INPUT_SHEET6"/>
      <sheetName val="Site_Dev_BOQ6"/>
      <sheetName val="CFForecast_detail5"/>
      <sheetName val="3__Elemental_Summary5"/>
      <sheetName val="9__Package_split_-_Cost_5"/>
      <sheetName val="12a__CFTable5"/>
      <sheetName val="10__&amp;_11__Rate_Code_&amp;_BQ5"/>
      <sheetName val="Break_up_Sheet6"/>
      <sheetName val="PRECAST_lightconc-II5"/>
      <sheetName val="PANEL_ANNEXURE6"/>
      <sheetName val="Rate_analysis6"/>
      <sheetName val="Fill_this_out_first___6"/>
      <sheetName val="X_rate5"/>
      <sheetName val="final_estimate5"/>
      <sheetName val="Base_data_Security_Procedures5"/>
      <sheetName val="Fin__Assumpt__-_Sensitivities5"/>
      <sheetName val="Template-Design_Devt_Estimate5"/>
      <sheetName val="Staff_Acco_5"/>
      <sheetName val="Project_Budget_Worksheet5"/>
      <sheetName val="RMZ_Summary5"/>
      <sheetName val="Misc_Liq5"/>
      <sheetName val="SUPPLY_-Sanitary_Fixtures5"/>
      <sheetName val="ITEMS_FOR_CIVIL_TENDER5"/>
      <sheetName val="Global_Assm_5"/>
      <sheetName val="PointNo_55"/>
      <sheetName val="ESTIMATE_for_approval5"/>
      <sheetName val="Phase_15"/>
      <sheetName val="Phase_25"/>
      <sheetName val="Pay_Rec5"/>
      <sheetName val="S_25"/>
      <sheetName val="07016,_Master_List-Major_Minor5"/>
      <sheetName val="Other_Inc5"/>
      <sheetName val="Room_Rev5"/>
      <sheetName val="SMS_Format5"/>
      <sheetName val="MASTER_RATE_ANALYSIS5"/>
      <sheetName val="GF_Columns5"/>
      <sheetName val="IO_LIST5"/>
      <sheetName val="Basic_Rates5"/>
      <sheetName val="Summary_year_Plan5"/>
      <sheetName val="INDIGINEOUS_ITEMS_5"/>
      <sheetName val="Extra_Item5"/>
      <sheetName val="schedule_nos5"/>
      <sheetName val="_B35"/>
      <sheetName val="_B15"/>
      <sheetName val="AutoOpen_Stub_Data5"/>
      <sheetName val="os_liabilities_analysis5"/>
      <sheetName val="3cd_Annexure5"/>
      <sheetName val="Civil_Boq5"/>
      <sheetName val="Assumption_Inputs5"/>
      <sheetName val="labour_coeff5"/>
      <sheetName val="sqn_ldr_3_Unit_2_5"/>
      <sheetName val="Reference_Information5"/>
      <sheetName val="Employee_List5"/>
      <sheetName val="Sales_Office5"/>
      <sheetName val="SECURITY_15"/>
      <sheetName val="Area_St5"/>
      <sheetName val="collections_plan_04015"/>
      <sheetName val="LOCAL_RATES5"/>
      <sheetName val="Msht_5F5"/>
      <sheetName val="Risk_&amp;_Opportunities5"/>
      <sheetName val="PA-_Consutant_5"/>
      <sheetName val="ISO_RECON5"/>
      <sheetName val="Back_filling5"/>
      <sheetName val="NT_items_summary5"/>
      <sheetName val="Meas_-Hotel_Part5"/>
      <sheetName val="type_ahead_combo5"/>
      <sheetName val="labour_rates5"/>
      <sheetName val="RCC,Ret__Wall5"/>
      <sheetName val="Erection_grider5"/>
      <sheetName val="FTE_Totals_Plan5"/>
      <sheetName val="DATA_BOQ5"/>
      <sheetName val="Order_Info5"/>
      <sheetName val="BASIS_-DEC_081"/>
      <sheetName val="Block_A_-_BOQ1"/>
      <sheetName val="Approved_MTD_Proj_#'s1"/>
      <sheetName val="Status_Control_Sheet1"/>
      <sheetName val="HOLIDAY_LIST1"/>
      <sheetName val="DASH_BOARD1"/>
      <sheetName val="Overall_Summary7"/>
      <sheetName val="Basement_Summary7"/>
      <sheetName val="Basement_Budget7"/>
      <sheetName val="Podium_Summary7"/>
      <sheetName val="Podium_Budgets7"/>
      <sheetName val="Guestroom_Summary7"/>
      <sheetName val="Guestroom_Budget7"/>
      <sheetName val="Sitework_Summary7"/>
      <sheetName val="Sitework_Budget7"/>
      <sheetName val="Master_Sheet7"/>
      <sheetName val="GM_&amp;_TA7"/>
      <sheetName val="Cost_summary7"/>
      <sheetName val="TBAL9697_-group_wise__sdpl7"/>
      <sheetName val="Material_7"/>
      <sheetName val="Labour_&amp;_Plant7"/>
      <sheetName val="LIST_OF_MAKES7"/>
      <sheetName val="INPUT_SHEET7"/>
      <sheetName val="Site_Dev_BOQ7"/>
      <sheetName val="CFForecast_detail6"/>
      <sheetName val="3__Elemental_Summary6"/>
      <sheetName val="9__Package_split_-_Cost_6"/>
      <sheetName val="12a__CFTable6"/>
      <sheetName val="10__&amp;_11__Rate_Code_&amp;_BQ6"/>
      <sheetName val="Break_up_Sheet7"/>
      <sheetName val="PRECAST_lightconc-II6"/>
      <sheetName val="PANEL_ANNEXURE7"/>
      <sheetName val="Rate_analysis7"/>
      <sheetName val="Fill_this_out_first___7"/>
      <sheetName val="X_rate6"/>
      <sheetName val="final_estimate6"/>
      <sheetName val="Base_data_Security_Procedures6"/>
      <sheetName val="Fin__Assumpt__-_Sensitivities6"/>
      <sheetName val="Template-Design_Devt_Estimate6"/>
      <sheetName val="Staff_Acco_6"/>
      <sheetName val="Project_Budget_Worksheet6"/>
      <sheetName val="RMZ_Summary6"/>
      <sheetName val="Misc_Liq6"/>
      <sheetName val="SUPPLY_-Sanitary_Fixtures6"/>
      <sheetName val="ITEMS_FOR_CIVIL_TENDER6"/>
      <sheetName val="Global_Assm_6"/>
      <sheetName val="PointNo_56"/>
      <sheetName val="ESTIMATE_for_approval6"/>
      <sheetName val="Phase_16"/>
      <sheetName val="Phase_26"/>
      <sheetName val="Pay_Rec6"/>
      <sheetName val="S_26"/>
      <sheetName val="07016,_Master_List-Major_Minor6"/>
      <sheetName val="Other_Inc6"/>
      <sheetName val="Room_Rev6"/>
      <sheetName val="SMS_Format6"/>
      <sheetName val="MASTER_RATE_ANALYSIS6"/>
      <sheetName val="GF_Columns6"/>
      <sheetName val="IO_LIST6"/>
      <sheetName val="Basic_Rates6"/>
      <sheetName val="Summary_year_Plan6"/>
      <sheetName val="INDIGINEOUS_ITEMS_6"/>
      <sheetName val="Extra_Item6"/>
      <sheetName val="schedule_nos6"/>
      <sheetName val="_B36"/>
      <sheetName val="_B16"/>
      <sheetName val="AutoOpen_Stub_Data6"/>
      <sheetName val="os_liabilities_analysis6"/>
      <sheetName val="3cd_Annexure6"/>
      <sheetName val="Civil_Boq6"/>
      <sheetName val="Assumption_Inputs6"/>
      <sheetName val="labour_coeff6"/>
      <sheetName val="sqn_ldr_3_Unit_2_6"/>
      <sheetName val="Reference_Information6"/>
      <sheetName val="Employee_List6"/>
      <sheetName val="Sales_Office6"/>
      <sheetName val="SECURITY_16"/>
      <sheetName val="Area_St6"/>
      <sheetName val="collections_plan_04016"/>
      <sheetName val="LOCAL_RATES6"/>
      <sheetName val="Msht_5F6"/>
      <sheetName val="Risk_&amp;_Opportunities6"/>
      <sheetName val="PA-_Consutant_6"/>
      <sheetName val="ISO_RECON6"/>
      <sheetName val="Back_filling6"/>
      <sheetName val="NT_items_summary6"/>
      <sheetName val="Meas_-Hotel_Part6"/>
      <sheetName val="type_ahead_combo6"/>
      <sheetName val="labour_rates6"/>
      <sheetName val="RCC,Ret__Wall6"/>
      <sheetName val="Erection_grider6"/>
      <sheetName val="FTE_Totals_Plan6"/>
      <sheetName val="DATA_BOQ6"/>
      <sheetName val="Order_Info6"/>
      <sheetName val="BASIS_-DEC_082"/>
      <sheetName val="Block_A_-_BOQ2"/>
      <sheetName val="Approved_MTD_Proj_#'s2"/>
      <sheetName val="Status_Control_Sheet2"/>
      <sheetName val="HOLIDAY_LIST2"/>
      <sheetName val="DASH_BOARD2"/>
      <sheetName val="Modular"/>
      <sheetName val="Field Values"/>
      <sheetName val="sheeet7"/>
      <sheetName val="System"/>
      <sheetName val="General input"/>
      <sheetName val="Break_Up (bc)"/>
      <sheetName val="Break_Up (bc1)"/>
      <sheetName val="Break_Up (bc2)"/>
      <sheetName val="Status"/>
      <sheetName val="FORM-16"/>
      <sheetName val="입찰내역 발주처 양식"/>
      <sheetName val="Step 7"/>
      <sheetName val="grid"/>
      <sheetName val="A"/>
      <sheetName val="except wiring"/>
      <sheetName val="Material Current"/>
      <sheetName val="BLKs_C"/>
      <sheetName val="Comparative at bid opening"/>
      <sheetName val="BLOCK-E"/>
      <sheetName val="SITE OVERHEADS"/>
      <sheetName val="환율"/>
      <sheetName val="storm water1"/>
      <sheetName val="MB.Prod"/>
      <sheetName val="D1_CO"/>
      <sheetName val="electr__work_CA_"/>
      <sheetName val="OpRes"/>
      <sheetName val="LT internal works"/>
      <sheetName val="WING - A RAFT (23-08-09)"/>
      <sheetName val="Detail In Door Stad"/>
      <sheetName val="sq ftg detail"/>
      <sheetName val="lookup"/>
      <sheetName val="Senorita Project information"/>
      <sheetName val="Data base"/>
      <sheetName val="sheet6"/>
      <sheetName val="office"/>
      <sheetName val="Lab"/>
      <sheetName val="Material&amp;equipment"/>
      <sheetName val="A.CIVIL AND INTERIOR WORKS"/>
      <sheetName val="Overall_Summary8"/>
      <sheetName val="Basement_Summary8"/>
      <sheetName val="Basement_Budget8"/>
      <sheetName val="Podium_Summary8"/>
      <sheetName val="Podium_Budgets8"/>
      <sheetName val="Guestroom_Summary8"/>
      <sheetName val="Guestroom_Budget8"/>
      <sheetName val="Sitework_Summary8"/>
      <sheetName val="Sitework_Budget8"/>
      <sheetName val="GM_&amp;_TA8"/>
      <sheetName val="TBAL9697_-group_wise__sdpl8"/>
      <sheetName val="Overall_Summary9"/>
      <sheetName val="Basement_Summary9"/>
      <sheetName val="Basement_Budget9"/>
      <sheetName val="Podium_Summary9"/>
      <sheetName val="Podium_Budgets9"/>
      <sheetName val="Guestroom_Summary9"/>
      <sheetName val="Guestroom_Budget9"/>
      <sheetName val="Sitework_Summary9"/>
      <sheetName val="Sitework_Budget9"/>
      <sheetName val="GM_&amp;_TA9"/>
      <sheetName val="TBAL9697_-group_wise__sdpl9"/>
      <sheetName val="Break_up_Sheet8"/>
      <sheetName val="LIST_OF_MAKES8"/>
      <sheetName val="INPUT_SHEET8"/>
      <sheetName val="Overall_Summary10"/>
      <sheetName val="Basement_Summary10"/>
      <sheetName val="Basement_Budget10"/>
      <sheetName val="Podium_Summary10"/>
      <sheetName val="Podium_Budgets10"/>
      <sheetName val="Guestroom_Summary10"/>
      <sheetName val="Guestroom_Budget10"/>
      <sheetName val="Sitework_Summary10"/>
      <sheetName val="Sitework_Budget10"/>
      <sheetName val="GM_&amp;_TA10"/>
      <sheetName val="TBAL9697_-group_wise__sdpl10"/>
      <sheetName val="Break_up_Sheet9"/>
      <sheetName val="LIST_OF_MAKES9"/>
      <sheetName val="INPUT_SHEET9"/>
      <sheetName val="Overall_Summary11"/>
      <sheetName val="Basement_Summary11"/>
      <sheetName val="Basement_Budget11"/>
      <sheetName val="Podium_Summary11"/>
      <sheetName val="Podium_Budgets11"/>
      <sheetName val="Guestroom_Summary11"/>
      <sheetName val="Guestroom_Budget11"/>
      <sheetName val="Sitework_Summary11"/>
      <sheetName val="Sitework_Budget11"/>
      <sheetName val="GM_&amp;_TA11"/>
      <sheetName val="TBAL9697_-group_wise__sdpl11"/>
      <sheetName val="Break_up_Sheet10"/>
      <sheetName val="LIST_OF_MAKES10"/>
      <sheetName val="INPUT_SHEET10"/>
      <sheetName val="Overall_Summary15"/>
      <sheetName val="Basement_Summary15"/>
      <sheetName val="Basement_Budget15"/>
      <sheetName val="Podium_Summary15"/>
      <sheetName val="Podium_Budgets15"/>
      <sheetName val="Guestroom_Summary15"/>
      <sheetName val="Guestroom_Budget15"/>
      <sheetName val="Sitework_Summary15"/>
      <sheetName val="Sitework_Budget15"/>
      <sheetName val="GM_&amp;_TA15"/>
      <sheetName val="TBAL9697_-group_wise__sdpl15"/>
      <sheetName val="Break_up_Sheet14"/>
      <sheetName val="LIST_OF_MAKES14"/>
      <sheetName val="INPUT_SHEET14"/>
      <sheetName val="Overall_Summary12"/>
      <sheetName val="Basement_Summary12"/>
      <sheetName val="Basement_Budget12"/>
      <sheetName val="Podium_Summary12"/>
      <sheetName val="Podium_Budgets12"/>
      <sheetName val="Guestroom_Summary12"/>
      <sheetName val="Guestroom_Budget12"/>
      <sheetName val="Sitework_Summary12"/>
      <sheetName val="Sitework_Budget12"/>
      <sheetName val="GM_&amp;_TA12"/>
      <sheetName val="TBAL9697_-group_wise__sdpl12"/>
      <sheetName val="Break_up_Sheet11"/>
      <sheetName val="LIST_OF_MAKES11"/>
      <sheetName val="INPUT_SHEET11"/>
      <sheetName val="Overall_Summary13"/>
      <sheetName val="Basement_Summary13"/>
      <sheetName val="Basement_Budget13"/>
      <sheetName val="Podium_Summary13"/>
      <sheetName val="Podium_Budgets13"/>
      <sheetName val="Guestroom_Summary13"/>
      <sheetName val="Guestroom_Budget13"/>
      <sheetName val="Sitework_Summary13"/>
      <sheetName val="Sitework_Budget13"/>
      <sheetName val="GM_&amp;_TA13"/>
      <sheetName val="TBAL9697_-group_wise__sdpl13"/>
      <sheetName val="Break_up_Sheet12"/>
      <sheetName val="LIST_OF_MAKES12"/>
      <sheetName val="INPUT_SHEET12"/>
      <sheetName val="Overall_Summary14"/>
      <sheetName val="Basement_Summary14"/>
      <sheetName val="Basement_Budget14"/>
      <sheetName val="Podium_Summary14"/>
      <sheetName val="Podium_Budgets14"/>
      <sheetName val="Guestroom_Summary14"/>
      <sheetName val="Guestroom_Budget14"/>
      <sheetName val="Sitework_Summary14"/>
      <sheetName val="Sitework_Budget14"/>
      <sheetName val="GM_&amp;_TA14"/>
      <sheetName val="TBAL9697_-group_wise__sdpl14"/>
      <sheetName val="Break_up_Sheet13"/>
      <sheetName val="LIST_OF_MAKES13"/>
      <sheetName val="INPUT_SHEET13"/>
      <sheetName val="Overall_Summary16"/>
      <sheetName val="Basement_Summary16"/>
      <sheetName val="Basement_Budget16"/>
      <sheetName val="Podium_Summary16"/>
      <sheetName val="Podium_Budgets16"/>
      <sheetName val="Guestroom_Summary16"/>
      <sheetName val="Guestroom_Budget16"/>
      <sheetName val="Sitework_Summary16"/>
      <sheetName val="Sitework_Budget16"/>
      <sheetName val="GM_&amp;_TA16"/>
      <sheetName val="TBAL9697_-group_wise__sdpl16"/>
      <sheetName val="Break_up_Sheet15"/>
      <sheetName val="LIST_OF_MAKES15"/>
      <sheetName val="INPUT_SHEET15"/>
      <sheetName val="Overall_Summary17"/>
      <sheetName val="Basement_Summary17"/>
      <sheetName val="Basement_Budget17"/>
      <sheetName val="Podium_Summary17"/>
      <sheetName val="Podium_Budgets17"/>
      <sheetName val="Guestroom_Summary17"/>
      <sheetName val="Guestroom_Budget17"/>
      <sheetName val="Sitework_Summary17"/>
      <sheetName val="Sitework_Budget17"/>
      <sheetName val="GM_&amp;_TA17"/>
      <sheetName val="TBAL9697_-group_wise__sdpl17"/>
      <sheetName val="Break_up_Sheet16"/>
      <sheetName val="LIST_OF_MAKES16"/>
      <sheetName val="INPUT_SHEET16"/>
      <sheetName val="Overall_Summary18"/>
      <sheetName val="Basement_Summary18"/>
      <sheetName val="Basement_Budget18"/>
      <sheetName val="Podium_Summary18"/>
      <sheetName val="Podium_Budgets18"/>
      <sheetName val="Guestroom_Summary18"/>
      <sheetName val="Guestroom_Budget18"/>
      <sheetName val="Sitework_Summary18"/>
      <sheetName val="Sitework_Budget18"/>
      <sheetName val="GM_&amp;_TA18"/>
      <sheetName val="TBAL9697_-group_wise__sdpl18"/>
      <sheetName val="Break_up_Sheet17"/>
      <sheetName val="LIST_OF_MAKES17"/>
      <sheetName val="INPUT_SHEET17"/>
      <sheetName val="Overall_Summary20"/>
      <sheetName val="Basement_Summary20"/>
      <sheetName val="Basement_Budget20"/>
      <sheetName val="Podium_Summary20"/>
      <sheetName val="Podium_Budgets20"/>
      <sheetName val="Guestroom_Summary20"/>
      <sheetName val="Guestroom_Budget20"/>
      <sheetName val="Sitework_Summary20"/>
      <sheetName val="Sitework_Budget20"/>
      <sheetName val="GM_&amp;_TA20"/>
      <sheetName val="TBAL9697_-group_wise__sdpl20"/>
      <sheetName val="Break_up_Sheet19"/>
      <sheetName val="LIST_OF_MAKES19"/>
      <sheetName val="INPUT_SHEET19"/>
      <sheetName val="Overall_Summary19"/>
      <sheetName val="Basement_Summary19"/>
      <sheetName val="Basement_Budget19"/>
      <sheetName val="Podium_Summary19"/>
      <sheetName val="Podium_Budgets19"/>
      <sheetName val="Guestroom_Summary19"/>
      <sheetName val="Guestroom_Budget19"/>
      <sheetName val="Sitework_Summary19"/>
      <sheetName val="Sitework_Budget19"/>
      <sheetName val="GM_&amp;_TA19"/>
      <sheetName val="TBAL9697_-group_wise__sdpl19"/>
      <sheetName val="Break_up_Sheet18"/>
      <sheetName val="LIST_OF_MAKES18"/>
      <sheetName val="INPUT_SHEET18"/>
      <sheetName val="Overall_Summary21"/>
      <sheetName val="Basement_Summary21"/>
      <sheetName val="Basement_Budget21"/>
      <sheetName val="Podium_Summary21"/>
      <sheetName val="Podium_Budgets21"/>
      <sheetName val="Guestroom_Summary21"/>
      <sheetName val="Guestroom_Budget21"/>
      <sheetName val="Sitework_Summary21"/>
      <sheetName val="Sitework_Budget21"/>
      <sheetName val="GM_&amp;_TA21"/>
      <sheetName val="TBAL9697_-group_wise__sdpl21"/>
      <sheetName val="Break_up_Sheet20"/>
      <sheetName val="LIST_OF_MAKES20"/>
      <sheetName val="INPUT_SHEET20"/>
      <sheetName val="Overall_Summary22"/>
      <sheetName val="Basement_Summary22"/>
      <sheetName val="Basement_Budget22"/>
      <sheetName val="Podium_Summary22"/>
      <sheetName val="Podium_Budgets22"/>
      <sheetName val="Guestroom_Summary22"/>
      <sheetName val="Guestroom_Budget22"/>
      <sheetName val="Sitework_Summary22"/>
      <sheetName val="Sitework_Budget22"/>
      <sheetName val="GM_&amp;_TA22"/>
      <sheetName val="TBAL9697_-group_wise__sdpl22"/>
      <sheetName val="Break_up_Sheet21"/>
      <sheetName val="LIST_OF_MAKES21"/>
      <sheetName val="INPUT_SHEET21"/>
      <sheetName val="Overall_Summary23"/>
      <sheetName val="Basement_Summary23"/>
      <sheetName val="Basement_Budget23"/>
      <sheetName val="Podium_Summary23"/>
      <sheetName val="Podium_Budgets23"/>
      <sheetName val="Guestroom_Summary23"/>
      <sheetName val="Guestroom_Budget23"/>
      <sheetName val="Sitework_Summary23"/>
      <sheetName val="Sitework_Budget23"/>
      <sheetName val="GM_&amp;_TA23"/>
      <sheetName val="TBAL9697_-group_wise__sdpl23"/>
      <sheetName val="Break_up_Sheet22"/>
      <sheetName val="LIST_OF_MAKES22"/>
      <sheetName val="INPUT_SHEET22"/>
      <sheetName val=""/>
      <sheetName val="一発シート"/>
      <sheetName val="INTERIORS"/>
      <sheetName val="-"/>
      <sheetName val="G.1-AV SYSTEM"/>
      <sheetName val="Civil Works"/>
      <sheetName val="Basic Resources"/>
      <sheetName val="BM"/>
      <sheetName val="F4.13"/>
      <sheetName val="CIF COST ITEM"/>
      <sheetName val="4.총괄(통합)"/>
      <sheetName val="India F&amp;S Template"/>
      <sheetName val="Formula"/>
      <sheetName val="사진"/>
      <sheetName val="PANEL_ANNEXURE8"/>
      <sheetName val="Cost_summary8"/>
      <sheetName val="Master_Sheet8"/>
      <sheetName val="Rate_analysis8"/>
      <sheetName val="Material_8"/>
      <sheetName val="Labour_&amp;_Plant8"/>
      <sheetName val="Site_Dev_BOQ8"/>
      <sheetName val="Fill_this_out_first___8"/>
      <sheetName val="X_rate7"/>
      <sheetName val="CFForecast_detail7"/>
      <sheetName val="3__Elemental_Summary7"/>
      <sheetName val="9__Package_split_-_Cost_7"/>
      <sheetName val="12a__CFTable7"/>
      <sheetName val="10__&amp;_11__Rate_Code_&amp;_BQ7"/>
      <sheetName val="PRECAST_lightconc-II7"/>
      <sheetName val="final_estimate7"/>
      <sheetName val="Template-Design_Devt_Estimate7"/>
      <sheetName val="RMZ_Summary7"/>
      <sheetName val="Staff_Acco_7"/>
      <sheetName val="Fin__Assumpt__-_Sensitivities7"/>
      <sheetName val="Misc_Liq7"/>
      <sheetName val="S_27"/>
      <sheetName val="Base_data_Security_Procedures7"/>
      <sheetName val="Project_Budget_Worksheet7"/>
      <sheetName val="GF_Columns7"/>
      <sheetName val="IO_LIST7"/>
      <sheetName val="SUPPLY_-Sanitary_Fixtures7"/>
      <sheetName val="ITEMS_FOR_CIVIL_TENDER7"/>
      <sheetName val="Other_Inc7"/>
      <sheetName val="Room_Rev7"/>
      <sheetName val="SMS_Format7"/>
      <sheetName val="Global_Assm_7"/>
      <sheetName val="PointNo_57"/>
      <sheetName val="Summary_year_Plan7"/>
      <sheetName val="ESTIMATE_for_approval7"/>
      <sheetName val="Phase_17"/>
      <sheetName val="Phase_27"/>
      <sheetName val="Pay_Rec7"/>
      <sheetName val="07016,_Master_List-Major_Minor7"/>
      <sheetName val="MASTER_RATE_ANALYSIS7"/>
      <sheetName val="Basic_Rates7"/>
      <sheetName val="INDIGINEOUS_ITEMS_7"/>
      <sheetName val="_B37"/>
      <sheetName val="_B17"/>
      <sheetName val="Extra_Item7"/>
      <sheetName val="schedule_nos7"/>
      <sheetName val="os_liabilities_analysis7"/>
      <sheetName val="AutoOpen_Stub_Data7"/>
      <sheetName val="3cd_Annexure7"/>
      <sheetName val="Reference_Information7"/>
      <sheetName val="Employee_List7"/>
      <sheetName val="Sales_Office7"/>
      <sheetName val="SECURITY_17"/>
      <sheetName val="labour_coeff7"/>
      <sheetName val="Civil_Boq7"/>
      <sheetName val="Assumption_Inputs7"/>
      <sheetName val="sqn_ldr_3_Unit_2_7"/>
      <sheetName val="Area_St7"/>
      <sheetName val="collections_plan_04017"/>
      <sheetName val="Risk_&amp;_Opportunities7"/>
      <sheetName val="type_ahead_combo7"/>
      <sheetName val="LOCAL_RATES7"/>
      <sheetName val="Msht_5F7"/>
      <sheetName val="ISO_RECON7"/>
      <sheetName val="Back_filling7"/>
      <sheetName val="NT_items_summary7"/>
      <sheetName val="DATA_BOQ7"/>
      <sheetName val="Meas_-Hotel_Part7"/>
      <sheetName val="labour_rates7"/>
      <sheetName val="RCC,Ret__Wall7"/>
      <sheetName val="FTE_Totals_Plan7"/>
      <sheetName val="Erection_grider7"/>
      <sheetName val="PA-_Consutant_7"/>
      <sheetName val="Order_Info7"/>
      <sheetName val="Status_Control_Sheet3"/>
      <sheetName val="HOLIDAY_LIST3"/>
      <sheetName val="DASH_BOARD3"/>
      <sheetName val="Approved_MTD_Proj_#'s3"/>
      <sheetName val="BASIS_-DEC_083"/>
      <sheetName val="Block_A_-_BOQ3"/>
      <sheetName val="electr__work_CA_1"/>
      <sheetName val="beam-reinft-IIInd_floor"/>
      <sheetName val="L_Chg"/>
      <sheetName val="Building_1"/>
      <sheetName val="PPA_Summary"/>
      <sheetName val="35892-1254"/>
      <sheetName val="CABLE DATA"/>
      <sheetName val="Fire Pumps"/>
      <sheetName val="B - E"/>
      <sheetName val="IBD"/>
      <sheetName val="prsch"/>
      <sheetName val="OS"/>
      <sheetName val="Electrical-Line Items"/>
      <sheetName val="Boiler&amp;TG"/>
      <sheetName val="reference"/>
      <sheetName val="XREF"/>
      <sheetName val="Electrical"/>
      <sheetName val="Sch-3"/>
      <sheetName val="Tables"/>
      <sheetName val="KALK"/>
      <sheetName val="PLANNING"/>
      <sheetName val="S &amp; A"/>
      <sheetName val="Parameter"/>
      <sheetName val="Weightage-Sub Sht"/>
      <sheetName val="concrete"/>
      <sheetName val="FA BOQ"/>
      <sheetName val="d-safe specs"/>
      <sheetName val="Global factors"/>
      <sheetName val="Detail Top Sheet"/>
      <sheetName val="FX"/>
      <sheetName val="Rising Main"/>
      <sheetName val="Architect"/>
      <sheetName val="Work"/>
      <sheetName val="Mechanical"/>
      <sheetName val="Structural"/>
      <sheetName val="PAYWORK"/>
      <sheetName val="InterCoBala"/>
      <sheetName val="CCTV(old)"/>
      <sheetName val="Labour"/>
      <sheetName val="Risk Assessment"/>
      <sheetName val="Sheet1 (2)"/>
      <sheetName val="Sheet5"/>
      <sheetName val="Position_Class"/>
      <sheetName val="Ext_Works"/>
      <sheetName val="Budgetary_office_area"/>
      <sheetName val="WORK_TABLE"/>
      <sheetName val="MLCP Connection Details"/>
      <sheetName val="measersheet"/>
      <sheetName val="List"/>
      <sheetName val="water prop."/>
      <sheetName val="col-reinft1"/>
      <sheetName val="Sheet 1"/>
      <sheetName val="INTERIOR"/>
      <sheetName val="ACS(1)"/>
      <sheetName val="FAS-C(4)"/>
      <sheetName val="Basement Budget:Podium Summary"/>
      <sheetName val="Vind-BtB"/>
      <sheetName val="Set"/>
      <sheetName val="Overall_Summary_x0003_"/>
      <sheetName val="Overall_Summary°"/>
      <sheetName val="SP Break Up"/>
      <sheetName val="C23"/>
      <sheetName val="31st_Oct"/>
      <sheetName val="01st_Nov"/>
    </sheetNames>
    <sheetDataSet>
      <sheetData sheetId="0"/>
      <sheetData sheetId="1" refreshError="1"/>
      <sheetData sheetId="2"/>
      <sheetData sheetId="3"/>
      <sheetData sheetId="4"/>
      <sheetData sheetId="5" refreshError="1"/>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sheetData sheetId="623" refreshError="1"/>
      <sheetData sheetId="624" refreshError="1"/>
      <sheetData sheetId="625"/>
      <sheetData sheetId="626" refreshError="1"/>
      <sheetData sheetId="627" refreshError="1"/>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refreshError="1"/>
      <sheetData sheetId="798"/>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sheetData sheetId="1164" refreshError="1"/>
      <sheetData sheetId="1165" refreshError="1"/>
      <sheetData sheetId="1166" refreshError="1"/>
      <sheetData sheetId="1167"/>
      <sheetData sheetId="1168"/>
      <sheetData sheetId="1169"/>
      <sheetData sheetId="1170"/>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sheetData sheetId="1302"/>
      <sheetData sheetId="1303"/>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O LIST"/>
      <sheetName val="BOQ"/>
      <sheetName val="DDCest-basis"/>
      <sheetName val="Basement Budget"/>
      <sheetName val="Material "/>
      <sheetName val="Labour &amp; Plant"/>
      <sheetName val="PCS"/>
      <sheetName val="LIST OF MAKES"/>
      <sheetName val="Headings"/>
      <sheetName val="INPUT SHEET"/>
      <sheetName val="RES-PLANNING"/>
      <sheetName val="Site Dev BOQ"/>
      <sheetName val="Extra Item"/>
      <sheetName val="Pay_Sep06"/>
      <sheetName val="F1a-Pile"/>
      <sheetName val="Project Budget Worksheet"/>
      <sheetName val="Voucher"/>
      <sheetName val="Lead"/>
      <sheetName val="factors"/>
      <sheetName val="master"/>
      <sheetName val="Indices"/>
      <sheetName val="Civil Works"/>
      <sheetName val="strand"/>
      <sheetName val="Wordsdata"/>
      <sheetName val="item"/>
      <sheetName val="beam-reinft"/>
      <sheetName val="water prop."/>
      <sheetName val="TBAL9697 -group wise  sdpl"/>
      <sheetName val="Estimate"/>
      <sheetName val="PROG_DATA"/>
      <sheetName val="Detail"/>
      <sheetName val="HPL"/>
      <sheetName val="Data"/>
      <sheetName val="Sens"/>
      <sheetName val="loadcal"/>
      <sheetName val="Intro"/>
      <sheetName val="GBW"/>
      <sheetName val="Data sheet"/>
      <sheetName val="horizontal"/>
      <sheetName val="Assumptions"/>
      <sheetName val="预算"/>
      <sheetName val="Fill this out first..."/>
      <sheetName val="CFForecast detail"/>
      <sheetName val="Summary"/>
      <sheetName val="BASIS -DEC 08"/>
      <sheetName val="INDIGINEOUS ITEMS "/>
      <sheetName val="IO_LIST"/>
      <sheetName val="IO_LIST1"/>
      <sheetName val="Basement_Budget"/>
      <sheetName val="INPUT_SHEET"/>
      <sheetName val="Material_"/>
      <sheetName val="Labour_&amp;_Plant"/>
      <sheetName val="IO_LIST2"/>
      <sheetName val="Basement_Budget1"/>
      <sheetName val="INPUT_SHEET1"/>
      <sheetName val="Material_1"/>
      <sheetName val="Labour_&amp;_Plant1"/>
      <sheetName val="Sheet2"/>
      <sheetName val="reference"/>
      <sheetName val="Masonry"/>
      <sheetName val="OpRes"/>
      <sheetName val="calcul"/>
      <sheetName val="INTERIOR"/>
      <sheetName val="RCC,Ret. Wall"/>
      <sheetName val="Design"/>
      <sheetName val="PHE"/>
      <sheetName val="Basic Rates"/>
      <sheetName val="Fin Sum"/>
      <sheetName val="월선수금"/>
      <sheetName val="labour coeff"/>
      <sheetName val="p&amp;m"/>
      <sheetName val="Variables_x"/>
      <sheetName val="Rate Analysis"/>
      <sheetName val="HEAD"/>
      <sheetName val="Costing"/>
      <sheetName val="Mat_Cost"/>
      <sheetName val="Input"/>
      <sheetName val="Sump_cal"/>
      <sheetName val="FORM7"/>
      <sheetName val="HVAC1"/>
      <sheetName val="SECURITY 1"/>
      <sheetName val="PRECAST lightconc-II"/>
      <sheetName val="Electrical"/>
      <sheetName val="sqn_ldr_3 Unit_2_"/>
      <sheetName val="OHT_Abs"/>
      <sheetName val="Formula"/>
      <sheetName val="Timesheet"/>
      <sheetName val="BOQ_Direct_selling cost"/>
      <sheetName val="Elnet-IBMS-IOlistBOQ-5103"/>
      <sheetName val="Cost summary"/>
      <sheetName val="電気設備表"/>
      <sheetName val="SILICATE"/>
      <sheetName val="Data base"/>
      <sheetName val="Building 1"/>
      <sheetName val="INDEX"/>
      <sheetName val="AREAS"/>
      <sheetName val="cubes_M20"/>
      <sheetName val="NPV"/>
      <sheetName val="IO_LIST3"/>
      <sheetName val="Basement_Budget2"/>
      <sheetName val="INPUT_SHEET2"/>
      <sheetName val="water_prop_"/>
      <sheetName val="LIST_OF_MAKES"/>
      <sheetName val="Material_2"/>
      <sheetName val="Labour_&amp;_Plant2"/>
      <sheetName val="Site_Dev_BOQ"/>
      <sheetName val="Extra_Item"/>
      <sheetName val="Project_Budget_Worksheet"/>
      <sheetName val="Civil_Works"/>
      <sheetName val="TBAL9697_-group_wise__sdpl"/>
      <sheetName val="Data_sheet"/>
      <sheetName val="CFForecast_detail"/>
      <sheetName val="Fill_this_out_first___"/>
      <sheetName val="BASIS_-DEC_08"/>
      <sheetName val="RCC,Ret__Wall"/>
      <sheetName val="sqn_ldr_3_Unit_2_"/>
      <sheetName val="INDIGINEOUS_ITEMS_"/>
      <sheetName val="Boq - Flats"/>
      <sheetName val="Cal"/>
      <sheetName val="collections plan 0401"/>
      <sheetName val="Centrifugal pumps_cooling tower"/>
      <sheetName val="PRESSURIZATION units"/>
      <sheetName val="BASEMENT VENT _ DUCTED OPTION"/>
      <sheetName val="concrete"/>
      <sheetName val="section"/>
      <sheetName val="Assmpns"/>
      <sheetName val="New Construction"/>
      <sheetName val="FACTOR"/>
      <sheetName val="final abstract"/>
      <sheetName val="Codes"/>
      <sheetName val="sheeet7"/>
      <sheetName val="3. Elemental Summary"/>
      <sheetName val="9. Package split - Cost "/>
      <sheetName val="10. &amp; 11. Rate Code &amp; BQ"/>
      <sheetName val="C form"/>
      <sheetName val="환율"/>
      <sheetName val="maing1"/>
      <sheetName val="keyword"/>
      <sheetName val="BHANDUP"/>
      <sheetName val="RECAPITULATION"/>
      <sheetName val="Labour"/>
      <sheetName val="Aseet1998"/>
      <sheetName val="PC Master List"/>
      <sheetName val="NEW Main"/>
      <sheetName val="재1"/>
      <sheetName val="Abbreviation"/>
      <sheetName val="Report"/>
      <sheetName val="Detailed_Summary_(4)"/>
      <sheetName val="E1.5"/>
      <sheetName val="Balustrade"/>
      <sheetName val="Break up Sheet"/>
      <sheetName val="HOLIDAY LIST"/>
      <sheetName val="DASH BOARD"/>
      <sheetName val="Sheet1"/>
      <sheetName val="basic-data"/>
      <sheetName val="mem-property"/>
      <sheetName val="Sheet3"/>
      <sheetName val="Output"/>
      <sheetName val="List"/>
      <sheetName val="M"/>
      <sheetName val="N"/>
      <sheetName val="Cover"/>
      <sheetName val="Macro1"/>
      <sheetName val="Testing"/>
      <sheetName val="analysis"/>
      <sheetName val="Database"/>
      <sheetName val="SCHEDULE"/>
      <sheetName val="schedule nos"/>
      <sheetName val="Basic_Rates"/>
      <sheetName val="Data_base"/>
      <sheetName val="Fin_Sum"/>
      <sheetName val="labour_coeff"/>
      <sheetName val="Rate_Analysis"/>
      <sheetName val="Cost_summary"/>
      <sheetName val="SECURITY_1"/>
      <sheetName val="PRECAST_lightconc-II"/>
      <sheetName val="Building_1"/>
      <sheetName val="BOQ_Direct_selling_cost"/>
      <sheetName val="Centrifugal_pumps_cooling_tower"/>
      <sheetName val="PRESSURIZATION_units"/>
      <sheetName val="BASEMENT_VENT___DUCTED_OPTION"/>
      <sheetName val="collections_plan_0401"/>
      <sheetName val="IO_LIST5"/>
      <sheetName val="INPUT_SHEET4"/>
      <sheetName val="Basement_Budget4"/>
      <sheetName val="Material_4"/>
      <sheetName val="Labour_&amp;_Plant4"/>
      <sheetName val="Extra_Item2"/>
      <sheetName val="Site_Dev_BOQ2"/>
      <sheetName val="Project_Budget_Worksheet2"/>
      <sheetName val="TBAL9697_-group_wise__sdpl2"/>
      <sheetName val="Civil_Works2"/>
      <sheetName val="water_prop_2"/>
      <sheetName val="Data_sheet2"/>
      <sheetName val="CFForecast_detail2"/>
      <sheetName val="Fill_this_out_first___2"/>
      <sheetName val="LIST_OF_MAKES2"/>
      <sheetName val="BASIS_-DEC_082"/>
      <sheetName val="INDIGINEOUS_ITEMS_2"/>
      <sheetName val="RCC,Ret__Wall2"/>
      <sheetName val="Basic_Rates2"/>
      <sheetName val="Data_base2"/>
      <sheetName val="Fin_Sum2"/>
      <sheetName val="sqn_ldr_3_Unit_2_2"/>
      <sheetName val="labour_coeff2"/>
      <sheetName val="Rate_Analysis2"/>
      <sheetName val="Cost_summary2"/>
      <sheetName val="SECURITY_12"/>
      <sheetName val="PRECAST_lightconc-II2"/>
      <sheetName val="Building_12"/>
      <sheetName val="BOQ_Direct_selling_cost2"/>
      <sheetName val="Centrifugal_pumps_cooling_towe2"/>
      <sheetName val="PRESSURIZATION_units2"/>
      <sheetName val="BASEMENT_VENT___DUCTED_OPTION2"/>
      <sheetName val="collections_plan_04012"/>
      <sheetName val="IO_LIST4"/>
      <sheetName val="INPUT_SHEET3"/>
      <sheetName val="Basement_Budget3"/>
      <sheetName val="Material_3"/>
      <sheetName val="Labour_&amp;_Plant3"/>
      <sheetName val="Extra_Item1"/>
      <sheetName val="Site_Dev_BOQ1"/>
      <sheetName val="Project_Budget_Worksheet1"/>
      <sheetName val="TBAL9697_-group_wise__sdpl1"/>
      <sheetName val="Civil_Works1"/>
      <sheetName val="water_prop_1"/>
      <sheetName val="Data_sheet1"/>
      <sheetName val="CFForecast_detail1"/>
      <sheetName val="Fill_this_out_first___1"/>
      <sheetName val="LIST_OF_MAKES1"/>
      <sheetName val="BASIS_-DEC_081"/>
      <sheetName val="INDIGINEOUS_ITEMS_1"/>
      <sheetName val="RCC,Ret__Wall1"/>
      <sheetName val="Basic_Rates1"/>
      <sheetName val="Data_base1"/>
      <sheetName val="Fin_Sum1"/>
      <sheetName val="sqn_ldr_3_Unit_2_1"/>
      <sheetName val="labour_coeff1"/>
      <sheetName val="Rate_Analysis1"/>
      <sheetName val="Cost_summary1"/>
      <sheetName val="SECURITY_11"/>
      <sheetName val="PRECAST_lightconc-II1"/>
      <sheetName val="Building_11"/>
      <sheetName val="BOQ_Direct_selling_cost1"/>
      <sheetName val="Centrifugal_pumps_cooling_towe1"/>
      <sheetName val="PRESSURIZATION_units1"/>
      <sheetName val="BASEMENT_VENT___DUCTED_OPTION1"/>
      <sheetName val="collections_plan_04011"/>
      <sheetName val="IO_LIST6"/>
      <sheetName val="INPUT_SHEET5"/>
      <sheetName val="Basement_Budget5"/>
      <sheetName val="Material_5"/>
      <sheetName val="Labour_&amp;_Plant5"/>
      <sheetName val="Extra_Item3"/>
      <sheetName val="Site_Dev_BOQ3"/>
      <sheetName val="Project_Budget_Worksheet3"/>
      <sheetName val="TBAL9697_-group_wise__sdpl3"/>
      <sheetName val="Civil_Works3"/>
      <sheetName val="water_prop_3"/>
      <sheetName val="Data_sheet3"/>
      <sheetName val="CFForecast_detail3"/>
      <sheetName val="Fill_this_out_first___3"/>
      <sheetName val="LIST_OF_MAKES3"/>
      <sheetName val="BASIS_-DEC_083"/>
      <sheetName val="INDIGINEOUS_ITEMS_3"/>
      <sheetName val="RCC,Ret__Wall3"/>
      <sheetName val="Basic_Rates3"/>
      <sheetName val="Data_base3"/>
      <sheetName val="Fin_Sum3"/>
      <sheetName val="sqn_ldr_3_Unit_2_3"/>
      <sheetName val="labour_coeff3"/>
      <sheetName val="Rate_Analysis3"/>
      <sheetName val="Cost_summary3"/>
      <sheetName val="SECURITY_13"/>
      <sheetName val="PRECAST_lightconc-II3"/>
      <sheetName val="Building_13"/>
      <sheetName val="BOQ_Direct_selling_cost3"/>
      <sheetName val="Centrifugal_pumps_cooling_towe3"/>
      <sheetName val="PRESSURIZATION_units3"/>
      <sheetName val="BASEMENT_VENT___DUCTED_OPTION3"/>
      <sheetName val="collections_plan_04013"/>
      <sheetName val="IO_LIST7"/>
      <sheetName val="INPUT_SHEET6"/>
      <sheetName val="Basement_Budget6"/>
      <sheetName val="Material_6"/>
      <sheetName val="Labour_&amp;_Plant6"/>
      <sheetName val="Extra_Item4"/>
      <sheetName val="Site_Dev_BOQ4"/>
      <sheetName val="Project_Budget_Worksheet4"/>
      <sheetName val="TBAL9697_-group_wise__sdpl4"/>
      <sheetName val="Civil_Works4"/>
      <sheetName val="water_prop_4"/>
      <sheetName val="Data_sheet4"/>
      <sheetName val="CFForecast_detail4"/>
      <sheetName val="Fill_this_out_first___4"/>
      <sheetName val="LIST_OF_MAKES4"/>
      <sheetName val="BASIS_-DEC_084"/>
      <sheetName val="INDIGINEOUS_ITEMS_4"/>
      <sheetName val="RCC,Ret__Wall4"/>
      <sheetName val="Basic_Rates4"/>
      <sheetName val="Data_base4"/>
      <sheetName val="Fin_Sum4"/>
      <sheetName val="sqn_ldr_3_Unit_2_4"/>
      <sheetName val="labour_coeff4"/>
      <sheetName val="Rate_Analysis4"/>
      <sheetName val="Cost_summary4"/>
      <sheetName val="SECURITY_14"/>
      <sheetName val="PRECAST_lightconc-II4"/>
      <sheetName val="Building_14"/>
      <sheetName val="BOQ_Direct_selling_cost4"/>
      <sheetName val="Centrifugal_pumps_cooling_towe4"/>
      <sheetName val="PRESSURIZATION_units4"/>
      <sheetName val="BASEMENT_VENT___DUCTED_OPTION4"/>
      <sheetName val="collections_plan_04014"/>
      <sheetName val="IO_LIST8"/>
      <sheetName val="INPUT_SHEET7"/>
      <sheetName val="Basement_Budget7"/>
      <sheetName val="Material_7"/>
      <sheetName val="Labour_&amp;_Plant7"/>
      <sheetName val="Extra_Item5"/>
      <sheetName val="Site_Dev_BOQ5"/>
      <sheetName val="Project_Budget_Worksheet5"/>
      <sheetName val="TBAL9697_-group_wise__sdpl5"/>
      <sheetName val="Civil_Works5"/>
      <sheetName val="water_prop_5"/>
      <sheetName val="Data_sheet5"/>
      <sheetName val="CFForecast_detail5"/>
      <sheetName val="Fill_this_out_first___5"/>
      <sheetName val="LIST_OF_MAKES5"/>
      <sheetName val="BASIS_-DEC_085"/>
      <sheetName val="INDIGINEOUS_ITEMS_5"/>
      <sheetName val="RCC,Ret__Wall5"/>
      <sheetName val="Basic_Rates5"/>
      <sheetName val="Data_base5"/>
      <sheetName val="Fin_Sum5"/>
      <sheetName val="sqn_ldr_3_Unit_2_5"/>
      <sheetName val="labour_coeff5"/>
      <sheetName val="Rate_Analysis5"/>
      <sheetName val="Cost_summary5"/>
      <sheetName val="SECURITY_15"/>
      <sheetName val="PRECAST_lightconc-II5"/>
      <sheetName val="Building_15"/>
      <sheetName val="BOQ_Direct_selling_cost5"/>
      <sheetName val="Centrifugal_pumps_cooling_towe5"/>
      <sheetName val="PRESSURIZATION_units5"/>
      <sheetName val="BASEMENT_VENT___DUCTED_OPTION5"/>
      <sheetName val="collections_plan_04015"/>
      <sheetName val="IO_LIST9"/>
      <sheetName val="INPUT_SHEET8"/>
      <sheetName val="Basement_Budget8"/>
      <sheetName val="Material_8"/>
      <sheetName val="Labour_&amp;_Plant8"/>
      <sheetName val="Extra_Item6"/>
      <sheetName val="Site_Dev_BOQ6"/>
      <sheetName val="Project_Budget_Worksheet6"/>
      <sheetName val="TBAL9697_-group_wise__sdpl6"/>
      <sheetName val="Civil_Works6"/>
      <sheetName val="water_prop_6"/>
      <sheetName val="Data_sheet6"/>
      <sheetName val="CFForecast_detail6"/>
      <sheetName val="Fill_this_out_first___6"/>
      <sheetName val="LIST_OF_MAKES6"/>
      <sheetName val="BASIS_-DEC_086"/>
      <sheetName val="INDIGINEOUS_ITEMS_6"/>
      <sheetName val="RCC,Ret__Wall6"/>
      <sheetName val="Basic_Rates6"/>
      <sheetName val="Data_base6"/>
      <sheetName val="Fin_Sum6"/>
      <sheetName val="sqn_ldr_3_Unit_2_6"/>
      <sheetName val="labour_coeff6"/>
      <sheetName val="Rate_Analysis6"/>
      <sheetName val="Cost_summary6"/>
      <sheetName val="SECURITY_16"/>
      <sheetName val="PRECAST_lightconc-II6"/>
      <sheetName val="Building_16"/>
      <sheetName val="BOQ_Direct_selling_cost6"/>
      <sheetName val="Centrifugal_pumps_cooling_towe6"/>
      <sheetName val="PRESSURIZATION_units6"/>
      <sheetName val="BASEMENT_VENT___DUCTED_OPTION6"/>
      <sheetName val="collections_plan_04016"/>
      <sheetName val="IO_LIST10"/>
      <sheetName val="INPUT_SHEET9"/>
      <sheetName val="Basement_Budget9"/>
      <sheetName val="Material_9"/>
      <sheetName val="Labour_&amp;_Plant9"/>
      <sheetName val="Extra_Item7"/>
      <sheetName val="Site_Dev_BOQ7"/>
      <sheetName val="Project_Budget_Worksheet7"/>
      <sheetName val="TBAL9697_-group_wise__sdpl7"/>
      <sheetName val="Civil_Works7"/>
      <sheetName val="water_prop_7"/>
      <sheetName val="Data_sheet7"/>
      <sheetName val="CFForecast_detail7"/>
      <sheetName val="Fill_this_out_first___7"/>
      <sheetName val="LIST_OF_MAKES7"/>
      <sheetName val="BASIS_-DEC_087"/>
      <sheetName val="INDIGINEOUS_ITEMS_7"/>
      <sheetName val="RCC,Ret__Wall7"/>
      <sheetName val="Basic_Rates7"/>
      <sheetName val="Data_base7"/>
      <sheetName val="Fin_Sum7"/>
      <sheetName val="sqn_ldr_3_Unit_2_7"/>
      <sheetName val="labour_coeff7"/>
      <sheetName val="Rate_Analysis7"/>
      <sheetName val="Cost_summary7"/>
      <sheetName val="SECURITY_17"/>
      <sheetName val="PRECAST_lightconc-II7"/>
      <sheetName val="Building_17"/>
      <sheetName val="BOQ_Direct_selling_cost7"/>
      <sheetName val="Centrifugal_pumps_cooling_towe7"/>
      <sheetName val="PRESSURIZATION_units7"/>
      <sheetName val="BASEMENT_VENT___DUCTED_OPTION7"/>
      <sheetName val="collections_plan_04017"/>
      <sheetName val="IO_LIST11"/>
      <sheetName val="INPUT_SHEET10"/>
      <sheetName val="Basement_Budget10"/>
      <sheetName val="Material_10"/>
      <sheetName val="Labour_&amp;_Plant10"/>
      <sheetName val="Extra_Item8"/>
      <sheetName val="Site_Dev_BOQ8"/>
      <sheetName val="Project_Budget_Worksheet8"/>
      <sheetName val="TBAL9697_-group_wise__sdpl8"/>
      <sheetName val="Civil_Works8"/>
      <sheetName val="water_prop_8"/>
      <sheetName val="Data_sheet8"/>
      <sheetName val="CFForecast_detail8"/>
      <sheetName val="Fill_this_out_first___8"/>
      <sheetName val="LIST_OF_MAKES8"/>
      <sheetName val="BASIS_-DEC_088"/>
      <sheetName val="INDIGINEOUS_ITEMS_8"/>
      <sheetName val="RCC,Ret__Wall8"/>
      <sheetName val="Basic_Rates8"/>
      <sheetName val="Data_base8"/>
      <sheetName val="Fin_Sum8"/>
      <sheetName val="sqn_ldr_3_Unit_2_8"/>
      <sheetName val="labour_coeff8"/>
      <sheetName val="Rate_Analysis8"/>
      <sheetName val="Cost_summary8"/>
      <sheetName val="SECURITY_18"/>
      <sheetName val="PRECAST_lightconc-II8"/>
      <sheetName val="Building_18"/>
      <sheetName val="BOQ_Direct_selling_cost8"/>
      <sheetName val="Centrifugal_pumps_cooling_towe8"/>
      <sheetName val="PRESSURIZATION_units8"/>
      <sheetName val="BASEMENT_VENT___DUCTED_OPTION8"/>
      <sheetName val="collections_plan_04018"/>
      <sheetName val="IO_LIST17"/>
      <sheetName val="INPUT_SHEET16"/>
      <sheetName val="Basement_Budget16"/>
      <sheetName val="Material_16"/>
      <sheetName val="Labour_&amp;_Plant16"/>
      <sheetName val="Extra_Item14"/>
      <sheetName val="Site_Dev_BOQ14"/>
      <sheetName val="Project_Budget_Worksheet14"/>
      <sheetName val="TBAL9697_-group_wise__sdpl14"/>
      <sheetName val="Civil_Works14"/>
      <sheetName val="water_prop_14"/>
      <sheetName val="Data_sheet14"/>
      <sheetName val="CFForecast_detail14"/>
      <sheetName val="Fill_this_out_first___14"/>
      <sheetName val="LIST_OF_MAKES14"/>
      <sheetName val="BASIS_-DEC_0814"/>
      <sheetName val="INDIGINEOUS_ITEMS_14"/>
      <sheetName val="RCC,Ret__Wall14"/>
      <sheetName val="Basic_Rates14"/>
      <sheetName val="Data_base14"/>
      <sheetName val="Fin_Sum14"/>
      <sheetName val="sqn_ldr_3_Unit_2_14"/>
      <sheetName val="labour_coeff14"/>
      <sheetName val="Rate_Analysis14"/>
      <sheetName val="Cost_summary14"/>
      <sheetName val="SECURITY_114"/>
      <sheetName val="General input"/>
      <sheetName val="Fin"/>
      <sheetName val="Area"/>
      <sheetName val="IO_LIST12"/>
      <sheetName val="Basement_Budget11"/>
      <sheetName val="Material_11"/>
      <sheetName val="Labour_&amp;_Plant11"/>
      <sheetName val="LIST_OF_MAKES9"/>
      <sheetName val="INPUT_SHEET11"/>
      <sheetName val="Site_Dev_BOQ9"/>
      <sheetName val="Extra_Item9"/>
      <sheetName val="Project_Budget_Worksheet9"/>
      <sheetName val="Civil_Works9"/>
      <sheetName val="water_prop_9"/>
      <sheetName val="TBAL9697_-group_wise__sdpl9"/>
      <sheetName val="Data_sheet9"/>
      <sheetName val="Fill_this_out_first___9"/>
      <sheetName val="CFForecast_detail9"/>
      <sheetName val="BASIS_-DEC_089"/>
      <sheetName val="INDIGINEOUS_ITEMS_9"/>
      <sheetName val="RCC,Ret__Wall9"/>
      <sheetName val="Basic_Rates9"/>
      <sheetName val="Fin_Sum9"/>
      <sheetName val="labour_coeff9"/>
      <sheetName val="Rate_Analysis9"/>
      <sheetName val="SECURITY_19"/>
      <sheetName val="PRECAST_lightconc-II9"/>
      <sheetName val="sqn_ldr_3_Unit_2_9"/>
      <sheetName val="BOQ_Direct_selling_cost9"/>
      <sheetName val="Cost_summary9"/>
      <sheetName val="Data_base9"/>
      <sheetName val="Building_19"/>
      <sheetName val="Boq_-_Flats"/>
      <sheetName val="collections_plan_04019"/>
      <sheetName val="Centrifugal_pumps_cooling_towe9"/>
      <sheetName val="PRESSURIZATION_units9"/>
      <sheetName val="BASEMENT_VENT___DUCTED_OPTION9"/>
      <sheetName val="New_Construction"/>
      <sheetName val="final_abstract"/>
      <sheetName val="3__Elemental_Summary"/>
      <sheetName val="9__Package_split_-_Cost_"/>
      <sheetName val="10__&amp;_11__Rate_Code_&amp;_BQ"/>
      <sheetName val="C_form"/>
      <sheetName val="PC_Master_List"/>
      <sheetName val="NEW_Main"/>
      <sheetName val="E1_5"/>
      <sheetName val="Break_up_Sheet"/>
      <sheetName val="HOLIDAY_LIST"/>
      <sheetName val="DASH_BOARD"/>
      <sheetName val="schedule_nos"/>
      <sheetName val="General_input"/>
    </sheetNames>
    <sheetDataSet>
      <sheetData sheetId="0" refreshError="1">
        <row r="1">
          <cell r="D1" t="str">
            <v xml:space="preserve">Analog Signals  </v>
          </cell>
          <cell r="G1" t="str">
            <v>Digital Signals</v>
          </cell>
        </row>
        <row r="2">
          <cell r="A2" t="str">
            <v>Sl.no.</v>
          </cell>
          <cell r="B2" t="str">
            <v>Description</v>
          </cell>
          <cell r="C2" t="str">
            <v>Qty</v>
          </cell>
          <cell r="D2" t="str">
            <v>AI Ni 1000</v>
          </cell>
          <cell r="E2" t="str">
            <v>AI 0-10V</v>
          </cell>
          <cell r="F2" t="str">
            <v>AO</v>
          </cell>
          <cell r="G2" t="str">
            <v>DI</v>
          </cell>
          <cell r="H2" t="str">
            <v>DO</v>
          </cell>
          <cell r="I2" t="str">
            <v>Remark</v>
          </cell>
          <cell r="J2" t="str">
            <v>Device from BAS Vendor</v>
          </cell>
          <cell r="K2" t="str">
            <v>Scope of sensor, actuator, contacts, relays, microprocessor unit</v>
          </cell>
          <cell r="L2" t="str">
            <v>stats</v>
          </cell>
          <cell r="M2" t="str">
            <v>sensors</v>
          </cell>
          <cell r="N2" t="str">
            <v>Actuators</v>
          </cell>
          <cell r="O2" t="str">
            <v>valves</v>
          </cell>
        </row>
        <row r="3">
          <cell r="A3" t="str">
            <v>A</v>
          </cell>
          <cell r="B3" t="str">
            <v>ACMV Automation system</v>
          </cell>
        </row>
        <row r="4">
          <cell r="B4" t="str">
            <v>Chillers</v>
          </cell>
        </row>
        <row r="5">
          <cell r="B5" t="str">
            <v>Air Cooled Chillers, water / brine - Qty</v>
          </cell>
          <cell r="I5">
            <v>8</v>
          </cell>
          <cell r="K5" t="str">
            <v>This quantity is assumed and can alter based on design &amp; build scheme of the ACMV contractor</v>
          </cell>
          <cell r="L5">
            <v>0</v>
          </cell>
          <cell r="M5">
            <v>0</v>
          </cell>
          <cell r="N5">
            <v>0</v>
          </cell>
          <cell r="O5">
            <v>0</v>
          </cell>
        </row>
        <row r="6">
          <cell r="A6">
            <v>1</v>
          </cell>
          <cell r="B6" t="str">
            <v>Chiller Enable command</v>
          </cell>
          <cell r="H6">
            <v>8</v>
          </cell>
          <cell r="I6" t="str">
            <v>Command to chiller panel</v>
          </cell>
          <cell r="K6" t="str">
            <v>ACMV Vendor</v>
          </cell>
          <cell r="L6">
            <v>0</v>
          </cell>
          <cell r="M6">
            <v>0</v>
          </cell>
          <cell r="N6">
            <v>0</v>
          </cell>
          <cell r="O6">
            <v>0</v>
          </cell>
        </row>
        <row r="7">
          <cell r="A7">
            <v>2</v>
          </cell>
          <cell r="B7" t="str">
            <v>Chiller ON/OFF status</v>
          </cell>
          <cell r="G7">
            <v>8</v>
          </cell>
          <cell r="I7" t="str">
            <v xml:space="preserve">signal from potential-free  contact </v>
          </cell>
          <cell r="K7" t="str">
            <v>ACMV Vendor</v>
          </cell>
          <cell r="L7">
            <v>0</v>
          </cell>
          <cell r="M7">
            <v>0</v>
          </cell>
          <cell r="N7">
            <v>0</v>
          </cell>
          <cell r="O7">
            <v>0</v>
          </cell>
        </row>
        <row r="8">
          <cell r="A8">
            <v>3</v>
          </cell>
          <cell r="B8" t="str">
            <v>Chiller Auto / Manual status</v>
          </cell>
          <cell r="G8">
            <v>8</v>
          </cell>
          <cell r="I8" t="str">
            <v xml:space="preserve">signal from potential-free  contact </v>
          </cell>
          <cell r="K8" t="str">
            <v>ACMV Vendor</v>
          </cell>
          <cell r="L8">
            <v>0</v>
          </cell>
          <cell r="M8">
            <v>0</v>
          </cell>
          <cell r="N8">
            <v>0</v>
          </cell>
          <cell r="O8">
            <v>0</v>
          </cell>
        </row>
        <row r="9">
          <cell r="A9">
            <v>4</v>
          </cell>
          <cell r="B9" t="str">
            <v>Chiller trip status</v>
          </cell>
          <cell r="G9">
            <v>8</v>
          </cell>
          <cell r="I9" t="str">
            <v xml:space="preserve">signal from potential-free  contact </v>
          </cell>
          <cell r="K9" t="str">
            <v>ACMV Vendor</v>
          </cell>
          <cell r="L9">
            <v>0</v>
          </cell>
          <cell r="M9">
            <v>0</v>
          </cell>
          <cell r="N9">
            <v>0</v>
          </cell>
          <cell r="O9">
            <v>0</v>
          </cell>
        </row>
        <row r="10">
          <cell r="A10">
            <v>5</v>
          </cell>
          <cell r="B10" t="str">
            <v>Set charge temperature</v>
          </cell>
          <cell r="H10">
            <v>8</v>
          </cell>
          <cell r="I10" t="str">
            <v>Command to chiller panel</v>
          </cell>
          <cell r="K10" t="str">
            <v>ACMV Vendor</v>
          </cell>
          <cell r="L10">
            <v>0</v>
          </cell>
          <cell r="M10">
            <v>0</v>
          </cell>
          <cell r="N10">
            <v>0</v>
          </cell>
          <cell r="O10">
            <v>0</v>
          </cell>
        </row>
        <row r="11">
          <cell r="A11">
            <v>6</v>
          </cell>
          <cell r="B11" t="str">
            <v>Flow switch status</v>
          </cell>
          <cell r="G11">
            <v>8</v>
          </cell>
          <cell r="I11" t="str">
            <v>flow switch</v>
          </cell>
          <cell r="J11" t="str">
            <v>B</v>
          </cell>
          <cell r="K11" t="str">
            <v>BAS vendor</v>
          </cell>
          <cell r="L11">
            <v>8</v>
          </cell>
          <cell r="M11">
            <v>0</v>
          </cell>
          <cell r="N11">
            <v>0</v>
          </cell>
          <cell r="O11">
            <v>0</v>
          </cell>
        </row>
        <row r="12">
          <cell r="A12">
            <v>7</v>
          </cell>
          <cell r="B12" t="str">
            <v>Outlet temperature of Individual chillers</v>
          </cell>
          <cell r="D12">
            <v>8</v>
          </cell>
          <cell r="I12" t="str">
            <v>Immersion type temp sensor + pocket</v>
          </cell>
          <cell r="J12" t="str">
            <v>S</v>
          </cell>
          <cell r="K12" t="str">
            <v>BAS vendor</v>
          </cell>
          <cell r="L12">
            <v>0</v>
          </cell>
          <cell r="M12">
            <v>8</v>
          </cell>
          <cell r="N12">
            <v>0</v>
          </cell>
          <cell r="O12">
            <v>0</v>
          </cell>
        </row>
        <row r="13">
          <cell r="A13">
            <v>8</v>
          </cell>
          <cell r="B13" t="str">
            <v>Common supply &amp; return header temperature /each circuit</v>
          </cell>
          <cell r="D13">
            <v>8</v>
          </cell>
          <cell r="I13" t="str">
            <v>Immersion type temp sensor + pocket</v>
          </cell>
          <cell r="J13" t="str">
            <v>S</v>
          </cell>
          <cell r="K13" t="str">
            <v>BAS vendor</v>
          </cell>
          <cell r="L13">
            <v>0</v>
          </cell>
          <cell r="M13">
            <v>8</v>
          </cell>
          <cell r="N13">
            <v>0</v>
          </cell>
          <cell r="O13">
            <v>0</v>
          </cell>
        </row>
        <row r="14">
          <cell r="A14">
            <v>9</v>
          </cell>
          <cell r="B14" t="str">
            <v>butterfly on/off Chiller isolation valves command &amp; status</v>
          </cell>
          <cell r="G14">
            <v>8</v>
          </cell>
          <cell r="H14">
            <v>8</v>
          </cell>
          <cell r="I14" t="str">
            <v>Butterfly on/off valve</v>
          </cell>
          <cell r="J14" t="str">
            <v>V</v>
          </cell>
          <cell r="K14" t="str">
            <v>BAS vendor</v>
          </cell>
          <cell r="L14">
            <v>0</v>
          </cell>
          <cell r="M14">
            <v>0</v>
          </cell>
          <cell r="N14">
            <v>8</v>
          </cell>
          <cell r="O14">
            <v>8</v>
          </cell>
        </row>
        <row r="15">
          <cell r="A15">
            <v>10</v>
          </cell>
          <cell r="B15" t="str">
            <v>butterfly on/off valves - Chiller bank linking over primary headers command &amp; status</v>
          </cell>
          <cell r="G15">
            <v>8</v>
          </cell>
          <cell r="H15">
            <v>8</v>
          </cell>
          <cell r="I15" t="str">
            <v>Butterfly on/off valve</v>
          </cell>
          <cell r="J15" t="str">
            <v>V</v>
          </cell>
          <cell r="K15" t="str">
            <v>BAS vendor</v>
          </cell>
          <cell r="L15">
            <v>0</v>
          </cell>
          <cell r="M15">
            <v>0</v>
          </cell>
          <cell r="N15">
            <v>8</v>
          </cell>
          <cell r="O15">
            <v>8</v>
          </cell>
        </row>
        <row r="16">
          <cell r="A16">
            <v>11</v>
          </cell>
          <cell r="B16" t="str">
            <v>Temperature at TES outlet</v>
          </cell>
          <cell r="D16">
            <v>4</v>
          </cell>
          <cell r="I16" t="str">
            <v>Immersion type temp sensor + pocket</v>
          </cell>
          <cell r="J16" t="str">
            <v>S</v>
          </cell>
          <cell r="K16" t="str">
            <v>BAS vendor</v>
          </cell>
          <cell r="L16">
            <v>0</v>
          </cell>
          <cell r="M16">
            <v>4</v>
          </cell>
          <cell r="N16">
            <v>0</v>
          </cell>
          <cell r="O16">
            <v>0</v>
          </cell>
        </row>
        <row r="17">
          <cell r="A17">
            <v>12</v>
          </cell>
          <cell r="B17" t="str">
            <v>3-way modulating valve at TES line</v>
          </cell>
          <cell r="F17">
            <v>4</v>
          </cell>
          <cell r="I17" t="str">
            <v xml:space="preserve">3-way valve </v>
          </cell>
          <cell r="J17" t="str">
            <v>V</v>
          </cell>
          <cell r="K17" t="str">
            <v>BAS vendor</v>
          </cell>
          <cell r="L17">
            <v>0</v>
          </cell>
          <cell r="M17">
            <v>0</v>
          </cell>
          <cell r="N17">
            <v>4</v>
          </cell>
          <cell r="O17">
            <v>4</v>
          </cell>
        </row>
        <row r="18">
          <cell r="A18">
            <v>13</v>
          </cell>
          <cell r="B18" t="str">
            <v>Temperature at PHE outlet</v>
          </cell>
          <cell r="D18">
            <v>4</v>
          </cell>
          <cell r="I18" t="str">
            <v>Immersion type temp sensor + pocket</v>
          </cell>
          <cell r="J18" t="str">
            <v>S</v>
          </cell>
          <cell r="K18" t="str">
            <v>BAS vendor</v>
          </cell>
          <cell r="L18">
            <v>0</v>
          </cell>
          <cell r="M18">
            <v>4</v>
          </cell>
          <cell r="N18">
            <v>0</v>
          </cell>
          <cell r="O18">
            <v>0</v>
          </cell>
        </row>
        <row r="19">
          <cell r="A19">
            <v>14</v>
          </cell>
          <cell r="B19" t="str">
            <v>Anti-freeze thermostat</v>
          </cell>
          <cell r="G19">
            <v>4</v>
          </cell>
          <cell r="I19" t="str">
            <v>Anti-freeze thermostat</v>
          </cell>
          <cell r="J19" t="str">
            <v>B</v>
          </cell>
          <cell r="K19" t="str">
            <v>BAS vendor</v>
          </cell>
          <cell r="L19">
            <v>4</v>
          </cell>
          <cell r="M19">
            <v>0</v>
          </cell>
          <cell r="N19">
            <v>0</v>
          </cell>
          <cell r="O19">
            <v>0</v>
          </cell>
        </row>
        <row r="20">
          <cell r="A20">
            <v>15</v>
          </cell>
          <cell r="B20" t="str">
            <v>3-way modulating valve at PHE line</v>
          </cell>
          <cell r="F20">
            <v>4</v>
          </cell>
          <cell r="I20" t="str">
            <v xml:space="preserve">3-way valve </v>
          </cell>
          <cell r="J20" t="str">
            <v>V</v>
          </cell>
          <cell r="K20" t="str">
            <v>BAS vendor</v>
          </cell>
          <cell r="L20">
            <v>0</v>
          </cell>
          <cell r="M20">
            <v>0</v>
          </cell>
          <cell r="N20">
            <v>4</v>
          </cell>
          <cell r="O20">
            <v>4</v>
          </cell>
        </row>
        <row r="21">
          <cell r="B21" t="str">
            <v>Primary chilled Water Pumps - Qty</v>
          </cell>
          <cell r="I21">
            <v>12</v>
          </cell>
          <cell r="K21" t="str">
            <v>This quantity is assumed and can alter based on design &amp; build scheme of the ACMV contractor</v>
          </cell>
          <cell r="L21">
            <v>0</v>
          </cell>
          <cell r="M21">
            <v>0</v>
          </cell>
          <cell r="N21">
            <v>0</v>
          </cell>
          <cell r="O21">
            <v>0</v>
          </cell>
        </row>
        <row r="22">
          <cell r="A22">
            <v>16</v>
          </cell>
          <cell r="B22" t="str">
            <v>pumps ON / OFF command</v>
          </cell>
          <cell r="H22">
            <v>12</v>
          </cell>
          <cell r="I22" t="str">
            <v>Command to chiller panel/ pumps panel</v>
          </cell>
          <cell r="K22" t="str">
            <v>ACMV Vendor</v>
          </cell>
          <cell r="L22">
            <v>0</v>
          </cell>
          <cell r="M22">
            <v>0</v>
          </cell>
          <cell r="N22">
            <v>0</v>
          </cell>
          <cell r="O22">
            <v>0</v>
          </cell>
        </row>
        <row r="23">
          <cell r="A23">
            <v>17</v>
          </cell>
          <cell r="B23" t="str">
            <v>pumps ON / OFF Status</v>
          </cell>
          <cell r="G23">
            <v>12</v>
          </cell>
          <cell r="I23" t="str">
            <v xml:space="preserve">signal from potential-free  contact </v>
          </cell>
          <cell r="K23" t="str">
            <v>ACMV Vendor</v>
          </cell>
          <cell r="L23">
            <v>0</v>
          </cell>
          <cell r="M23">
            <v>0</v>
          </cell>
          <cell r="N23">
            <v>0</v>
          </cell>
          <cell r="O23">
            <v>0</v>
          </cell>
        </row>
        <row r="24">
          <cell r="A24">
            <v>18</v>
          </cell>
          <cell r="B24" t="str">
            <v>pumps Auto / Manual status</v>
          </cell>
          <cell r="G24">
            <v>12</v>
          </cell>
          <cell r="I24" t="str">
            <v xml:space="preserve">signal from potential-free  contact </v>
          </cell>
          <cell r="K24" t="str">
            <v>ACMV Vendor</v>
          </cell>
          <cell r="L24">
            <v>0</v>
          </cell>
          <cell r="M24">
            <v>0</v>
          </cell>
          <cell r="N24">
            <v>0</v>
          </cell>
          <cell r="O24">
            <v>0</v>
          </cell>
        </row>
        <row r="25">
          <cell r="A25">
            <v>19</v>
          </cell>
          <cell r="B25" t="str">
            <v>Flow switch status</v>
          </cell>
          <cell r="G25">
            <v>12</v>
          </cell>
          <cell r="I25" t="str">
            <v>flow switch</v>
          </cell>
          <cell r="J25" t="str">
            <v>B</v>
          </cell>
          <cell r="K25" t="str">
            <v>BAS vendor</v>
          </cell>
          <cell r="L25">
            <v>12</v>
          </cell>
          <cell r="M25">
            <v>0</v>
          </cell>
          <cell r="N25">
            <v>0</v>
          </cell>
          <cell r="O25">
            <v>0</v>
          </cell>
        </row>
        <row r="26">
          <cell r="A26">
            <v>20</v>
          </cell>
          <cell r="B26" t="str">
            <v>pumps trip status</v>
          </cell>
          <cell r="G26">
            <v>12</v>
          </cell>
          <cell r="I26" t="str">
            <v xml:space="preserve">signal from potential-free  contact </v>
          </cell>
          <cell r="K26" t="str">
            <v>ACMV Vendor</v>
          </cell>
          <cell r="L26">
            <v>0</v>
          </cell>
          <cell r="M26">
            <v>0</v>
          </cell>
          <cell r="N26">
            <v>0</v>
          </cell>
          <cell r="O26">
            <v>0</v>
          </cell>
        </row>
        <row r="27">
          <cell r="B27" t="str">
            <v>Secondary chilled Water Pumps - Qty</v>
          </cell>
          <cell r="I27">
            <v>12</v>
          </cell>
          <cell r="K27" t="str">
            <v>This quantity is assumed and can alter based on design &amp; build scheme of the ACMV contractor</v>
          </cell>
          <cell r="L27">
            <v>0</v>
          </cell>
          <cell r="M27">
            <v>0</v>
          </cell>
          <cell r="N27">
            <v>0</v>
          </cell>
          <cell r="O27">
            <v>0</v>
          </cell>
        </row>
        <row r="28">
          <cell r="A28">
            <v>21</v>
          </cell>
          <cell r="B28" t="str">
            <v>pumps VFD monitoring / control</v>
          </cell>
          <cell r="I28" t="str">
            <v>Serial RS486 Bus from VFD panels on Modbus RTU</v>
          </cell>
          <cell r="K28" t="str">
            <v>ACMV Vendor</v>
          </cell>
          <cell r="L28">
            <v>0</v>
          </cell>
          <cell r="M28">
            <v>0</v>
          </cell>
          <cell r="N28">
            <v>0</v>
          </cell>
          <cell r="O28">
            <v>0</v>
          </cell>
        </row>
        <row r="29">
          <cell r="A29">
            <v>22</v>
          </cell>
          <cell r="B29" t="str">
            <v>pumps VFD healthy &amp; run Status</v>
          </cell>
          <cell r="G29">
            <v>12</v>
          </cell>
          <cell r="I29" t="str">
            <v xml:space="preserve">signal from potential-free  contact </v>
          </cell>
          <cell r="K29" t="str">
            <v>ACMV Vendor</v>
          </cell>
          <cell r="L29">
            <v>0</v>
          </cell>
          <cell r="M29">
            <v>0</v>
          </cell>
          <cell r="N29">
            <v>0</v>
          </cell>
          <cell r="O29">
            <v>0</v>
          </cell>
        </row>
        <row r="30">
          <cell r="A30">
            <v>23</v>
          </cell>
          <cell r="B30" t="str">
            <v>pumps VFD trip status</v>
          </cell>
          <cell r="G30">
            <v>12</v>
          </cell>
          <cell r="I30" t="str">
            <v xml:space="preserve">signal from potential-free  contact </v>
          </cell>
          <cell r="K30" t="str">
            <v>ACMV Vendor</v>
          </cell>
          <cell r="L30">
            <v>0</v>
          </cell>
          <cell r="M30">
            <v>0</v>
          </cell>
          <cell r="N30">
            <v>0</v>
          </cell>
          <cell r="O30">
            <v>0</v>
          </cell>
        </row>
        <row r="31">
          <cell r="A31">
            <v>24</v>
          </cell>
          <cell r="B31" t="str">
            <v>pumps VFD speed feedback</v>
          </cell>
          <cell r="E31">
            <v>12</v>
          </cell>
          <cell r="I31" t="str">
            <v>signal from VFD</v>
          </cell>
          <cell r="K31" t="str">
            <v>ACMV Vendor</v>
          </cell>
          <cell r="L31">
            <v>0</v>
          </cell>
          <cell r="M31">
            <v>0</v>
          </cell>
          <cell r="N31">
            <v>0</v>
          </cell>
          <cell r="O31">
            <v>0</v>
          </cell>
        </row>
        <row r="32">
          <cell r="A32">
            <v>25</v>
          </cell>
          <cell r="B32" t="str">
            <v>Temoerature sensor in supply &amp; return headers</v>
          </cell>
          <cell r="D32">
            <v>8</v>
          </cell>
          <cell r="I32" t="str">
            <v>Immersion type temp sensor + pocket</v>
          </cell>
          <cell r="J32" t="str">
            <v>S</v>
          </cell>
          <cell r="K32" t="str">
            <v>BAS vendor</v>
          </cell>
          <cell r="L32">
            <v>0</v>
          </cell>
          <cell r="M32">
            <v>8</v>
          </cell>
          <cell r="N32">
            <v>0</v>
          </cell>
          <cell r="O32">
            <v>0</v>
          </cell>
        </row>
        <row r="33">
          <cell r="A33">
            <v>26</v>
          </cell>
          <cell r="B33" t="str">
            <v>Outside Air RH &amp; Temperature.</v>
          </cell>
          <cell r="D33">
            <v>1</v>
          </cell>
          <cell r="E33">
            <v>1</v>
          </cell>
          <cell r="I33" t="str">
            <v>RH &amp; Temperature sensor</v>
          </cell>
          <cell r="J33" t="str">
            <v>S</v>
          </cell>
          <cell r="K33" t="str">
            <v>BAS vendor</v>
          </cell>
          <cell r="L33">
            <v>0</v>
          </cell>
          <cell r="M33">
            <v>2</v>
          </cell>
          <cell r="N33">
            <v>0</v>
          </cell>
          <cell r="O33">
            <v>0</v>
          </cell>
        </row>
        <row r="34">
          <cell r="A34">
            <v>27</v>
          </cell>
          <cell r="B34" t="str">
            <v>Flow through CHW header</v>
          </cell>
          <cell r="E34">
            <v>1</v>
          </cell>
          <cell r="I34" t="str">
            <v>Flow meter</v>
          </cell>
          <cell r="J34" t="str">
            <v>S</v>
          </cell>
          <cell r="K34" t="str">
            <v>BAS vendor</v>
          </cell>
          <cell r="L34">
            <v>0</v>
          </cell>
          <cell r="M34">
            <v>1</v>
          </cell>
          <cell r="N34">
            <v>0</v>
          </cell>
          <cell r="O34">
            <v>0</v>
          </cell>
        </row>
        <row r="35">
          <cell r="B35" t="str">
            <v>Spare 10%</v>
          </cell>
          <cell r="D35">
            <v>4</v>
          </cell>
          <cell r="E35">
            <v>2</v>
          </cell>
          <cell r="F35">
            <v>1</v>
          </cell>
          <cell r="G35">
            <v>13</v>
          </cell>
          <cell r="H35">
            <v>5</v>
          </cell>
        </row>
        <row r="36">
          <cell r="A36" t="str">
            <v>AX</v>
          </cell>
          <cell r="B36" t="str">
            <v xml:space="preserve">Total I/O For Chiller Plant </v>
          </cell>
          <cell r="D36">
            <v>37</v>
          </cell>
          <cell r="E36">
            <v>16</v>
          </cell>
          <cell r="F36">
            <v>9</v>
          </cell>
          <cell r="G36">
            <v>137</v>
          </cell>
          <cell r="H36">
            <v>49</v>
          </cell>
          <cell r="I36">
            <v>1</v>
          </cell>
          <cell r="L36">
            <v>24</v>
          </cell>
          <cell r="M36">
            <v>35</v>
          </cell>
          <cell r="N36">
            <v>24</v>
          </cell>
          <cell r="O36">
            <v>24</v>
          </cell>
        </row>
        <row r="37">
          <cell r="A37" t="str">
            <v>B</v>
          </cell>
          <cell r="B37" t="str">
            <v>Comfort Air Handling Units with TFA</v>
          </cell>
        </row>
        <row r="38">
          <cell r="B38" t="str">
            <v>Air Handling Units - Qty</v>
          </cell>
          <cell r="I38">
            <v>1</v>
          </cell>
        </row>
        <row r="39">
          <cell r="A39">
            <v>1</v>
          </cell>
          <cell r="B39" t="str">
            <v>AHU ON/OFF Command</v>
          </cell>
          <cell r="H39">
            <v>1</v>
          </cell>
          <cell r="I39" t="str">
            <v>Command to AHU panel</v>
          </cell>
          <cell r="K39" t="str">
            <v>ACMV Vendor</v>
          </cell>
          <cell r="L39">
            <v>0</v>
          </cell>
          <cell r="M39">
            <v>0</v>
          </cell>
          <cell r="N39">
            <v>0</v>
          </cell>
          <cell r="O39">
            <v>0</v>
          </cell>
        </row>
        <row r="40">
          <cell r="A40">
            <v>2</v>
          </cell>
          <cell r="B40" t="str">
            <v>AHU status - DP switch across fan</v>
          </cell>
          <cell r="G40">
            <v>1</v>
          </cell>
          <cell r="I40" t="str">
            <v>DP switch</v>
          </cell>
          <cell r="J40" t="str">
            <v>B</v>
          </cell>
          <cell r="K40" t="str">
            <v>BAS vendor</v>
          </cell>
          <cell r="L40">
            <v>106</v>
          </cell>
          <cell r="M40">
            <v>0</v>
          </cell>
          <cell r="N40">
            <v>0</v>
          </cell>
          <cell r="O40">
            <v>0</v>
          </cell>
        </row>
        <row r="41">
          <cell r="A41">
            <v>3</v>
          </cell>
          <cell r="B41" t="str">
            <v>AHU Auto/Manual Command</v>
          </cell>
          <cell r="H41">
            <v>1</v>
          </cell>
          <cell r="I41" t="str">
            <v>Command to AHU panel</v>
          </cell>
          <cell r="K41" t="str">
            <v>ACMV Vendor</v>
          </cell>
          <cell r="L41">
            <v>0</v>
          </cell>
          <cell r="M41">
            <v>0</v>
          </cell>
          <cell r="N41">
            <v>0</v>
          </cell>
          <cell r="O41">
            <v>0</v>
          </cell>
        </row>
        <row r="42">
          <cell r="A42">
            <v>4</v>
          </cell>
          <cell r="B42" t="str">
            <v>Return air Temperature Sensor</v>
          </cell>
          <cell r="D42">
            <v>1</v>
          </cell>
          <cell r="I42" t="str">
            <v>Duct type Temperature sensor</v>
          </cell>
          <cell r="J42" t="str">
            <v>S</v>
          </cell>
          <cell r="K42" t="str">
            <v>BAS vendor</v>
          </cell>
          <cell r="L42">
            <v>0</v>
          </cell>
          <cell r="M42">
            <v>106</v>
          </cell>
          <cell r="N42">
            <v>0</v>
          </cell>
          <cell r="O42">
            <v>0</v>
          </cell>
        </row>
        <row r="43">
          <cell r="A43">
            <v>5</v>
          </cell>
          <cell r="B43" t="str">
            <v>Filter status - DP switch across filter</v>
          </cell>
          <cell r="G43">
            <v>1</v>
          </cell>
          <cell r="I43" t="str">
            <v>DP switch</v>
          </cell>
          <cell r="J43" t="str">
            <v>B</v>
          </cell>
          <cell r="K43" t="str">
            <v>BAS vendor</v>
          </cell>
          <cell r="L43">
            <v>106</v>
          </cell>
          <cell r="M43">
            <v>0</v>
          </cell>
          <cell r="N43">
            <v>0</v>
          </cell>
          <cell r="O43">
            <v>0</v>
          </cell>
        </row>
        <row r="44">
          <cell r="A44">
            <v>6</v>
          </cell>
          <cell r="B44" t="str">
            <v>CHW 2-Way Valve Control</v>
          </cell>
          <cell r="F44">
            <v>1</v>
          </cell>
          <cell r="I44" t="str">
            <v>2-way auto balancing CHW valve</v>
          </cell>
          <cell r="J44" t="str">
            <v>V</v>
          </cell>
          <cell r="K44" t="str">
            <v>BAS vendor</v>
          </cell>
          <cell r="L44">
            <v>0</v>
          </cell>
          <cell r="M44">
            <v>0</v>
          </cell>
          <cell r="N44">
            <v>106</v>
          </cell>
          <cell r="O44">
            <v>106</v>
          </cell>
        </row>
        <row r="45">
          <cell r="A45">
            <v>7</v>
          </cell>
          <cell r="B45" t="str">
            <v>Flow of CHW from auto balancing valve</v>
          </cell>
          <cell r="E45">
            <v>1</v>
          </cell>
          <cell r="I45" t="str">
            <v>2-way auto balancing CHW valve</v>
          </cell>
          <cell r="J45" t="str">
            <v>V</v>
          </cell>
          <cell r="K45" t="str">
            <v>BAS vendor</v>
          </cell>
          <cell r="L45">
            <v>0</v>
          </cell>
          <cell r="M45">
            <v>0</v>
          </cell>
        </row>
        <row r="46">
          <cell r="A46">
            <v>8</v>
          </cell>
          <cell r="B46" t="str">
            <v>Matched pair temperature sensors at CHW in/outlet</v>
          </cell>
          <cell r="D46">
            <v>2</v>
          </cell>
          <cell r="I46" t="str">
            <v>Immersion type temp sensor+pocket</v>
          </cell>
          <cell r="J46" t="str">
            <v>S</v>
          </cell>
          <cell r="K46" t="str">
            <v>BAS vendor</v>
          </cell>
          <cell r="L46">
            <v>0</v>
          </cell>
          <cell r="M46">
            <v>212</v>
          </cell>
          <cell r="N46">
            <v>0</v>
          </cell>
          <cell r="O46">
            <v>0</v>
          </cell>
        </row>
        <row r="47">
          <cell r="A47">
            <v>9</v>
          </cell>
          <cell r="B47" t="str">
            <v>Fire trip status</v>
          </cell>
          <cell r="G47">
            <v>1</v>
          </cell>
          <cell r="I47" t="str">
            <v>signal from DSD &amp; FAS</v>
          </cell>
          <cell r="K47" t="str">
            <v>BAS vendor</v>
          </cell>
          <cell r="L47">
            <v>0</v>
          </cell>
          <cell r="M47">
            <v>0</v>
          </cell>
          <cell r="N47">
            <v>0</v>
          </cell>
          <cell r="O47">
            <v>0</v>
          </cell>
        </row>
        <row r="48">
          <cell r="A48">
            <v>10</v>
          </cell>
          <cell r="B48" t="str">
            <v>Fire Damper Status - SA, RA, reset command</v>
          </cell>
          <cell r="G48">
            <v>2</v>
          </cell>
          <cell r="H48">
            <v>1</v>
          </cell>
          <cell r="I48" t="str">
            <v>aux.contact - fire damper actuators</v>
          </cell>
          <cell r="J48" t="str">
            <v>D</v>
          </cell>
          <cell r="K48" t="str">
            <v>BAS vendor</v>
          </cell>
          <cell r="L48">
            <v>0</v>
          </cell>
          <cell r="M48">
            <v>0</v>
          </cell>
          <cell r="N48">
            <v>212</v>
          </cell>
          <cell r="O48">
            <v>0</v>
          </cell>
        </row>
        <row r="49">
          <cell r="A49">
            <v>11</v>
          </cell>
          <cell r="B49" t="str">
            <v xml:space="preserve">Pressurization Damper Status&amp; command - Lift lobby </v>
          </cell>
          <cell r="G49">
            <v>1</v>
          </cell>
          <cell r="H49">
            <v>1</v>
          </cell>
          <cell r="I49" t="str">
            <v>combined status from IRM</v>
          </cell>
          <cell r="J49" t="str">
            <v>D</v>
          </cell>
          <cell r="K49" t="str">
            <v>BAS vendor</v>
          </cell>
          <cell r="L49">
            <v>0</v>
          </cell>
          <cell r="M49">
            <v>0</v>
          </cell>
          <cell r="N49">
            <v>112</v>
          </cell>
          <cell r="O49">
            <v>0</v>
          </cell>
        </row>
        <row r="50">
          <cell r="A50">
            <v>12</v>
          </cell>
          <cell r="B50" t="str">
            <v>CO2 sensor</v>
          </cell>
          <cell r="E50">
            <v>1</v>
          </cell>
          <cell r="I50" t="str">
            <v>CO2 sensor</v>
          </cell>
          <cell r="J50" t="str">
            <v>S</v>
          </cell>
          <cell r="K50" t="str">
            <v>BAS vendor</v>
          </cell>
          <cell r="L50">
            <v>0</v>
          </cell>
          <cell r="M50">
            <v>102</v>
          </cell>
          <cell r="N50">
            <v>0</v>
          </cell>
          <cell r="O50">
            <v>0</v>
          </cell>
        </row>
        <row r="51">
          <cell r="A51">
            <v>13</v>
          </cell>
          <cell r="B51" t="str">
            <v>FA/EA damper modulation</v>
          </cell>
          <cell r="F51">
            <v>1</v>
          </cell>
          <cell r="I51" t="str">
            <v>auxiliary contact - damper actuator</v>
          </cell>
          <cell r="J51" t="str">
            <v>D</v>
          </cell>
          <cell r="K51" t="str">
            <v>BAS vendor</v>
          </cell>
          <cell r="L51">
            <v>0</v>
          </cell>
          <cell r="M51">
            <v>0</v>
          </cell>
          <cell r="N51">
            <v>106</v>
          </cell>
          <cell r="O51">
            <v>0</v>
          </cell>
        </row>
        <row r="52">
          <cell r="A52">
            <v>14</v>
          </cell>
          <cell r="B52" t="str">
            <v>TFA ON/OFF Command, status</v>
          </cell>
          <cell r="G52">
            <v>1</v>
          </cell>
          <cell r="H52">
            <v>1</v>
          </cell>
          <cell r="I52" t="str">
            <v>Command to AHU panel</v>
          </cell>
          <cell r="K52" t="str">
            <v>ACMV Vendor</v>
          </cell>
          <cell r="L52">
            <v>0</v>
          </cell>
          <cell r="M52">
            <v>0</v>
          </cell>
          <cell r="N52">
            <v>0</v>
          </cell>
          <cell r="O52">
            <v>0</v>
          </cell>
        </row>
        <row r="53">
          <cell r="A53">
            <v>15</v>
          </cell>
          <cell r="B53" t="str">
            <v>MCC power supply status</v>
          </cell>
          <cell r="G53">
            <v>1</v>
          </cell>
          <cell r="I53" t="str">
            <v>signal from potential free contact</v>
          </cell>
          <cell r="K53" t="str">
            <v>ACMV Vendor</v>
          </cell>
          <cell r="L53">
            <v>0</v>
          </cell>
          <cell r="M53">
            <v>0</v>
          </cell>
          <cell r="N53">
            <v>0</v>
          </cell>
          <cell r="O53">
            <v>0</v>
          </cell>
        </row>
        <row r="54">
          <cell r="A54">
            <v>16</v>
          </cell>
          <cell r="B54" t="str">
            <v>Smoke extraction dampers</v>
          </cell>
          <cell r="G54">
            <v>1</v>
          </cell>
          <cell r="H54">
            <v>1</v>
          </cell>
          <cell r="I54" t="str">
            <v>damper actuators</v>
          </cell>
          <cell r="J54" t="str">
            <v>D</v>
          </cell>
          <cell r="K54" t="str">
            <v>BAS vendor</v>
          </cell>
          <cell r="L54">
            <v>0</v>
          </cell>
          <cell r="M54">
            <v>0</v>
          </cell>
          <cell r="N54">
            <v>60</v>
          </cell>
          <cell r="O54">
            <v>0</v>
          </cell>
        </row>
        <row r="55">
          <cell r="B55" t="str">
            <v>Spare 10%</v>
          </cell>
          <cell r="D55">
            <v>1</v>
          </cell>
          <cell r="E55">
            <v>1</v>
          </cell>
          <cell r="F55">
            <v>1</v>
          </cell>
          <cell r="G55">
            <v>1</v>
          </cell>
          <cell r="H55">
            <v>1</v>
          </cell>
        </row>
        <row r="56">
          <cell r="A56" t="str">
            <v>BX</v>
          </cell>
          <cell r="B56" t="str">
            <v>Total I/O for AHU with TFA</v>
          </cell>
          <cell r="D56">
            <v>4</v>
          </cell>
          <cell r="E56">
            <v>3</v>
          </cell>
          <cell r="F56">
            <v>3</v>
          </cell>
          <cell r="G56">
            <v>10</v>
          </cell>
          <cell r="H56">
            <v>7</v>
          </cell>
          <cell r="I56">
            <v>106</v>
          </cell>
          <cell r="L56">
            <v>212</v>
          </cell>
          <cell r="M56">
            <v>420</v>
          </cell>
          <cell r="N56">
            <v>596</v>
          </cell>
          <cell r="O56">
            <v>106</v>
          </cell>
        </row>
        <row r="57">
          <cell r="B57" t="str">
            <v>Total I/O for AHU with TFAs in complex</v>
          </cell>
          <cell r="D57">
            <v>424</v>
          </cell>
          <cell r="E57">
            <v>318</v>
          </cell>
          <cell r="F57">
            <v>318</v>
          </cell>
          <cell r="G57">
            <v>1060</v>
          </cell>
          <cell r="H57">
            <v>742</v>
          </cell>
          <cell r="K57" t="str">
            <v>This quantity is assumed and can alter based on design &amp; build scheme of the ACMV contractor</v>
          </cell>
        </row>
        <row r="58">
          <cell r="A58" t="str">
            <v>C</v>
          </cell>
          <cell r="B58" t="str">
            <v>Energy metering/Ventilation/Lighting</v>
          </cell>
          <cell r="L58">
            <v>0</v>
          </cell>
          <cell r="M58">
            <v>0</v>
          </cell>
          <cell r="N58">
            <v>0</v>
          </cell>
          <cell r="O58">
            <v>0</v>
          </cell>
        </row>
        <row r="59">
          <cell r="B59" t="str">
            <v>Electrical energy meters - pulse input</v>
          </cell>
          <cell r="G59">
            <v>6</v>
          </cell>
          <cell r="I59" t="str">
            <v>From EEMs</v>
          </cell>
          <cell r="K59" t="str">
            <v>Electrical Vendor</v>
          </cell>
          <cell r="L59">
            <v>0</v>
          </cell>
          <cell r="M59">
            <v>0</v>
          </cell>
          <cell r="N59">
            <v>0</v>
          </cell>
          <cell r="O59">
            <v>0</v>
          </cell>
        </row>
        <row r="60">
          <cell r="B60" t="str">
            <v>Pantry Exhaust Fan - Qty</v>
          </cell>
          <cell r="I60">
            <v>2</v>
          </cell>
          <cell r="L60">
            <v>0</v>
          </cell>
          <cell r="M60">
            <v>0</v>
          </cell>
          <cell r="N60">
            <v>0</v>
          </cell>
          <cell r="O60">
            <v>0</v>
          </cell>
        </row>
        <row r="61">
          <cell r="A61">
            <v>1</v>
          </cell>
          <cell r="B61" t="str">
            <v>Fan ON / OFF Command</v>
          </cell>
          <cell r="H61">
            <v>2</v>
          </cell>
          <cell r="I61" t="str">
            <v>Command to contactor panel</v>
          </cell>
          <cell r="K61" t="str">
            <v>ACMV Vendor</v>
          </cell>
          <cell r="L61">
            <v>0</v>
          </cell>
          <cell r="M61">
            <v>0</v>
          </cell>
          <cell r="N61">
            <v>0</v>
          </cell>
          <cell r="O61">
            <v>0</v>
          </cell>
        </row>
        <row r="62">
          <cell r="A62">
            <v>2</v>
          </cell>
          <cell r="B62" t="str">
            <v>Fan ON / OFF Status</v>
          </cell>
          <cell r="G62">
            <v>2</v>
          </cell>
          <cell r="I62" t="str">
            <v>signal from potential free contact</v>
          </cell>
          <cell r="K62" t="str">
            <v>ACMV Vendor</v>
          </cell>
          <cell r="L62">
            <v>0</v>
          </cell>
          <cell r="M62">
            <v>0</v>
          </cell>
          <cell r="N62">
            <v>0</v>
          </cell>
          <cell r="O62">
            <v>0</v>
          </cell>
        </row>
        <row r="63">
          <cell r="B63" t="str">
            <v>Toilet Exhaust Fan  - Qty</v>
          </cell>
          <cell r="I63">
            <v>2</v>
          </cell>
          <cell r="L63">
            <v>0</v>
          </cell>
          <cell r="M63">
            <v>0</v>
          </cell>
          <cell r="N63">
            <v>0</v>
          </cell>
          <cell r="O63">
            <v>0</v>
          </cell>
        </row>
        <row r="64">
          <cell r="A64">
            <v>3</v>
          </cell>
          <cell r="B64" t="str">
            <v>Fan ON / OFF Command</v>
          </cell>
          <cell r="H64">
            <v>2</v>
          </cell>
          <cell r="I64" t="str">
            <v>Command to contactor panel</v>
          </cell>
          <cell r="K64" t="str">
            <v>ACMV Vendor</v>
          </cell>
          <cell r="L64">
            <v>0</v>
          </cell>
          <cell r="M64">
            <v>0</v>
          </cell>
          <cell r="N64">
            <v>0</v>
          </cell>
          <cell r="O64">
            <v>0</v>
          </cell>
        </row>
        <row r="65">
          <cell r="A65">
            <v>4</v>
          </cell>
          <cell r="B65" t="str">
            <v>Fan ON / OFF Status</v>
          </cell>
          <cell r="G65">
            <v>2</v>
          </cell>
          <cell r="I65" t="str">
            <v>signal from potential free contact</v>
          </cell>
          <cell r="K65" t="str">
            <v>ACMV Vendor</v>
          </cell>
          <cell r="L65">
            <v>0</v>
          </cell>
          <cell r="M65">
            <v>0</v>
          </cell>
          <cell r="N65">
            <v>0</v>
          </cell>
          <cell r="O65">
            <v>0</v>
          </cell>
        </row>
        <row r="66">
          <cell r="B66" t="str">
            <v>Electrical system</v>
          </cell>
          <cell r="L66">
            <v>0</v>
          </cell>
          <cell r="M66">
            <v>0</v>
          </cell>
          <cell r="N66">
            <v>0</v>
          </cell>
          <cell r="O66">
            <v>0</v>
          </cell>
        </row>
        <row r="67">
          <cell r="A67">
            <v>6</v>
          </cell>
          <cell r="B67" t="str">
            <v>LDB,PDB status - incomer MCCB</v>
          </cell>
          <cell r="G67">
            <v>4</v>
          </cell>
          <cell r="I67" t="str">
            <v>signal from potential free contact</v>
          </cell>
          <cell r="K67" t="str">
            <v>Electrical Vendor</v>
          </cell>
          <cell r="L67">
            <v>0</v>
          </cell>
          <cell r="M67">
            <v>0</v>
          </cell>
          <cell r="N67">
            <v>0</v>
          </cell>
          <cell r="O67">
            <v>0</v>
          </cell>
        </row>
        <row r="68">
          <cell r="A68">
            <v>7</v>
          </cell>
          <cell r="B68" t="str">
            <v>Sprinkler line pressure switch</v>
          </cell>
          <cell r="G68">
            <v>2</v>
          </cell>
          <cell r="I68" t="str">
            <v>pressure switch</v>
          </cell>
          <cell r="J68" t="str">
            <v>B</v>
          </cell>
          <cell r="K68" t="str">
            <v>BAS vendor</v>
          </cell>
          <cell r="L68">
            <v>70</v>
          </cell>
          <cell r="M68">
            <v>0</v>
          </cell>
          <cell r="N68">
            <v>0</v>
          </cell>
          <cell r="O68">
            <v>0</v>
          </cell>
        </row>
        <row r="69">
          <cell r="A69">
            <v>8</v>
          </cell>
          <cell r="B69" t="str">
            <v>Lighting control &amp; local override command</v>
          </cell>
          <cell r="G69">
            <v>8</v>
          </cell>
          <cell r="H69">
            <v>8</v>
          </cell>
          <cell r="I69" t="str">
            <v>PIRs in toilets, buttons in utility rooms</v>
          </cell>
          <cell r="J69" t="str">
            <v>S</v>
          </cell>
          <cell r="K69" t="str">
            <v>BAS vendor</v>
          </cell>
          <cell r="M69">
            <v>280</v>
          </cell>
          <cell r="N69">
            <v>0</v>
          </cell>
          <cell r="O69">
            <v>0</v>
          </cell>
        </row>
        <row r="70">
          <cell r="B70" t="str">
            <v>Spare 10%</v>
          </cell>
          <cell r="D70">
            <v>0</v>
          </cell>
          <cell r="E70">
            <v>0</v>
          </cell>
          <cell r="F70">
            <v>0</v>
          </cell>
          <cell r="G70">
            <v>3</v>
          </cell>
          <cell r="H70">
            <v>2</v>
          </cell>
          <cell r="L70">
            <v>0</v>
          </cell>
          <cell r="M70">
            <v>0</v>
          </cell>
          <cell r="N70">
            <v>0</v>
          </cell>
          <cell r="O70">
            <v>0</v>
          </cell>
        </row>
        <row r="71">
          <cell r="A71" t="str">
            <v>CX</v>
          </cell>
          <cell r="B71" t="str">
            <v>Total I/O for Ventilation / lighting system</v>
          </cell>
          <cell r="D71">
            <v>0</v>
          </cell>
          <cell r="E71">
            <v>0</v>
          </cell>
          <cell r="F71">
            <v>0</v>
          </cell>
          <cell r="G71">
            <v>27</v>
          </cell>
          <cell r="H71">
            <v>14</v>
          </cell>
          <cell r="I71">
            <v>35</v>
          </cell>
          <cell r="L71">
            <v>70</v>
          </cell>
          <cell r="M71">
            <v>280</v>
          </cell>
          <cell r="N71">
            <v>0</v>
          </cell>
          <cell r="O71">
            <v>0</v>
          </cell>
        </row>
        <row r="72">
          <cell r="B72" t="str">
            <v>Total I/Os for Energy metering/Vent/Ltng</v>
          </cell>
          <cell r="D72">
            <v>0</v>
          </cell>
          <cell r="E72">
            <v>0</v>
          </cell>
          <cell r="F72">
            <v>0</v>
          </cell>
          <cell r="G72">
            <v>945</v>
          </cell>
          <cell r="H72">
            <v>490</v>
          </cell>
          <cell r="K72" t="str">
            <v>This quantity is assumed and can alter based on design &amp; build scheme of the ACMV contractor</v>
          </cell>
          <cell r="N72">
            <v>0</v>
          </cell>
          <cell r="O72">
            <v>0</v>
          </cell>
        </row>
        <row r="73">
          <cell r="A73" t="str">
            <v>D</v>
          </cell>
          <cell r="B73" t="str">
            <v>Car Park Ventilation Fans - Qty</v>
          </cell>
          <cell r="I73">
            <v>2</v>
          </cell>
          <cell r="K73" t="str">
            <v>This quantity is assumed and can alter based on design &amp; build scheme of the ACMV contractor</v>
          </cell>
          <cell r="L73">
            <v>0</v>
          </cell>
          <cell r="M73">
            <v>0</v>
          </cell>
          <cell r="N73">
            <v>0</v>
          </cell>
          <cell r="O73">
            <v>0</v>
          </cell>
        </row>
        <row r="74">
          <cell r="A74">
            <v>1</v>
          </cell>
          <cell r="B74" t="str">
            <v>Fan ON / OFF Command</v>
          </cell>
          <cell r="H74">
            <v>2</v>
          </cell>
          <cell r="I74" t="str">
            <v>Command to Ventilation panel</v>
          </cell>
          <cell r="K74" t="str">
            <v>ACMV Vendor</v>
          </cell>
          <cell r="L74">
            <v>0</v>
          </cell>
          <cell r="M74">
            <v>0</v>
          </cell>
          <cell r="N74">
            <v>0</v>
          </cell>
          <cell r="O74">
            <v>0</v>
          </cell>
        </row>
        <row r="75">
          <cell r="A75">
            <v>2</v>
          </cell>
          <cell r="B75" t="str">
            <v>Fan ON / OFF Status</v>
          </cell>
          <cell r="G75">
            <v>2</v>
          </cell>
          <cell r="I75" t="str">
            <v>signal from potential free contact</v>
          </cell>
          <cell r="K75" t="str">
            <v>ACMV Vendor</v>
          </cell>
          <cell r="L75">
            <v>0</v>
          </cell>
          <cell r="M75">
            <v>0</v>
          </cell>
          <cell r="N75">
            <v>0</v>
          </cell>
          <cell r="O75">
            <v>0</v>
          </cell>
        </row>
        <row r="76">
          <cell r="A76">
            <v>3</v>
          </cell>
          <cell r="B76" t="str">
            <v>Fan trip Status</v>
          </cell>
          <cell r="G76">
            <v>2</v>
          </cell>
          <cell r="I76" t="str">
            <v>signal from potential free contact</v>
          </cell>
          <cell r="K76" t="str">
            <v>ACMV Vendor</v>
          </cell>
          <cell r="L76">
            <v>0</v>
          </cell>
          <cell r="M76">
            <v>0</v>
          </cell>
          <cell r="N76">
            <v>0</v>
          </cell>
          <cell r="O76">
            <v>0</v>
          </cell>
        </row>
        <row r="77">
          <cell r="A77">
            <v>4</v>
          </cell>
          <cell r="B77" t="str">
            <v>Fan A/M Status</v>
          </cell>
          <cell r="G77">
            <v>2</v>
          </cell>
          <cell r="I77" t="str">
            <v>Signal from potential free contact.</v>
          </cell>
          <cell r="K77" t="str">
            <v>ACMV Vendor</v>
          </cell>
          <cell r="L77">
            <v>0</v>
          </cell>
          <cell r="M77">
            <v>0</v>
          </cell>
          <cell r="N77">
            <v>0</v>
          </cell>
          <cell r="O77">
            <v>0</v>
          </cell>
        </row>
        <row r="78">
          <cell r="A78">
            <v>5</v>
          </cell>
          <cell r="B78" t="str">
            <v>Carbon Monoxide Sensor</v>
          </cell>
          <cell r="E78">
            <v>2</v>
          </cell>
          <cell r="I78" t="str">
            <v xml:space="preserve">CO Sensor </v>
          </cell>
          <cell r="J78" t="str">
            <v>S</v>
          </cell>
          <cell r="K78" t="str">
            <v>BAS vendor</v>
          </cell>
          <cell r="L78">
            <v>0</v>
          </cell>
          <cell r="M78">
            <v>8</v>
          </cell>
          <cell r="N78">
            <v>0</v>
          </cell>
          <cell r="O78">
            <v>0</v>
          </cell>
        </row>
        <row r="79">
          <cell r="A79">
            <v>6</v>
          </cell>
          <cell r="B79" t="str">
            <v>MCC power supply status</v>
          </cell>
          <cell r="G79">
            <v>2</v>
          </cell>
          <cell r="I79" t="str">
            <v>signal from potential free contact.</v>
          </cell>
          <cell r="K79" t="str">
            <v>ACMV Vendor</v>
          </cell>
          <cell r="L79">
            <v>0</v>
          </cell>
          <cell r="M79">
            <v>0</v>
          </cell>
          <cell r="N79">
            <v>0</v>
          </cell>
          <cell r="O79">
            <v>0</v>
          </cell>
        </row>
        <row r="80">
          <cell r="B80" t="str">
            <v>Spare 10%</v>
          </cell>
          <cell r="D80">
            <v>0</v>
          </cell>
          <cell r="E80">
            <v>1</v>
          </cell>
          <cell r="F80">
            <v>0</v>
          </cell>
          <cell r="G80">
            <v>1</v>
          </cell>
          <cell r="H80">
            <v>1</v>
          </cell>
          <cell r="L80">
            <v>0</v>
          </cell>
          <cell r="M80">
            <v>0</v>
          </cell>
          <cell r="N80">
            <v>0</v>
          </cell>
          <cell r="O80">
            <v>0</v>
          </cell>
        </row>
        <row r="81">
          <cell r="A81" t="str">
            <v>DX</v>
          </cell>
          <cell r="B81" t="str">
            <v>Total I/O for Car Park ventilation</v>
          </cell>
          <cell r="D81">
            <v>0</v>
          </cell>
          <cell r="E81">
            <v>3</v>
          </cell>
          <cell r="F81">
            <v>0</v>
          </cell>
          <cell r="G81">
            <v>9</v>
          </cell>
          <cell r="H81">
            <v>3</v>
          </cell>
          <cell r="I81">
            <v>4</v>
          </cell>
          <cell r="L81">
            <v>0</v>
          </cell>
          <cell r="M81">
            <v>8</v>
          </cell>
          <cell r="N81">
            <v>0</v>
          </cell>
          <cell r="O81">
            <v>0</v>
          </cell>
        </row>
        <row r="82">
          <cell r="B82" t="str">
            <v>Total I/O for Car Park vent in complex</v>
          </cell>
          <cell r="D82">
            <v>0</v>
          </cell>
          <cell r="E82">
            <v>12</v>
          </cell>
          <cell r="F82">
            <v>0</v>
          </cell>
          <cell r="G82">
            <v>36</v>
          </cell>
          <cell r="H82">
            <v>12</v>
          </cell>
          <cell r="K82" t="str">
            <v>This quantity is assumed and can alter based on design &amp; build scheme of the ACMV contractor</v>
          </cell>
          <cell r="L82">
            <v>0</v>
          </cell>
          <cell r="N82">
            <v>0</v>
          </cell>
          <cell r="O82">
            <v>0</v>
          </cell>
        </row>
        <row r="83">
          <cell r="A83" t="str">
            <v>E</v>
          </cell>
          <cell r="B83" t="str">
            <v>Lifts monitoring &amp; Liftshaft pressurization fans- Qty</v>
          </cell>
          <cell r="I83">
            <v>1</v>
          </cell>
          <cell r="K83" t="str">
            <v>This quantity is assumed and can alter based on design &amp; build scheme of the ACMV contractor</v>
          </cell>
          <cell r="L83">
            <v>0</v>
          </cell>
          <cell r="M83">
            <v>0</v>
          </cell>
          <cell r="N83">
            <v>0</v>
          </cell>
          <cell r="O83">
            <v>0</v>
          </cell>
        </row>
        <row r="84">
          <cell r="A84">
            <v>1</v>
          </cell>
          <cell r="B84" t="str">
            <v>Fan ON / OFF Command</v>
          </cell>
          <cell r="H84">
            <v>5</v>
          </cell>
          <cell r="I84" t="str">
            <v>Command to fan panel</v>
          </cell>
          <cell r="K84" t="str">
            <v>ACMV Vendor</v>
          </cell>
          <cell r="L84">
            <v>0</v>
          </cell>
          <cell r="M84">
            <v>0</v>
          </cell>
          <cell r="N84">
            <v>0</v>
          </cell>
          <cell r="O84">
            <v>0</v>
          </cell>
        </row>
        <row r="85">
          <cell r="A85">
            <v>2</v>
          </cell>
          <cell r="B85" t="str">
            <v>Fan ON / OFF Status</v>
          </cell>
          <cell r="G85">
            <v>5</v>
          </cell>
          <cell r="I85" t="str">
            <v>signal from potential free contact</v>
          </cell>
          <cell r="K85" t="str">
            <v>ACMV Vendor</v>
          </cell>
          <cell r="L85">
            <v>0</v>
          </cell>
          <cell r="M85">
            <v>0</v>
          </cell>
          <cell r="N85">
            <v>0</v>
          </cell>
          <cell r="O85">
            <v>0</v>
          </cell>
        </row>
        <row r="86">
          <cell r="B86" t="str">
            <v>Lift contacts monitoring - Qty</v>
          </cell>
          <cell r="I86">
            <v>5</v>
          </cell>
          <cell r="L86">
            <v>0</v>
          </cell>
          <cell r="M86">
            <v>0</v>
          </cell>
          <cell r="N86">
            <v>0</v>
          </cell>
          <cell r="O86">
            <v>0</v>
          </cell>
        </row>
        <row r="87">
          <cell r="A87">
            <v>5</v>
          </cell>
          <cell r="B87" t="str">
            <v>Elevator trip, Alarm, fire man switch</v>
          </cell>
          <cell r="G87">
            <v>5</v>
          </cell>
          <cell r="I87" t="str">
            <v>signal from potential free contact</v>
          </cell>
          <cell r="K87" t="str">
            <v>Lifts vendor</v>
          </cell>
          <cell r="L87">
            <v>0</v>
          </cell>
          <cell r="M87">
            <v>0</v>
          </cell>
          <cell r="N87">
            <v>0</v>
          </cell>
          <cell r="O87">
            <v>0</v>
          </cell>
        </row>
        <row r="88">
          <cell r="A88">
            <v>6</v>
          </cell>
          <cell r="B88" t="str">
            <v>Elevator Floor Status</v>
          </cell>
          <cell r="G88">
            <v>50</v>
          </cell>
          <cell r="I88" t="str">
            <v>Signal from potential free contact</v>
          </cell>
          <cell r="K88" t="str">
            <v>Lifts vendor</v>
          </cell>
          <cell r="L88">
            <v>0</v>
          </cell>
          <cell r="M88">
            <v>0</v>
          </cell>
          <cell r="N88">
            <v>0</v>
          </cell>
          <cell r="O88">
            <v>0</v>
          </cell>
        </row>
        <row r="89">
          <cell r="A89">
            <v>7</v>
          </cell>
          <cell r="B89" t="str">
            <v>MCC power supply status</v>
          </cell>
          <cell r="G89">
            <v>1</v>
          </cell>
          <cell r="I89" t="str">
            <v>signal from potential free contact</v>
          </cell>
          <cell r="K89" t="str">
            <v>ACMV Vendor</v>
          </cell>
          <cell r="L89">
            <v>0</v>
          </cell>
          <cell r="M89">
            <v>0</v>
          </cell>
          <cell r="N89">
            <v>0</v>
          </cell>
          <cell r="O89">
            <v>0</v>
          </cell>
        </row>
        <row r="90">
          <cell r="A90">
            <v>8</v>
          </cell>
          <cell r="B90" t="str">
            <v>Spare 10%</v>
          </cell>
          <cell r="D90">
            <v>0</v>
          </cell>
          <cell r="E90">
            <v>0</v>
          </cell>
          <cell r="F90">
            <v>0</v>
          </cell>
          <cell r="G90">
            <v>7</v>
          </cell>
          <cell r="H90">
            <v>1</v>
          </cell>
          <cell r="L90">
            <v>0</v>
          </cell>
          <cell r="M90">
            <v>0</v>
          </cell>
          <cell r="N90">
            <v>0</v>
          </cell>
          <cell r="O90">
            <v>0</v>
          </cell>
        </row>
        <row r="91">
          <cell r="A91" t="str">
            <v>EX</v>
          </cell>
          <cell r="B91" t="str">
            <v>Total I/O for Lifts monitoring &amp; liftshaft pressurization</v>
          </cell>
          <cell r="D91">
            <v>0</v>
          </cell>
          <cell r="E91">
            <v>0</v>
          </cell>
          <cell r="F91">
            <v>0</v>
          </cell>
          <cell r="G91">
            <v>68</v>
          </cell>
          <cell r="H91">
            <v>6</v>
          </cell>
          <cell r="I91">
            <v>5</v>
          </cell>
        </row>
        <row r="92">
          <cell r="B92" t="str">
            <v>Total I/O for Lifts in complex</v>
          </cell>
          <cell r="D92">
            <v>0</v>
          </cell>
          <cell r="E92">
            <v>0</v>
          </cell>
          <cell r="F92">
            <v>0</v>
          </cell>
          <cell r="G92">
            <v>340</v>
          </cell>
          <cell r="H92">
            <v>30</v>
          </cell>
          <cell r="L92">
            <v>0</v>
          </cell>
          <cell r="M92">
            <v>0</v>
          </cell>
          <cell r="N92">
            <v>0</v>
          </cell>
          <cell r="O92">
            <v>0</v>
          </cell>
        </row>
        <row r="93">
          <cell r="A93" t="str">
            <v>F</v>
          </cell>
          <cell r="B93" t="str">
            <v>Electrical Distribution Monitoring/ 4xDGs</v>
          </cell>
          <cell r="I93">
            <v>103</v>
          </cell>
          <cell r="K93" t="str">
            <v>This quantity is assumed and can alter based on design &amp; build scheme of the ACMV contractor</v>
          </cell>
        </row>
        <row r="94">
          <cell r="A94">
            <v>1</v>
          </cell>
          <cell r="B94" t="str">
            <v>Main Incomeroutgoing Breaker status</v>
          </cell>
          <cell r="I94" t="str">
            <v>serial bus with Modbus RTU protocol</v>
          </cell>
          <cell r="K94" t="str">
            <v>Electrical vendor</v>
          </cell>
        </row>
        <row r="95">
          <cell r="A95">
            <v>2</v>
          </cell>
          <cell r="B95" t="str">
            <v>Main Incomer/ outgoing  Breaker Trip</v>
          </cell>
          <cell r="I95" t="str">
            <v>serial bus with Modbus RTU protocol</v>
          </cell>
          <cell r="K95" t="str">
            <v>Electrical vendor</v>
          </cell>
        </row>
        <row r="96">
          <cell r="A96">
            <v>3</v>
          </cell>
          <cell r="B96" t="str">
            <v>Transofrmer alarms WTI, BHR,MOG</v>
          </cell>
          <cell r="G96">
            <v>12</v>
          </cell>
          <cell r="I96" t="str">
            <v>signal from potential free contact</v>
          </cell>
          <cell r="K96" t="str">
            <v>Electrical vendor</v>
          </cell>
        </row>
        <row r="97">
          <cell r="A97">
            <v>4</v>
          </cell>
          <cell r="B97" t="str">
            <v>Relays in incomer/ outgoing feeders</v>
          </cell>
          <cell r="I97" t="str">
            <v>serial bus with Modbus RTU protocol</v>
          </cell>
          <cell r="K97" t="str">
            <v>Electrical vendor</v>
          </cell>
        </row>
        <row r="98">
          <cell r="A98">
            <v>5</v>
          </cell>
          <cell r="B98" t="str">
            <v>Energy metering from composite TVM</v>
          </cell>
          <cell r="I98" t="str">
            <v>Composite meter with RS485 O/P</v>
          </cell>
          <cell r="K98" t="str">
            <v>Electrical vendor</v>
          </cell>
        </row>
        <row r="99">
          <cell r="A99">
            <v>6</v>
          </cell>
          <cell r="B99" t="str">
            <v>Perimeter Lighting ON/OFF Command.</v>
          </cell>
          <cell r="H99">
            <v>12</v>
          </cell>
          <cell r="I99" t="str">
            <v>Command to Lighting contactor</v>
          </cell>
          <cell r="K99" t="str">
            <v>Electrical Vendor</v>
          </cell>
        </row>
        <row r="100">
          <cell r="A100">
            <v>7</v>
          </cell>
          <cell r="B100" t="str">
            <v>Perimeter Lighting ON/OFF status.</v>
          </cell>
          <cell r="G100">
            <v>12</v>
          </cell>
          <cell r="I100" t="str">
            <v>Signal from potential free contact</v>
          </cell>
          <cell r="K100" t="str">
            <v>Electrical Vendor</v>
          </cell>
        </row>
        <row r="101">
          <cell r="A101">
            <v>1</v>
          </cell>
          <cell r="B101" t="str">
            <v>DG Set ON/OFF Status</v>
          </cell>
          <cell r="G101">
            <v>4</v>
          </cell>
          <cell r="I101" t="str">
            <v>signal from potential free contact</v>
          </cell>
          <cell r="K101" t="str">
            <v>DG vendor</v>
          </cell>
        </row>
        <row r="102">
          <cell r="A102">
            <v>2</v>
          </cell>
          <cell r="B102" t="str">
            <v>DG breaker trip</v>
          </cell>
          <cell r="G102">
            <v>4</v>
          </cell>
          <cell r="I102" t="str">
            <v>signal from potential free contact</v>
          </cell>
          <cell r="K102" t="str">
            <v>DG vendor</v>
          </cell>
        </row>
        <row r="103">
          <cell r="A103">
            <v>3</v>
          </cell>
          <cell r="B103" t="str">
            <v>DG failure alarm</v>
          </cell>
          <cell r="G103">
            <v>4</v>
          </cell>
          <cell r="I103" t="str">
            <v>signal from potential free contact</v>
          </cell>
          <cell r="K103" t="str">
            <v>DG vendor</v>
          </cell>
        </row>
        <row r="104">
          <cell r="A104">
            <v>4</v>
          </cell>
          <cell r="B104" t="str">
            <v xml:space="preserve">Fuel Pump Trip </v>
          </cell>
          <cell r="G104">
            <v>4</v>
          </cell>
          <cell r="I104" t="str">
            <v>signal from potential free contact</v>
          </cell>
          <cell r="K104" t="str">
            <v>DG vendor</v>
          </cell>
        </row>
        <row r="105">
          <cell r="A105">
            <v>5</v>
          </cell>
          <cell r="B105" t="str">
            <v>Battery low status</v>
          </cell>
          <cell r="G105">
            <v>4</v>
          </cell>
          <cell r="I105" t="str">
            <v>signal from potential free contact</v>
          </cell>
          <cell r="K105" t="str">
            <v>DG vendor</v>
          </cell>
        </row>
        <row r="106">
          <cell r="A106">
            <v>6</v>
          </cell>
          <cell r="B106" t="str">
            <v>Fuel tank level High / Low status</v>
          </cell>
          <cell r="G106">
            <v>8</v>
          </cell>
          <cell r="I106" t="str">
            <v>signal from potential free contact</v>
          </cell>
          <cell r="K106" t="str">
            <v>DG vendor</v>
          </cell>
        </row>
        <row r="107">
          <cell r="A107">
            <v>7</v>
          </cell>
          <cell r="B107" t="str">
            <v>Energy Monitoring For [V,I, KWH, PF,Frq]</v>
          </cell>
          <cell r="I107" t="str">
            <v>Composite meter with RS485 O/P</v>
          </cell>
          <cell r="K107" t="str">
            <v>DG vendor</v>
          </cell>
        </row>
        <row r="108">
          <cell r="B108" t="str">
            <v>Spare 10%</v>
          </cell>
          <cell r="D108">
            <v>0</v>
          </cell>
          <cell r="E108">
            <v>0</v>
          </cell>
          <cell r="F108">
            <v>0</v>
          </cell>
          <cell r="G108">
            <v>6</v>
          </cell>
          <cell r="H108">
            <v>2</v>
          </cell>
        </row>
        <row r="109">
          <cell r="A109" t="str">
            <v>FX</v>
          </cell>
          <cell r="B109" t="str">
            <v>Total I/O</v>
          </cell>
          <cell r="D109">
            <v>0</v>
          </cell>
          <cell r="E109">
            <v>0</v>
          </cell>
          <cell r="F109">
            <v>0</v>
          </cell>
          <cell r="G109">
            <v>58</v>
          </cell>
          <cell r="H109">
            <v>14</v>
          </cell>
          <cell r="I109">
            <v>1</v>
          </cell>
        </row>
        <row r="110">
          <cell r="B110" t="str">
            <v>Total I/O for ELEC.DISTRIB/DGs in complex</v>
          </cell>
          <cell r="D110">
            <v>0</v>
          </cell>
          <cell r="E110">
            <v>0</v>
          </cell>
          <cell r="F110">
            <v>0</v>
          </cell>
          <cell r="G110">
            <v>58</v>
          </cell>
          <cell r="H110">
            <v>14</v>
          </cell>
          <cell r="L110">
            <v>0</v>
          </cell>
          <cell r="M110">
            <v>0</v>
          </cell>
          <cell r="N110">
            <v>0</v>
          </cell>
          <cell r="O110">
            <v>0</v>
          </cell>
        </row>
        <row r="111">
          <cell r="A111" t="str">
            <v>G</v>
          </cell>
          <cell r="B111" t="str">
            <v>Water Management/Fire protection System (3x sumps, 5x OH tanks)</v>
          </cell>
          <cell r="K111" t="str">
            <v>This quantity is assumed and can alter based on design &amp; build scheme of the ACMV contractor</v>
          </cell>
        </row>
        <row r="112">
          <cell r="B112" t="str">
            <v>Domestic Water Pumping System [Water Pumps]</v>
          </cell>
          <cell r="I112">
            <v>7</v>
          </cell>
        </row>
        <row r="113">
          <cell r="A113">
            <v>1</v>
          </cell>
          <cell r="B113" t="str">
            <v>Water pump ON/OFF command.</v>
          </cell>
          <cell r="H113">
            <v>7</v>
          </cell>
          <cell r="I113" t="str">
            <v>Command to Pump Panel</v>
          </cell>
          <cell r="K113" t="str">
            <v>Electrical Vendor</v>
          </cell>
        </row>
        <row r="114">
          <cell r="A114">
            <v>2</v>
          </cell>
          <cell r="B114" t="str">
            <v>Water pump ON/OFF status</v>
          </cell>
          <cell r="G114">
            <v>7</v>
          </cell>
          <cell r="I114" t="str">
            <v>Signal from potential free contact.</v>
          </cell>
          <cell r="K114" t="str">
            <v>Electrical Vendor</v>
          </cell>
        </row>
        <row r="115">
          <cell r="A115">
            <v>3</v>
          </cell>
          <cell r="B115" t="str">
            <v>Water pump trip status.</v>
          </cell>
          <cell r="G115">
            <v>7</v>
          </cell>
          <cell r="I115" t="str">
            <v>Signal from potential free contact.</v>
          </cell>
          <cell r="K115" t="str">
            <v>Electrical Vendor</v>
          </cell>
        </row>
        <row r="116">
          <cell r="A116">
            <v>4</v>
          </cell>
          <cell r="B116" t="str">
            <v>Water pump Auto / Manual status.</v>
          </cell>
          <cell r="G116">
            <v>7</v>
          </cell>
          <cell r="I116" t="str">
            <v>Signal from potential free contact.</v>
          </cell>
          <cell r="K116" t="str">
            <v>Electrical Vendor</v>
          </cell>
        </row>
        <row r="117">
          <cell r="A117">
            <v>5</v>
          </cell>
          <cell r="B117" t="str">
            <v>O.H Tank level High / Low monitoring.</v>
          </cell>
          <cell r="E117">
            <v>8</v>
          </cell>
          <cell r="I117" t="str">
            <v>Level Sensor</v>
          </cell>
          <cell r="J117" t="str">
            <v>S</v>
          </cell>
          <cell r="K117" t="str">
            <v>BAS Vendor</v>
          </cell>
          <cell r="M117">
            <v>4</v>
          </cell>
        </row>
        <row r="118">
          <cell r="A118">
            <v>6</v>
          </cell>
          <cell r="B118" t="str">
            <v>Sump level High / Low monitoring</v>
          </cell>
          <cell r="G118">
            <v>6</v>
          </cell>
          <cell r="I118" t="str">
            <v>Level Switch</v>
          </cell>
          <cell r="J118" t="str">
            <v>B</v>
          </cell>
          <cell r="K118" t="str">
            <v>BAS Vendor</v>
          </cell>
          <cell r="L118">
            <v>3</v>
          </cell>
        </row>
        <row r="119">
          <cell r="B119" t="str">
            <v>Water Softener Plant</v>
          </cell>
          <cell r="I119">
            <v>2</v>
          </cell>
        </row>
        <row r="120">
          <cell r="A120">
            <v>7</v>
          </cell>
          <cell r="B120" t="str">
            <v>Softener feed pump ON/OFF command.</v>
          </cell>
          <cell r="H120">
            <v>2</v>
          </cell>
          <cell r="I120" t="str">
            <v>Command to Pump Panel</v>
          </cell>
          <cell r="K120" t="str">
            <v>Electrical Vendor</v>
          </cell>
        </row>
        <row r="121">
          <cell r="A121">
            <v>8</v>
          </cell>
          <cell r="B121" t="str">
            <v>Softener feed pump ON/OFF status.</v>
          </cell>
          <cell r="G121">
            <v>2</v>
          </cell>
          <cell r="I121" t="str">
            <v>Signal from potential free contact.</v>
          </cell>
          <cell r="K121" t="str">
            <v>Electrical Vendor</v>
          </cell>
        </row>
        <row r="122">
          <cell r="A122">
            <v>9</v>
          </cell>
          <cell r="B122" t="str">
            <v>Softener feed pump trip status.</v>
          </cell>
          <cell r="G122">
            <v>2</v>
          </cell>
          <cell r="I122" t="str">
            <v>Signal from potential free contact.</v>
          </cell>
          <cell r="K122" t="str">
            <v>Electrical Vendor</v>
          </cell>
        </row>
        <row r="123">
          <cell r="A123">
            <v>10</v>
          </cell>
          <cell r="B123" t="str">
            <v>Softener feed pump Auto / Manual status.</v>
          </cell>
          <cell r="G123">
            <v>2</v>
          </cell>
          <cell r="I123" t="str">
            <v>Signal from potential free contact.</v>
          </cell>
          <cell r="K123" t="str">
            <v>Electrical Vendor</v>
          </cell>
        </row>
        <row r="124">
          <cell r="B124" t="str">
            <v>Irrigation Pumping System</v>
          </cell>
          <cell r="I124">
            <v>3</v>
          </cell>
        </row>
        <row r="125">
          <cell r="A125">
            <v>11</v>
          </cell>
          <cell r="B125" t="str">
            <v>Irrigation pump ON/OFF command.</v>
          </cell>
          <cell r="H125">
            <v>3</v>
          </cell>
          <cell r="I125" t="str">
            <v>Command to Pump Panel</v>
          </cell>
          <cell r="K125" t="str">
            <v>Electrical Vendor</v>
          </cell>
        </row>
        <row r="126">
          <cell r="A126">
            <v>12</v>
          </cell>
          <cell r="B126" t="str">
            <v>Irrigation pump ON/OFF status</v>
          </cell>
          <cell r="G126">
            <v>3</v>
          </cell>
          <cell r="I126" t="str">
            <v>Signal from potential free contact.</v>
          </cell>
          <cell r="K126" t="str">
            <v>Electrical Vendor</v>
          </cell>
        </row>
        <row r="127">
          <cell r="A127">
            <v>13</v>
          </cell>
          <cell r="B127" t="str">
            <v>Irrigation pump trip status</v>
          </cell>
          <cell r="G127">
            <v>3</v>
          </cell>
          <cell r="H127">
            <v>0</v>
          </cell>
          <cell r="I127" t="str">
            <v>Signal from potential free contact.</v>
          </cell>
          <cell r="K127" t="str">
            <v>Electrical Vendor</v>
          </cell>
        </row>
        <row r="128">
          <cell r="A128">
            <v>14</v>
          </cell>
          <cell r="B128" t="str">
            <v>Irrigation pump Auto / Manual status</v>
          </cell>
          <cell r="G128">
            <v>3</v>
          </cell>
          <cell r="H128">
            <v>0</v>
          </cell>
          <cell r="I128" t="str">
            <v>Signal from potential free contact.</v>
          </cell>
          <cell r="K128" t="str">
            <v>Electrical Vendor</v>
          </cell>
        </row>
        <row r="129">
          <cell r="B129" t="str">
            <v>Fire Pumps</v>
          </cell>
        </row>
        <row r="130">
          <cell r="A130">
            <v>15</v>
          </cell>
          <cell r="B130" t="str">
            <v>Fire pump ON/OFF status</v>
          </cell>
          <cell r="G130">
            <v>3</v>
          </cell>
          <cell r="I130" t="str">
            <v>Signal from potential free contact.</v>
          </cell>
          <cell r="K130" t="str">
            <v>Electrical Vendor</v>
          </cell>
        </row>
        <row r="131">
          <cell r="A131">
            <v>16</v>
          </cell>
          <cell r="B131" t="str">
            <v>Fire pump trip status</v>
          </cell>
          <cell r="G131">
            <v>3</v>
          </cell>
          <cell r="I131" t="str">
            <v>Signal from potential free contact.</v>
          </cell>
          <cell r="K131" t="str">
            <v>Electrical Vendor</v>
          </cell>
        </row>
        <row r="132">
          <cell r="A132">
            <v>17</v>
          </cell>
          <cell r="B132" t="str">
            <v>Sprinkler Line pressure sensor</v>
          </cell>
          <cell r="E132">
            <v>1</v>
          </cell>
          <cell r="I132" t="str">
            <v>Pressure sensor</v>
          </cell>
          <cell r="J132" t="str">
            <v>S</v>
          </cell>
          <cell r="K132" t="str">
            <v>BAS Vendor</v>
          </cell>
          <cell r="M132">
            <v>1</v>
          </cell>
        </row>
        <row r="133">
          <cell r="B133" t="str">
            <v>Spare 10%</v>
          </cell>
          <cell r="D133">
            <v>0</v>
          </cell>
          <cell r="E133">
            <v>1</v>
          </cell>
          <cell r="F133">
            <v>0</v>
          </cell>
          <cell r="G133">
            <v>5</v>
          </cell>
          <cell r="H133">
            <v>2</v>
          </cell>
        </row>
        <row r="134">
          <cell r="A134" t="str">
            <v>GX</v>
          </cell>
          <cell r="B134" t="str">
            <v>Total I/O for water management in complex</v>
          </cell>
          <cell r="D134">
            <v>0</v>
          </cell>
          <cell r="E134">
            <v>10</v>
          </cell>
          <cell r="F134">
            <v>0</v>
          </cell>
          <cell r="G134">
            <v>53</v>
          </cell>
          <cell r="H134">
            <v>14</v>
          </cell>
          <cell r="I134">
            <v>1</v>
          </cell>
          <cell r="L134">
            <v>3</v>
          </cell>
          <cell r="M134">
            <v>5</v>
          </cell>
          <cell r="N134">
            <v>0</v>
          </cell>
          <cell r="O134">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ow r="1">
          <cell r="D1" t="str">
            <v xml:space="preserve">Analog Signals  </v>
          </cell>
        </row>
      </sheetData>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 Panel Summary"/>
      <sheetName val="Cos"/>
      <sheetName val="RISING MAINS"/>
      <sheetName val="DB"/>
      <sheetName val="EST"/>
      <sheetName val="ITC"/>
      <sheetName val="LAYING OF CABLE"/>
      <sheetName val="cable termination"/>
      <sheetName val="PT_WIRING &amp; raceway"/>
      <sheetName val="cable tray"/>
      <sheetName val="Summary"/>
      <sheetName val="labour rates"/>
      <sheetName val="LIGHTINING"/>
      <sheetName val="CAB-Cu"/>
      <sheetName val="cab-Al"/>
      <sheetName val="EXTERNAL &amp; HDPE Pipe"/>
      <sheetName val="LIGHT FIXTURE"/>
      <sheetName val="Lift"/>
      <sheetName val="UPS"/>
      <sheetName val="LT_Panel_Summary"/>
      <sheetName val="RISING_MAINS"/>
      <sheetName val="LAYING_OF_CABLE"/>
      <sheetName val="cable_termination"/>
      <sheetName val="PT_WIRING_&amp;_raceway"/>
      <sheetName val="cable_tray"/>
      <sheetName val="labour_rates"/>
      <sheetName val="EXTERNAL_&amp;_HDPE_Pipe"/>
      <sheetName val="LIGHT_FIXTURE"/>
    </sheetNames>
    <sheetDataSet>
      <sheetData sheetId="0"/>
      <sheetData sheetId="1"/>
      <sheetData sheetId="2"/>
      <sheetData sheetId="3"/>
      <sheetData sheetId="4"/>
      <sheetData sheetId="5"/>
      <sheetData sheetId="6"/>
      <sheetData sheetId="7"/>
      <sheetData sheetId="8"/>
      <sheetData sheetId="9"/>
      <sheetData sheetId="10"/>
      <sheetData sheetId="11">
        <row r="2">
          <cell r="C2">
            <v>293.02999999999997</v>
          </cell>
        </row>
        <row r="3">
          <cell r="C3">
            <v>247.95</v>
          </cell>
        </row>
        <row r="4">
          <cell r="C4">
            <v>209.63</v>
          </cell>
        </row>
        <row r="6">
          <cell r="C6">
            <v>247.95</v>
          </cell>
        </row>
        <row r="7">
          <cell r="C7">
            <v>293.02999999999997</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2">
          <cell r="C2">
            <v>293.02999999999997</v>
          </cell>
        </row>
      </sheetData>
      <sheetData sheetId="26"/>
      <sheetData sheetId="27"/>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ESTIMATE"/>
      <sheetName val="Land"/>
      <sheetName val="SANITARY "/>
      <sheetName val="WATER SUPPLY"/>
      <sheetName val="FIRE FIGHTING"/>
      <sheetName val="CIVIL WORK"/>
      <sheetName val="Diff. cost (2)"/>
      <sheetName val="internal Road"/>
      <sheetName val="Sheet1"/>
    </sheetNames>
    <sheetDataSet>
      <sheetData sheetId="0"/>
      <sheetData sheetId="1"/>
      <sheetData sheetId="2"/>
      <sheetData sheetId="3"/>
      <sheetData sheetId="4"/>
      <sheetData sheetId="5"/>
      <sheetData sheetId="6"/>
      <sheetData sheetId="7"/>
      <sheetData sheetId="8"/>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PLUMBING"/>
      <sheetName val="BOQ-CIVIL"/>
      <sheetName val="plumb"/>
      <sheetName val="LINK_COR"/>
      <sheetName val="NEUROLOGY"/>
      <sheetName val="ACADEMIC"/>
      <sheetName val="PSYCHIATRIC"/>
      <sheetName val="DIAGNOSTIC"/>
      <sheetName val="SEN_DOC"/>
      <sheetName val="JUN_DOC"/>
      <sheetName val="NURSE"/>
      <sheetName val="GUEST"/>
      <sheetName val="DIR"/>
      <sheetName val="TY_VI"/>
      <sheetName val="TY_V"/>
      <sheetName val="TY_III"/>
      <sheetName val="civil"/>
      <sheetName val="cover"/>
      <sheetName val="Summary"/>
      <sheetName val="Sheet1"/>
      <sheetName val="M.R.1"/>
      <sheetName val="steam table"/>
      <sheetName val="Material "/>
      <sheetName val="Material"/>
      <sheetName val="INPUT SHEET"/>
      <sheetName val="RES-PLANNING"/>
      <sheetName val="M_R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34">
          <cell r="E34">
            <v>148.05000000000001</v>
          </cell>
        </row>
      </sheetData>
      <sheetData sheetId="21" refreshError="1"/>
      <sheetData sheetId="22" refreshError="1"/>
      <sheetData sheetId="23" refreshError="1"/>
      <sheetData sheetId="24" refreshError="1"/>
      <sheetData sheetId="25" refreshError="1"/>
      <sheetData sheetId="26">
        <row r="34">
          <cell r="E34">
            <v>148.05000000000001</v>
          </cell>
        </row>
      </sheetData>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1"/>
      <sheetName val="steam table"/>
      <sheetName val="M_R_1"/>
      <sheetName val="steam_table"/>
    </sheetNames>
    <sheetDataSet>
      <sheetData sheetId="0"/>
      <sheetData sheetId="1" refreshError="1"/>
      <sheetData sheetId="2"/>
      <sheetData sheetId="3"/>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PLUMBING"/>
      <sheetName val="BOQ-CIVIL"/>
      <sheetName val="plumb"/>
      <sheetName val="LINK_COR"/>
      <sheetName val="NEUROLOGY"/>
      <sheetName val="ACADEMIC"/>
      <sheetName val="PSYCHIATRIC"/>
      <sheetName val="DIAGNOSTIC"/>
      <sheetName val="SEN_DOC"/>
      <sheetName val="JUN_DOC"/>
      <sheetName val="NURSE"/>
      <sheetName val="GUEST"/>
      <sheetName val="DIR"/>
      <sheetName val="TY_VI"/>
      <sheetName val="TY_V"/>
      <sheetName val="TY_III"/>
      <sheetName val="civil"/>
      <sheetName val="cover"/>
      <sheetName val="Summary"/>
      <sheetName val="Sheet1"/>
      <sheetName val="M.R.1"/>
      <sheetName val="BOQ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34">
          <cell r="E34">
            <v>148.05000000000001</v>
          </cell>
        </row>
        <row r="64">
          <cell r="E64">
            <v>173.55</v>
          </cell>
        </row>
        <row r="93">
          <cell r="E93">
            <v>65.05</v>
          </cell>
        </row>
        <row r="110">
          <cell r="E110">
            <v>33.75</v>
          </cell>
        </row>
        <row r="131">
          <cell r="E131">
            <v>19.7</v>
          </cell>
        </row>
        <row r="160">
          <cell r="E160">
            <v>1631.85</v>
          </cell>
        </row>
        <row r="180">
          <cell r="E180">
            <v>203.85</v>
          </cell>
        </row>
        <row r="197">
          <cell r="E197">
            <v>265.8</v>
          </cell>
        </row>
        <row r="218">
          <cell r="E218">
            <v>55</v>
          </cell>
        </row>
        <row r="240">
          <cell r="E240">
            <v>115.1</v>
          </cell>
        </row>
        <row r="269">
          <cell r="E269">
            <v>320.7</v>
          </cell>
        </row>
        <row r="307">
          <cell r="E307">
            <v>439.15</v>
          </cell>
        </row>
        <row r="330">
          <cell r="E330">
            <v>199.55</v>
          </cell>
        </row>
        <row r="355">
          <cell r="E355">
            <v>327.75</v>
          </cell>
        </row>
        <row r="381">
          <cell r="E381">
            <v>20.55</v>
          </cell>
        </row>
        <row r="401">
          <cell r="E401">
            <v>35</v>
          </cell>
        </row>
        <row r="424">
          <cell r="E424">
            <v>23.746830000000003</v>
          </cell>
        </row>
        <row r="445">
          <cell r="E445">
            <v>29.103614999999998</v>
          </cell>
        </row>
        <row r="449">
          <cell r="E449">
            <v>43.695422499999992</v>
          </cell>
        </row>
        <row r="474">
          <cell r="E474">
            <v>30.6</v>
          </cell>
        </row>
        <row r="504">
          <cell r="E504">
            <v>727.1455155000001</v>
          </cell>
        </row>
        <row r="530">
          <cell r="E530">
            <v>2083</v>
          </cell>
        </row>
        <row r="556">
          <cell r="E556">
            <v>3681.9</v>
          </cell>
        </row>
        <row r="584">
          <cell r="E584">
            <v>766.6</v>
          </cell>
        </row>
        <row r="603">
          <cell r="E603">
            <v>12</v>
          </cell>
        </row>
        <row r="620">
          <cell r="E620">
            <v>18.899999999999999</v>
          </cell>
        </row>
        <row r="712">
          <cell r="E712">
            <v>179.9</v>
          </cell>
        </row>
      </sheetData>
      <sheetData sheetId="2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arm"/>
      <sheetName val="sample"/>
      <sheetName val="acs"/>
      <sheetName val="cctv"/>
      <sheetName val="CCTV_EST"/>
      <sheetName val="ACS+IAS_EST"/>
      <sheetName val="CCTV_EST1"/>
      <sheetName val="ACS_EST"/>
      <sheetName val="IAS_EST"/>
      <sheetName val="acs (3)"/>
      <sheetName val="acs (4)"/>
      <sheetName val="Summary (5)"/>
      <sheetName val="cctv (3)"/>
      <sheetName val="cctv (4)"/>
      <sheetName val="Summary (3)"/>
      <sheetName val="Summary (4)"/>
      <sheetName val="acs (2)"/>
      <sheetName val="cctv (2)"/>
      <sheetName val="cctv_3"/>
      <sheetName val="Makes"/>
      <sheetName val="Summary"/>
      <sheetName val="Summary (2)"/>
      <sheetName val="Staff Acco."/>
      <sheetName val="Works - Quote Sheet"/>
      <sheetName val="factors"/>
      <sheetName val="acs_(3)"/>
      <sheetName val="acs_(4)"/>
      <sheetName val="Summary_(5)"/>
      <sheetName val="cctv_(3)"/>
      <sheetName val="cctv_(4)"/>
      <sheetName val="Summary_(3)"/>
      <sheetName val="Summary_(4)"/>
      <sheetName val="acs_(2)"/>
      <sheetName val="cctv_(2)"/>
      <sheetName val="Summary_(2)"/>
      <sheetName val="PRSH"/>
      <sheetName val="ACS-18.9.99"/>
      <sheetName val="phase 2"/>
      <sheetName val="ACS-NOIDA"/>
      <sheetName val="acs-GUR"/>
      <sheetName val="cctv-GUR"/>
      <sheetName val="Sheet2"/>
      <sheetName val="SEC.SYS."/>
      <sheetName val="CCTV_MAT"/>
      <sheetName val="ACSJP"/>
      <sheetName val="ACS+IAS"/>
      <sheetName val="ACS (5)"/>
      <sheetName val="IAS (8)"/>
      <sheetName val="IAS"/>
      <sheetName val="Sheet1"/>
      <sheetName val="FM-200"/>
      <sheetName val="basic-data"/>
      <sheetName val="mem-property"/>
      <sheetName val="TBAL9697 -group wise  sdpl"/>
      <sheetName val="220 11  BS "/>
      <sheetName val="Control"/>
      <sheetName val="key dates"/>
      <sheetName val="Actuals"/>
      <sheetName val="Labels"/>
      <sheetName val="3. Elemental Summary"/>
      <sheetName val="Parameter"/>
      <sheetName val="1_Project_Profile"/>
      <sheetName val="SPILL OVER"/>
      <sheetName val="Estimation"/>
      <sheetName val="CABLE DATA"/>
      <sheetName val="Bed Class"/>
      <sheetName val="Cd"/>
      <sheetName val="acs_(3)1"/>
      <sheetName val="acs_(4)1"/>
      <sheetName val="Summary_(5)1"/>
      <sheetName val="cctv_(3)1"/>
      <sheetName val="cctv_(4)1"/>
      <sheetName val="Summary_(3)1"/>
      <sheetName val="Summary_(4)1"/>
      <sheetName val="acs_(2)1"/>
      <sheetName val="cctv_(2)1"/>
      <sheetName val="Summary_(2)1"/>
      <sheetName val="Staff_Acco_"/>
      <sheetName val="Works_-_Quote_Sheet"/>
      <sheetName val="ACS-18_9_99"/>
      <sheetName val="phase_2"/>
      <sheetName val="SEC_SYS_"/>
      <sheetName val="ACS_(5)"/>
      <sheetName val="IAS_(8)"/>
      <sheetName val="TBAL9697_-group_wise__sdpl"/>
      <sheetName val="220_11__BS_"/>
      <sheetName val="key_dates"/>
      <sheetName val="3__Elemental_Summary"/>
      <sheetName val="SPILL_OVER"/>
      <sheetName val="CABLE_DATA"/>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T4B"/>
      <sheetName val="BOQ_T4B"/>
    </sheetNames>
    <sheetDataSet>
      <sheetData sheetId="0">
        <row r="86">
          <cell r="I86">
            <v>3700</v>
          </cell>
        </row>
        <row r="302">
          <cell r="I302">
            <v>0</v>
          </cell>
        </row>
        <row r="538">
          <cell r="I538">
            <v>0</v>
          </cell>
        </row>
        <row r="734">
          <cell r="I734">
            <v>0</v>
          </cell>
        </row>
        <row r="891">
          <cell r="I891">
            <v>0</v>
          </cell>
        </row>
        <row r="989">
          <cell r="I989">
            <v>0</v>
          </cell>
        </row>
      </sheetData>
      <sheetData sheetId="1">
        <row r="86">
          <cell r="I86">
            <v>3700</v>
          </cell>
        </row>
      </sheetData>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Info"/>
      <sheetName val="PartsInfo"/>
      <sheetName val="PricingPage"/>
      <sheetName val="Roadmap"/>
      <sheetName val="LineSummary"/>
      <sheetName val="Summary"/>
      <sheetName val="Notes"/>
      <sheetName val="Intl Shipping"/>
      <sheetName val="GCO Intl"/>
      <sheetName val="IBMPrinters"/>
      <sheetName val="Import"/>
      <sheetName val="Export"/>
      <sheetName val="ShipCost"/>
      <sheetName val="ShipPrice"/>
      <sheetName val="Royalty"/>
      <sheetName val="Formulas"/>
      <sheetName val="SaveLoad"/>
      <sheetName val="SaveLoad2"/>
      <sheetName val="TempRoadmap"/>
      <sheetName val="War Room"/>
      <sheetName val="Country"/>
      <sheetName val="Updates"/>
      <sheetName val="Menu"/>
      <sheetName val="Intl_Shipping"/>
      <sheetName val="GCO_Intl"/>
      <sheetName val="War_Ro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54">
          <cell r="B54" t="str">
            <v>Not In Parts Database</v>
          </cell>
        </row>
      </sheetData>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
      <sheetName val="Comparative"/>
      <sheetName val="Annexure"/>
      <sheetName val="Quotation"/>
      <sheetName val="LBD"/>
      <sheetName val="CPWD"/>
      <sheetName val="Partly-Quotation"/>
      <sheetName val="Electrical"/>
      <sheetName val="formula"/>
      <sheetName val="Annexure-II"/>
      <sheetName val="summa"/>
      <sheetName val="Annexure-I"/>
      <sheetName val="Quotation (2)"/>
      <sheetName val="Electrical (2)"/>
      <sheetName val="Steel"/>
      <sheetName val="Steel- Beam"/>
      <sheetName val="conc-foot-gradeslab"/>
    </sheetNames>
    <sheetDataSet>
      <sheetData sheetId="0"/>
      <sheetData sheetId="1"/>
      <sheetData sheetId="2"/>
      <sheetData sheetId="3" refreshError="1">
        <row r="4">
          <cell r="AC4">
            <v>0.15</v>
          </cell>
        </row>
      </sheetData>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L.T BOQ"/>
      <sheetName val="FIXTURE"/>
      <sheetName val="DG SET"/>
      <sheetName val="SUBSTATION"/>
      <sheetName val="Anal Fixture"/>
      <sheetName val="ANAL MCB DB"/>
      <sheetName val="Sheet2"/>
      <sheetName val="ANAL CABLE"/>
      <sheetName val="ANAL-PANEL"/>
    </sheetNames>
    <sheetDataSet>
      <sheetData sheetId="0"/>
      <sheetData sheetId="1"/>
      <sheetData sheetId="2"/>
      <sheetData sheetId="3"/>
      <sheetData sheetId="4"/>
      <sheetData sheetId="5"/>
      <sheetData sheetId="6"/>
      <sheetData sheetId="7">
        <row r="7">
          <cell r="D7">
            <v>0.18</v>
          </cell>
        </row>
      </sheetData>
      <sheetData sheetId="8"/>
      <sheetData sheetId="9"/>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Enquire"/>
    </sheetNames>
    <sheetDataSet>
      <sheetData sheetId="0"/>
      <sheetData sheetId="1" refreshError="1">
        <row r="2">
          <cell r="F2" t="str">
            <v>MANUAL</v>
          </cell>
        </row>
        <row r="3">
          <cell r="F3" t="str">
            <v>AUTO</v>
          </cell>
        </row>
        <row r="4">
          <cell r="F4" t="str">
            <v>NO</v>
          </cell>
        </row>
      </sheetData>
      <sheetData sheetId="2"/>
      <sheetData sheetId="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r1"/>
      <sheetName val="BOQ"/>
      <sheetName val="covr2"/>
      <sheetName val="SUM QNTY"/>
      <sheetName val="covr3"/>
      <sheetName val="conc"/>
      <sheetName val="S CONC"/>
      <sheetName val="12"/>
      <sheetName val="15"/>
      <sheetName val="18"/>
      <sheetName val="20"/>
      <sheetName val="S REINF"/>
      <sheetName val="QNTY"/>
      <sheetName val="Sheet1"/>
      <sheetName val="covr4"/>
      <sheetName val="covr5"/>
      <sheetName val="protect"/>
      <sheetName val="covr6"/>
      <sheetName val="Salint dt"/>
      <sheetName val="covr7"/>
      <sheetName val="hyd par"/>
      <sheetName val="c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ACS(1)"/>
      <sheetName val="FAS-C(4)"/>
      <sheetName val="CCTV(old)"/>
      <sheetName val="Leads"/>
    </sheetNames>
    <sheetDataSet>
      <sheetData sheetId="0"/>
      <sheetData sheetId="1" refreshError="1">
        <row r="2">
          <cell r="B2" t="str">
            <v>YES</v>
          </cell>
          <cell r="P2" t="str">
            <v>Free</v>
          </cell>
        </row>
        <row r="3">
          <cell r="P3" t="str">
            <v>Ducted</v>
          </cell>
        </row>
        <row r="4">
          <cell r="P4" t="str">
            <v>Transfer Duct</v>
          </cell>
        </row>
        <row r="5">
          <cell r="P5" t="str">
            <v>NA</v>
          </cell>
        </row>
      </sheetData>
      <sheetData sheetId="2"/>
      <sheetData sheetId="3" refreshError="1"/>
      <sheetData sheetId="4" refreshError="1"/>
      <sheetData sheetId="5" refreshError="1"/>
      <sheetData sheetId="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ing Main"/>
      <sheetName val="C.I. PIPE"/>
      <sheetName val="DATAC.I."/>
      <sheetName val="Labour &amp; Plant"/>
      <sheetName val="INPUT SHEET"/>
      <sheetName val="RES-PLANNING"/>
      <sheetName val="Project Budget Worksheet"/>
      <sheetName val="PIPERTJ"/>
      <sheetName val="Material"/>
      <sheetName val="Material "/>
      <sheetName val="steam table"/>
      <sheetName val="Abstract"/>
      <sheetName val="Labour"/>
      <sheetName val="Plant &amp;  Machinery"/>
      <sheetName val="M.R.1"/>
      <sheetName val="Rising_Main"/>
      <sheetName val="C_I__PIPE"/>
      <sheetName val="DATAC_I_"/>
      <sheetName val="Labour_&amp;_Plant"/>
      <sheetName val="INPUT_SHEET"/>
      <sheetName val="Project_Budget_Worksheet"/>
      <sheetName val="Material_"/>
      <sheetName val="steam_table"/>
      <sheetName val="Plant_&amp;__Machinery"/>
      <sheetName val="M_R_1"/>
    </sheetNames>
    <sheetDataSet>
      <sheetData sheetId="0">
        <row r="2">
          <cell r="C2" t="str">
            <v/>
          </cell>
        </row>
        <row r="3">
          <cell r="C3" t="str">
            <v>RISING MAIN WITH RUBBER TIGHTEN JOINTS</v>
          </cell>
        </row>
        <row r="6">
          <cell r="C6" t="str">
            <v>Items</v>
          </cell>
          <cell r="D6" t="str">
            <v>Data</v>
          </cell>
          <cell r="E6" t="str">
            <v>Unit</v>
          </cell>
        </row>
        <row r="7">
          <cell r="C7" t="str">
            <v>Water Consumption</v>
          </cell>
          <cell r="D7">
            <v>50000</v>
          </cell>
          <cell r="E7" t="str">
            <v>Cum/day</v>
          </cell>
        </row>
        <row r="8">
          <cell r="C8" t="str">
            <v>Pumping Hours</v>
          </cell>
          <cell r="D8">
            <v>23</v>
          </cell>
        </row>
        <row r="9">
          <cell r="C9" t="str">
            <v>Design Discharge</v>
          </cell>
          <cell r="D9">
            <v>0.60386473429951693</v>
          </cell>
          <cell r="E9" t="str">
            <v>Cum/sec</v>
          </cell>
        </row>
        <row r="10">
          <cell r="C10" t="str">
            <v>Capacity of Sump Pump</v>
          </cell>
          <cell r="D10">
            <v>2083.3333333333335</v>
          </cell>
          <cell r="E10" t="str">
            <v>Cum</v>
          </cell>
        </row>
        <row r="11">
          <cell r="C11" t="str">
            <v>Economical Dia</v>
          </cell>
          <cell r="D11">
            <v>0.7</v>
          </cell>
          <cell r="E11" t="str">
            <v>M</v>
          </cell>
        </row>
        <row r="12">
          <cell r="C12" t="str">
            <v>Actual Area</v>
          </cell>
          <cell r="D12">
            <v>0.38499999999999995</v>
          </cell>
          <cell r="E12" t="str">
            <v>sqm</v>
          </cell>
        </row>
        <row r="13">
          <cell r="C13" t="str">
            <v>Actual Velocity</v>
          </cell>
          <cell r="D13">
            <v>1.5684798293493949</v>
          </cell>
          <cell r="E13" t="str">
            <v>M/Sec</v>
          </cell>
        </row>
        <row r="14">
          <cell r="C14" t="str">
            <v>CR</v>
          </cell>
          <cell r="D14">
            <v>0.85</v>
          </cell>
        </row>
        <row r="15">
          <cell r="C15" t="str">
            <v>Length of Rising Main</v>
          </cell>
          <cell r="D15">
            <v>12000</v>
          </cell>
          <cell r="E15" t="str">
            <v>M</v>
          </cell>
        </row>
        <row r="16">
          <cell r="C16" t="str">
            <v>Difference in Static Head</v>
          </cell>
          <cell r="D16">
            <v>20</v>
          </cell>
          <cell r="E16" t="str">
            <v>M</v>
          </cell>
        </row>
        <row r="17">
          <cell r="C17" t="str">
            <v>Head Loss due to Friction</v>
          </cell>
          <cell r="D17">
            <v>36.128924078670615</v>
          </cell>
          <cell r="E17" t="str">
            <v>M</v>
          </cell>
        </row>
        <row r="18">
          <cell r="C18" t="str">
            <v xml:space="preserve">Total Pumping Head </v>
          </cell>
          <cell r="D18">
            <v>56.128924078670615</v>
          </cell>
          <cell r="E18" t="str">
            <v>M</v>
          </cell>
        </row>
        <row r="19">
          <cell r="C19" t="str">
            <v>Pump Efficiency</v>
          </cell>
          <cell r="D19">
            <v>0.6</v>
          </cell>
        </row>
        <row r="20">
          <cell r="C20" t="str">
            <v>Size of Pump</v>
          </cell>
          <cell r="D20">
            <v>553.82806904059134</v>
          </cell>
          <cell r="E20" t="str">
            <v>KW</v>
          </cell>
        </row>
        <row r="21">
          <cell r="C21" t="str">
            <v>Size of Pump with 50% stand by</v>
          </cell>
          <cell r="D21">
            <v>830.74210356088702</v>
          </cell>
          <cell r="E21" t="str">
            <v>KW</v>
          </cell>
        </row>
        <row r="22">
          <cell r="C22" t="str">
            <v>KW</v>
          </cell>
          <cell r="D22">
            <v>553.82806904059134</v>
          </cell>
        </row>
        <row r="23">
          <cell r="C23" t="str">
            <v>Pump size Assumed</v>
          </cell>
        </row>
        <row r="24">
          <cell r="C24" t="str">
            <v>Size</v>
          </cell>
          <cell r="D24">
            <v>280</v>
          </cell>
          <cell r="E24" t="str">
            <v>KW</v>
          </cell>
        </row>
        <row r="25">
          <cell r="C25" t="str">
            <v>Nos.</v>
          </cell>
          <cell r="D25">
            <v>2</v>
          </cell>
          <cell r="E25" t="str">
            <v>Nos.</v>
          </cell>
        </row>
        <row r="26">
          <cell r="C26" t="str">
            <v>Stand By</v>
          </cell>
          <cell r="D26">
            <v>1</v>
          </cell>
          <cell r="E26" t="str">
            <v>Nos.</v>
          </cell>
        </row>
        <row r="27">
          <cell r="C27" t="str">
            <v>Power Consumption</v>
          </cell>
          <cell r="D27">
            <v>280</v>
          </cell>
          <cell r="E27" t="str">
            <v>KW</v>
          </cell>
        </row>
        <row r="28">
          <cell r="C28" t="str">
            <v>Energy Consumption</v>
          </cell>
          <cell r="D28">
            <v>12880</v>
          </cell>
          <cell r="E28" t="str">
            <v>KWH</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2">
          <cell r="C2" t="str">
            <v/>
          </cell>
        </row>
      </sheetData>
      <sheetData sheetId="16"/>
      <sheetData sheetId="17"/>
      <sheetData sheetId="18"/>
      <sheetData sheetId="19"/>
      <sheetData sheetId="20"/>
      <sheetData sheetId="21"/>
      <sheetData sheetId="22"/>
      <sheetData sheetId="23"/>
      <sheetData sheetId="2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ECUTRON Template - Quote-INR"/>
      <sheetName val="SECUTRON Template - Quote-USD"/>
      <sheetName val="Main-Material"/>
      <sheetName val="SECUTRON_Template_-_Quote-INR"/>
      <sheetName val="SECUTRON_Template_-_Quote-USD"/>
      <sheetName val="Abstract)"/>
    </sheetNames>
    <sheetDataSet>
      <sheetData sheetId="0" refreshError="1">
        <row r="1">
          <cell r="A1" t="str">
            <v>FIRE ALARM SYSTEM</v>
          </cell>
        </row>
        <row r="2">
          <cell r="A2" t="str">
            <v>EVAX VOICE EVACUATION</v>
          </cell>
        </row>
        <row r="3">
          <cell r="A3" t="str">
            <v>FIRE PLUS AUDIO</v>
          </cell>
        </row>
        <row r="4">
          <cell r="A4" t="str">
            <v>CONVENTIONAL FIRE</v>
          </cell>
        </row>
        <row r="5">
          <cell r="A5" t="str">
            <v>COMMUNICATION SYSTEM</v>
          </cell>
        </row>
        <row r="6">
          <cell r="A6" t="str">
            <v>QX VOICE EVACUATION</v>
          </cell>
        </row>
        <row r="7">
          <cell r="A7" t="str">
            <v>EVAX FIRE PHONE SYSTEM</v>
          </cell>
        </row>
        <row r="8">
          <cell r="A8" t="str">
            <v>QX FIRE PHONE SYSTEM</v>
          </cell>
        </row>
        <row r="13">
          <cell r="A13" t="str">
            <v>T/T IN ADVANCE</v>
          </cell>
        </row>
        <row r="14">
          <cell r="A14" t="str">
            <v>OPEN</v>
          </cell>
        </row>
        <row r="15">
          <cell r="A15" t="str">
            <v>L/C</v>
          </cell>
        </row>
        <row r="16">
          <cell r="A16" t="str">
            <v>NET 30</v>
          </cell>
        </row>
        <row r="17">
          <cell r="A17" t="str">
            <v>NET 60</v>
          </cell>
        </row>
        <row r="20">
          <cell r="A20" t="str">
            <v>S40</v>
          </cell>
        </row>
        <row r="21">
          <cell r="A21" t="str">
            <v>S41</v>
          </cell>
        </row>
        <row r="22">
          <cell r="A22" t="str">
            <v>S42</v>
          </cell>
        </row>
        <row r="23">
          <cell r="A23" t="str">
            <v>S43</v>
          </cell>
        </row>
        <row r="24">
          <cell r="A24" t="str">
            <v>S44</v>
          </cell>
        </row>
        <row r="25">
          <cell r="A25" t="str">
            <v>S45</v>
          </cell>
        </row>
      </sheetData>
      <sheetData sheetId="1" refreshError="1"/>
      <sheetData sheetId="2" refreshError="1"/>
      <sheetData sheetId="3" refreshError="1"/>
      <sheetData sheetId="4"/>
      <sheetData sheetId="5"/>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afe DELUXE"/>
      <sheetName val="d_safe DELUXE"/>
      <sheetName val="CABLE DATA"/>
      <sheetName val="CCTV_EST1"/>
      <sheetName val="Estimate"/>
      <sheetName val="factors"/>
      <sheetName val="Parameter"/>
      <sheetName val="Cable-data"/>
      <sheetName val="Basement Budget"/>
      <sheetName val="INDIGINEOUS ITEMS "/>
      <sheetName val="MAIN SUMMARY"/>
      <sheetName val="Summary"/>
      <sheetName val="INTERIORS"/>
      <sheetName val="PLUMBING"/>
      <sheetName val="Recommended make"/>
      <sheetName val="rate analysis"/>
      <sheetName val="Sheet3"/>
      <sheetName val="GF M,Sheet"/>
      <sheetName val="FF M,Sheet"/>
      <sheetName val="2nd F M,Sheet"/>
      <sheetName val="3rd F M,Sheet"/>
      <sheetName val="RA1"/>
      <sheetName val="RA2"/>
      <sheetName val="RA3"/>
      <sheetName val="NT"/>
      <sheetName val="NT- MST"/>
      <sheetName val="CS"/>
      <sheetName val="CS- MST"/>
      <sheetName val="Supplier"/>
      <sheetName val="LIST OF MAKES"/>
      <sheetName val="girder"/>
      <sheetName val="Costing"/>
      <sheetName val="d-safe specs"/>
      <sheetName val="Staff Acco_"/>
      <sheetName val="Staff Acco."/>
      <sheetName val="RECAPITULATION"/>
      <sheetName val="d-safe_DELUXE"/>
      <sheetName val="d_safe_DELUXE"/>
      <sheetName val="CABLE_DATA"/>
      <sheetName val="GMCP TRACKER (Rs)"/>
      <sheetName val="WORK TABLE"/>
      <sheetName val="Hardware"/>
      <sheetName val="Site"/>
      <sheetName val="Formulas"/>
      <sheetName val="Name List"/>
      <sheetName val="TBAL9697 -group wise  sdpl"/>
      <sheetName val="Sheet1"/>
      <sheetName val="Load_Details(B2)"/>
      <sheetName val="Break up Sheet"/>
      <sheetName val="sept-plan"/>
      <sheetName val="prsch"/>
      <sheetName val="Material "/>
      <sheetName val="Pay_Sep06"/>
      <sheetName val="switch"/>
      <sheetName val="analysis-superstructure"/>
      <sheetName val="Civil Boq"/>
      <sheetName val="Sheet2"/>
      <sheetName val="R20_R30_work"/>
      <sheetName val="Basement_Budget"/>
      <sheetName val="INDIGINEOUS_ITEMS_"/>
      <sheetName val="Server Conf By Name"/>
      <sheetName val="Originating Station"/>
      <sheetName val="COLUMN"/>
      <sheetName val="Boq"/>
      <sheetName val="Speakers"/>
      <sheetName val="Pile cap"/>
      <sheetName val="purpose&amp;input"/>
      <sheetName val="Register"/>
      <sheetName val="T&amp;M"/>
      <sheetName val="RA-markate"/>
      <sheetName val="d-safe_DELUXE1"/>
      <sheetName val="d_safe_DELUXE1"/>
      <sheetName val="CABLE_DATA1"/>
      <sheetName val="Basement_Budget1"/>
      <sheetName val="INDIGINEOUS_ITEMS_1"/>
      <sheetName val="MAIN_SUMMARY"/>
      <sheetName val="Recommended_make"/>
      <sheetName val="rate_analysis"/>
      <sheetName val="GF_M,Sheet"/>
      <sheetName val="FF_M,Sheet"/>
      <sheetName val="2nd_F_M,Sheet"/>
      <sheetName val="3rd_F_M,Sheet"/>
      <sheetName val="NT-_MST"/>
      <sheetName val="CS-_MST"/>
      <sheetName val="LIST_OF_MAKES"/>
      <sheetName val="d-safe_specs"/>
      <sheetName val="Staff_Acco_"/>
      <sheetName val="Staff_Acco_1"/>
      <sheetName val="GMCP_TRACKER_(Rs)"/>
      <sheetName val="WORK_TABLE"/>
      <sheetName val="Name_List"/>
      <sheetName val="TBAL9697_-group_wise__sdpl"/>
      <sheetName val="Break_up_Sheet"/>
      <sheetName val="Material_"/>
      <sheetName val="Civil_Boq"/>
      <sheetName val="Server_Conf_By_Name"/>
      <sheetName val="Originating_Station"/>
      <sheetName val="Pile_cap"/>
      <sheetName val="RA_markate"/>
    </sheetNames>
    <sheetDataSet>
      <sheetData sheetId="0"/>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afe specs"/>
      <sheetName val="d_safe specs"/>
      <sheetName val="d-safe DELUXE"/>
      <sheetName val="SPT vs PHI"/>
      <sheetName val="Final Bill of Material"/>
      <sheetName val="계정"/>
      <sheetName val="Headings"/>
      <sheetName val="INDIGINEOUS ITEMS "/>
      <sheetName val="Sheet1"/>
      <sheetName val="syndicate codes"/>
      <sheetName val="Boq"/>
      <sheetName val="RCC,Ret. Wall"/>
      <sheetName val="ABB"/>
      <sheetName val="GE"/>
      <sheetName val="Lead"/>
      <sheetName val="Formulas"/>
      <sheetName val="Storage"/>
      <sheetName val="CABLE DATA"/>
      <sheetName val="Civil Works"/>
      <sheetName val="flooring"/>
      <sheetName val="LIST OF MAKES"/>
      <sheetName val="Cost_Any."/>
      <sheetName val="Mat_Cost"/>
      <sheetName val="PRECAST lightconc-II"/>
      <sheetName val="Civil Boq"/>
      <sheetName val="d-safe_specs"/>
      <sheetName val="d_safe_specs"/>
      <sheetName val="d-safe_DELUXE"/>
      <sheetName val="SPT_vs_PHI"/>
      <sheetName val="Final_Bill_of_Material"/>
      <sheetName val="Supplier"/>
      <sheetName val="girder"/>
      <sheetName val="lookups"/>
      <sheetName val="GMCP TRACKER (Rs)"/>
      <sheetName val="Staff Acco."/>
      <sheetName val="Factors"/>
      <sheetName val="Category"/>
      <sheetName val="Lookup Tables"/>
      <sheetName val="master"/>
      <sheetName val="REFERANCE DATA"/>
      <sheetName val="R2"/>
      <sheetName val="INDIGINEOUS_ITEMS_"/>
      <sheetName val="syndicate_codes"/>
      <sheetName val="RCC,Ret__Wall"/>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ote Sheet"/>
      <sheetName val="Services Info"/>
      <sheetName val="Project Info"/>
      <sheetName val="Standard Delivery"/>
      <sheetName val="Definitions"/>
      <sheetName val="d-safe specs"/>
      <sheetName val="Civil Boq"/>
      <sheetName val="R20_R30_work"/>
      <sheetName val="d-safe DELUXE"/>
      <sheetName val="#REF"/>
      <sheetName val="Quote_Sheet"/>
      <sheetName val="Services_Info"/>
      <sheetName val="Project_Info"/>
      <sheetName val="Standard_Delivery"/>
      <sheetName val="Edit(01)"/>
      <sheetName val="SPT vs PHI"/>
      <sheetName val="master"/>
      <sheetName val="Factors"/>
      <sheetName val="d-safe_specs"/>
      <sheetName val="Civil_Boq"/>
      <sheetName val="Quote_Sheet1"/>
      <sheetName val="Services_Info1"/>
      <sheetName val="Project_Info1"/>
      <sheetName val="Standard_Delivery1"/>
      <sheetName val="d-safe_specs1"/>
      <sheetName val="Civil_Boq1"/>
      <sheetName val="US RCP Sep"/>
      <sheetName val="Parameter"/>
      <sheetName val="계정"/>
      <sheetName val="Material "/>
      <sheetName val="switch"/>
      <sheetName val="girder"/>
      <sheetName val="GMCP TRACKER (Rs)"/>
      <sheetName val="p&amp;m"/>
      <sheetName val="Break up Sheet"/>
      <sheetName val="Pur"/>
      <sheetName val="Fin Sum"/>
      <sheetName val="THK"/>
      <sheetName val="analysis-superstructure"/>
      <sheetName val="C3"/>
      <sheetName val="ANALYSIS"/>
      <sheetName val="Quote_Sheet2"/>
      <sheetName val="Services_Info2"/>
      <sheetName val="Project_Info2"/>
      <sheetName val="Standard_Delivery2"/>
      <sheetName val="d-safe_specs2"/>
      <sheetName val="Civil_Boq2"/>
      <sheetName val="d-safe_DELUXE"/>
      <sheetName val="SPT_vs_PHI"/>
      <sheetName val="US_RCP_Sep"/>
      <sheetName val="Material_"/>
      <sheetName val="GMCP_TRACKER_(Rs)"/>
      <sheetName val="Break_up_Sheet"/>
      <sheetName val="Fin_Sum"/>
    </sheetNames>
    <sheetDataSet>
      <sheetData sheetId="0" refreshError="1">
        <row r="135">
          <cell r="B135">
            <v>0.44999999999999996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135">
          <cell r="B135">
            <v>0.44999999999999996</v>
          </cell>
        </row>
      </sheetData>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ectrical"/>
      <sheetName val="Sheet1"/>
    </sheetNames>
    <sheetDataSet>
      <sheetData sheetId="0">
        <row r="28">
          <cell r="E28">
            <v>14820</v>
          </cell>
        </row>
        <row r="30">
          <cell r="E30">
            <v>62027</v>
          </cell>
        </row>
        <row r="31">
          <cell r="G31">
            <v>720512</v>
          </cell>
        </row>
      </sheetData>
      <sheetData sheetId="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
      <sheetName val="analysis"/>
      <sheetName val="Sheet3"/>
    </sheetNames>
    <sheetDataSet>
      <sheetData sheetId="0">
        <row r="6">
          <cell r="G6">
            <v>162192</v>
          </cell>
        </row>
      </sheetData>
      <sheetData sheetId="1"/>
      <sheetData sheetId="2"/>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IVIL 1"/>
      <sheetName val="ANX-7A"/>
    </sheetNames>
    <sheetDataSet>
      <sheetData sheetId="0"/>
      <sheetData sheetId="1">
        <row r="5">
          <cell r="I5">
            <v>30.272760000000005</v>
          </cell>
        </row>
        <row r="45">
          <cell r="J45">
            <v>104.92144888888889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view="pageBreakPreview" topLeftCell="A8" zoomScale="99" zoomScaleNormal="100" workbookViewId="0">
      <selection activeCell="E35" sqref="E35"/>
    </sheetView>
  </sheetViews>
  <sheetFormatPr defaultRowHeight="13.2" x14ac:dyDescent="0.25"/>
  <cols>
    <col min="1" max="7" width="8.88671875" style="21" customWidth="1"/>
    <col min="8" max="8" width="6.33203125" style="21" customWidth="1"/>
    <col min="9" max="9" width="19.109375" style="21" customWidth="1"/>
    <col min="10" max="10" width="12.88671875" style="21" customWidth="1"/>
    <col min="11" max="14" width="8.88671875" style="21" customWidth="1"/>
    <col min="15" max="16384" width="8.88671875" style="21"/>
  </cols>
  <sheetData>
    <row r="1" spans="1:10" x14ac:dyDescent="0.25">
      <c r="A1" s="22"/>
      <c r="B1" s="23"/>
      <c r="C1" s="23"/>
      <c r="D1" s="23"/>
      <c r="E1" s="23"/>
      <c r="F1" s="23"/>
      <c r="G1" s="23"/>
      <c r="H1" s="23"/>
      <c r="I1" s="23"/>
      <c r="J1" s="24"/>
    </row>
    <row r="2" spans="1:10" ht="24.6" customHeight="1" x14ac:dyDescent="0.25">
      <c r="A2" s="486" t="s">
        <v>217</v>
      </c>
      <c r="B2" s="484"/>
      <c r="C2" s="484"/>
      <c r="D2" s="484"/>
      <c r="E2" s="484"/>
      <c r="F2" s="484"/>
      <c r="G2" s="484"/>
      <c r="H2" s="484"/>
      <c r="I2" s="484"/>
      <c r="J2" s="485"/>
    </row>
    <row r="3" spans="1:10" x14ac:dyDescent="0.25">
      <c r="A3" s="25"/>
      <c r="J3" s="26"/>
    </row>
    <row r="4" spans="1:10" ht="24.6" customHeight="1" x14ac:dyDescent="0.25">
      <c r="A4" s="16"/>
      <c r="J4" s="26"/>
    </row>
    <row r="5" spans="1:10" ht="24.6" customHeight="1" x14ac:dyDescent="0.25">
      <c r="A5" s="16"/>
      <c r="J5" s="26"/>
    </row>
    <row r="6" spans="1:10" ht="24.6" customHeight="1" x14ac:dyDescent="0.25">
      <c r="A6" s="16"/>
      <c r="J6" s="26"/>
    </row>
    <row r="7" spans="1:10" ht="24.6" customHeight="1" x14ac:dyDescent="0.25">
      <c r="A7" s="16"/>
      <c r="J7" s="26"/>
    </row>
    <row r="8" spans="1:10" ht="24.6" customHeight="1" x14ac:dyDescent="0.25">
      <c r="A8" s="16"/>
      <c r="J8" s="26"/>
    </row>
    <row r="9" spans="1:10" ht="24.6" customHeight="1" x14ac:dyDescent="0.25">
      <c r="A9" s="16"/>
      <c r="J9" s="26"/>
    </row>
    <row r="10" spans="1:10" ht="24.6" customHeight="1" x14ac:dyDescent="0.25">
      <c r="A10" s="16"/>
      <c r="J10" s="26"/>
    </row>
    <row r="11" spans="1:10" ht="24.6" customHeight="1" x14ac:dyDescent="0.25">
      <c r="A11" s="16"/>
      <c r="J11" s="26"/>
    </row>
    <row r="12" spans="1:10" ht="24.6" customHeight="1" x14ac:dyDescent="0.25">
      <c r="A12" s="16"/>
      <c r="J12" s="26"/>
    </row>
    <row r="13" spans="1:10" ht="24.6" customHeight="1" x14ac:dyDescent="0.25">
      <c r="A13" s="486" t="s">
        <v>218</v>
      </c>
      <c r="B13" s="484"/>
      <c r="C13" s="484"/>
      <c r="D13" s="484"/>
      <c r="E13" s="484"/>
      <c r="F13" s="484"/>
      <c r="G13" s="484"/>
      <c r="H13" s="484"/>
      <c r="I13" s="484"/>
      <c r="J13" s="485"/>
    </row>
    <row r="14" spans="1:10" ht="24.6" customHeight="1" x14ac:dyDescent="0.25">
      <c r="A14" s="486" t="s">
        <v>219</v>
      </c>
      <c r="B14" s="484"/>
      <c r="C14" s="484"/>
      <c r="D14" s="484"/>
      <c r="E14" s="484"/>
      <c r="F14" s="484"/>
      <c r="G14" s="484"/>
      <c r="H14" s="484"/>
      <c r="I14" s="484"/>
      <c r="J14" s="485"/>
    </row>
    <row r="15" spans="1:10" ht="24.6" customHeight="1" x14ac:dyDescent="0.3">
      <c r="A15" s="16"/>
      <c r="B15" s="35"/>
      <c r="C15" s="35"/>
      <c r="D15" s="35"/>
      <c r="J15" s="26"/>
    </row>
    <row r="16" spans="1:10" ht="17.399999999999999" customHeight="1" x14ac:dyDescent="0.3">
      <c r="A16" s="25"/>
      <c r="B16" s="490" t="s">
        <v>220</v>
      </c>
      <c r="C16" s="484"/>
      <c r="D16" s="484"/>
      <c r="E16" s="31" t="s">
        <v>221</v>
      </c>
      <c r="F16" s="492" t="str">
        <f>Report!D3</f>
        <v>Repairing and Renovation of Circuit House at Bokakhat Co District under Golaghat District</v>
      </c>
      <c r="G16" s="484"/>
      <c r="H16" s="484"/>
      <c r="I16" s="484"/>
      <c r="J16" s="485"/>
    </row>
    <row r="17" spans="1:10" ht="17.399999999999999" customHeight="1" x14ac:dyDescent="0.3">
      <c r="A17" s="17"/>
      <c r="B17" s="30"/>
      <c r="C17" s="30"/>
      <c r="D17" s="36"/>
      <c r="E17" s="31"/>
      <c r="F17" s="484"/>
      <c r="G17" s="484"/>
      <c r="H17" s="484"/>
      <c r="I17" s="484"/>
      <c r="J17" s="485"/>
    </row>
    <row r="18" spans="1:10" ht="17.399999999999999" customHeight="1" x14ac:dyDescent="0.3">
      <c r="A18" s="18" t="s">
        <v>222</v>
      </c>
      <c r="B18" s="30"/>
      <c r="C18" s="30"/>
      <c r="D18" s="30"/>
      <c r="E18" s="32"/>
      <c r="F18" s="484"/>
      <c r="G18" s="484"/>
      <c r="H18" s="484"/>
      <c r="I18" s="484"/>
      <c r="J18" s="485"/>
    </row>
    <row r="19" spans="1:10" ht="17.399999999999999" customHeight="1" x14ac:dyDescent="0.25">
      <c r="A19" s="19"/>
      <c r="B19" s="491" t="s">
        <v>223</v>
      </c>
      <c r="C19" s="484"/>
      <c r="D19" s="484"/>
      <c r="E19" s="33" t="s">
        <v>221</v>
      </c>
      <c r="F19" s="487" t="s">
        <v>224</v>
      </c>
      <c r="G19" s="484"/>
      <c r="H19" s="484"/>
      <c r="I19" s="484"/>
      <c r="J19" s="20"/>
    </row>
    <row r="20" spans="1:10" ht="44.4" customHeight="1" x14ac:dyDescent="0.25">
      <c r="A20" s="19"/>
      <c r="B20" s="491" t="s">
        <v>225</v>
      </c>
      <c r="C20" s="484"/>
      <c r="D20" s="484"/>
      <c r="E20" s="33" t="s">
        <v>221</v>
      </c>
      <c r="F20" s="493" t="s">
        <v>226</v>
      </c>
      <c r="G20" s="484"/>
      <c r="H20" s="484"/>
      <c r="I20" s="484"/>
      <c r="J20" s="485"/>
    </row>
    <row r="21" spans="1:10" ht="17.399999999999999" customHeight="1" x14ac:dyDescent="0.25">
      <c r="A21" s="25"/>
      <c r="B21" s="491" t="s">
        <v>227</v>
      </c>
      <c r="C21" s="484"/>
      <c r="D21" s="484"/>
      <c r="E21" s="32" t="s">
        <v>221</v>
      </c>
      <c r="F21" s="489" t="s">
        <v>228</v>
      </c>
      <c r="G21" s="484"/>
      <c r="H21" s="484"/>
      <c r="I21" s="484"/>
      <c r="J21" s="485"/>
    </row>
    <row r="22" spans="1:10" ht="17.399999999999999" customHeight="1" x14ac:dyDescent="0.3">
      <c r="A22" s="19"/>
      <c r="B22" s="30"/>
      <c r="C22" s="30"/>
      <c r="D22" s="30"/>
      <c r="E22" s="34"/>
      <c r="F22" s="484"/>
      <c r="G22" s="484"/>
      <c r="H22" s="484"/>
      <c r="I22" s="484"/>
      <c r="J22" s="485"/>
    </row>
    <row r="23" spans="1:10" ht="17.399999999999999" customHeight="1" x14ac:dyDescent="0.3">
      <c r="A23" s="19"/>
      <c r="B23" s="30"/>
      <c r="C23" s="30"/>
      <c r="D23" s="30"/>
      <c r="E23" s="32"/>
      <c r="F23" s="484"/>
      <c r="G23" s="484"/>
      <c r="H23" s="484"/>
      <c r="I23" s="484"/>
      <c r="J23" s="485"/>
    </row>
    <row r="24" spans="1:10" ht="17.399999999999999" customHeight="1" x14ac:dyDescent="0.3">
      <c r="A24" s="25"/>
      <c r="B24" s="488" t="s">
        <v>229</v>
      </c>
      <c r="C24" s="484"/>
      <c r="D24" s="484"/>
      <c r="E24" s="32" t="s">
        <v>221</v>
      </c>
      <c r="F24" s="494">
        <f>Report!D7</f>
        <v>4623500</v>
      </c>
      <c r="G24" s="484"/>
      <c r="H24" s="484"/>
      <c r="I24" s="484"/>
      <c r="J24" s="26"/>
    </row>
    <row r="25" spans="1:10" ht="15.6" customHeight="1" x14ac:dyDescent="0.3">
      <c r="A25" s="25"/>
      <c r="B25" s="35"/>
      <c r="C25" s="35"/>
      <c r="D25" s="35"/>
      <c r="J25" s="26"/>
    </row>
    <row r="26" spans="1:10" ht="13.2" customHeight="1" x14ac:dyDescent="0.25">
      <c r="A26" s="25"/>
      <c r="B26" s="483" t="str">
        <f>Report!D8</f>
        <v>(Rupees forty eight lakh twenty three thousand five hundred ) only.</v>
      </c>
      <c r="C26" s="484"/>
      <c r="D26" s="484"/>
      <c r="E26" s="484"/>
      <c r="F26" s="484"/>
      <c r="G26" s="484"/>
      <c r="H26" s="484"/>
      <c r="I26" s="484"/>
      <c r="J26" s="485"/>
    </row>
    <row r="27" spans="1:10" ht="13.2" customHeight="1" x14ac:dyDescent="0.25">
      <c r="A27" s="25"/>
      <c r="B27" s="484"/>
      <c r="C27" s="484"/>
      <c r="D27" s="484"/>
      <c r="E27" s="484"/>
      <c r="F27" s="484"/>
      <c r="G27" s="484"/>
      <c r="H27" s="484"/>
      <c r="I27" s="484"/>
      <c r="J27" s="485"/>
    </row>
    <row r="28" spans="1:10" ht="2.4" customHeight="1" x14ac:dyDescent="0.25">
      <c r="A28" s="25"/>
      <c r="B28" s="484"/>
      <c r="C28" s="484"/>
      <c r="D28" s="484"/>
      <c r="E28" s="484"/>
      <c r="F28" s="484"/>
      <c r="G28" s="484"/>
      <c r="H28" s="484"/>
      <c r="I28" s="484"/>
      <c r="J28" s="485"/>
    </row>
    <row r="29" spans="1:10" x14ac:dyDescent="0.25">
      <c r="A29" s="25"/>
      <c r="J29" s="26"/>
    </row>
    <row r="30" spans="1:10" x14ac:dyDescent="0.25">
      <c r="A30" s="25"/>
      <c r="J30" s="26"/>
    </row>
    <row r="31" spans="1:10" x14ac:dyDescent="0.25">
      <c r="A31" s="25"/>
      <c r="J31" s="26"/>
    </row>
    <row r="32" spans="1:10" x14ac:dyDescent="0.25">
      <c r="A32" s="25"/>
      <c r="J32" s="26"/>
    </row>
    <row r="33" spans="1:10" x14ac:dyDescent="0.25">
      <c r="A33" s="25"/>
      <c r="J33" s="26"/>
    </row>
    <row r="34" spans="1:10" x14ac:dyDescent="0.25">
      <c r="A34" s="25"/>
      <c r="J34" s="26"/>
    </row>
    <row r="35" spans="1:10" x14ac:dyDescent="0.25">
      <c r="A35" s="25"/>
      <c r="J35" s="26"/>
    </row>
    <row r="36" spans="1:10" ht="82.8" customHeight="1" x14ac:dyDescent="0.25">
      <c r="A36" s="25"/>
      <c r="J36" s="26"/>
    </row>
    <row r="37" spans="1:10" x14ac:dyDescent="0.25">
      <c r="A37" s="25"/>
      <c r="J37" s="26"/>
    </row>
    <row r="38" spans="1:10" x14ac:dyDescent="0.25">
      <c r="A38" s="25"/>
      <c r="J38" s="26"/>
    </row>
    <row r="39" spans="1:10" x14ac:dyDescent="0.25">
      <c r="A39" s="25"/>
      <c r="J39" s="26"/>
    </row>
    <row r="40" spans="1:10" ht="13.8" customHeight="1" thickBot="1" x14ac:dyDescent="0.3">
      <c r="A40" s="27"/>
      <c r="B40" s="28"/>
      <c r="C40" s="28"/>
      <c r="D40" s="28"/>
      <c r="E40" s="28"/>
      <c r="F40" s="28"/>
      <c r="G40" s="28"/>
      <c r="H40" s="28"/>
      <c r="I40" s="28"/>
      <c r="J40" s="29"/>
    </row>
  </sheetData>
  <mergeCells count="14">
    <mergeCell ref="B26:J28"/>
    <mergeCell ref="A2:J2"/>
    <mergeCell ref="F19:I19"/>
    <mergeCell ref="B24:D24"/>
    <mergeCell ref="A13:J13"/>
    <mergeCell ref="F21:J23"/>
    <mergeCell ref="B16:D16"/>
    <mergeCell ref="B20:D20"/>
    <mergeCell ref="B19:D19"/>
    <mergeCell ref="F16:J18"/>
    <mergeCell ref="A14:J14"/>
    <mergeCell ref="F20:J20"/>
    <mergeCell ref="F24:I24"/>
    <mergeCell ref="B21:D21"/>
  </mergeCells>
  <pageMargins left="0.7" right="0.26" top="0.4" bottom="0.38" header="0.3" footer="0.3"/>
  <pageSetup paperSize="9"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view="pageBreakPreview" zoomScale="117" zoomScaleNormal="115" zoomScaleSheetLayoutView="117" workbookViewId="0">
      <selection activeCell="D7" sqref="D7:F7"/>
    </sheetView>
  </sheetViews>
  <sheetFormatPr defaultRowHeight="13.8" x14ac:dyDescent="0.25"/>
  <cols>
    <col min="1" max="1" width="8.88671875" style="6" customWidth="1"/>
    <col min="2" max="2" width="14.44140625" style="6" customWidth="1"/>
    <col min="3" max="3" width="6.6640625" style="6" customWidth="1"/>
    <col min="4" max="4" width="11.21875" style="6" customWidth="1"/>
    <col min="5" max="5" width="8.88671875" style="6" customWidth="1"/>
    <col min="6" max="6" width="43.88671875" style="6" customWidth="1"/>
    <col min="7" max="10" width="8.88671875" style="6" customWidth="1"/>
    <col min="11" max="16384" width="8.88671875" style="6"/>
  </cols>
  <sheetData>
    <row r="1" spans="1:6" ht="17.399999999999999" customHeight="1" x14ac:dyDescent="0.25">
      <c r="A1" s="495" t="s">
        <v>230</v>
      </c>
      <c r="B1" s="496"/>
      <c r="C1" s="496"/>
      <c r="D1" s="496"/>
      <c r="E1" s="496"/>
      <c r="F1" s="496"/>
    </row>
    <row r="2" spans="1:6" ht="17.399999999999999" customHeight="1" x14ac:dyDescent="0.25">
      <c r="A2" s="5"/>
      <c r="B2" s="7"/>
      <c r="C2" s="7"/>
      <c r="D2" s="7"/>
      <c r="E2" s="8"/>
      <c r="F2" s="8"/>
    </row>
    <row r="3" spans="1:6" ht="44.4" customHeight="1" x14ac:dyDescent="0.25">
      <c r="A3" s="501" t="s">
        <v>220</v>
      </c>
      <c r="B3" s="496"/>
      <c r="C3" s="9" t="s">
        <v>231</v>
      </c>
      <c r="D3" s="501" t="s">
        <v>232</v>
      </c>
      <c r="E3" s="496"/>
      <c r="F3" s="496"/>
    </row>
    <row r="4" spans="1:6" ht="28.8" customHeight="1" x14ac:dyDescent="0.25">
      <c r="A4" s="501" t="s">
        <v>233</v>
      </c>
      <c r="B4" s="496"/>
      <c r="C4" s="9" t="s">
        <v>231</v>
      </c>
      <c r="D4" s="497" t="s">
        <v>224</v>
      </c>
      <c r="E4" s="496"/>
      <c r="F4" s="496"/>
    </row>
    <row r="5" spans="1:6" ht="30.6" customHeight="1" x14ac:dyDescent="0.25">
      <c r="A5" s="501" t="s">
        <v>234</v>
      </c>
      <c r="B5" s="496"/>
      <c r="C5" s="9" t="s">
        <v>231</v>
      </c>
      <c r="D5" s="497" t="s">
        <v>226</v>
      </c>
      <c r="E5" s="496"/>
      <c r="F5" s="496"/>
    </row>
    <row r="6" spans="1:6" ht="36" customHeight="1" x14ac:dyDescent="0.25">
      <c r="A6" s="510" t="s">
        <v>235</v>
      </c>
      <c r="B6" s="496"/>
      <c r="C6" s="9" t="s">
        <v>231</v>
      </c>
      <c r="D6" s="497" t="s">
        <v>236</v>
      </c>
      <c r="E6" s="496"/>
      <c r="F6" s="496"/>
    </row>
    <row r="7" spans="1:6" x14ac:dyDescent="0.25">
      <c r="A7" s="501" t="s">
        <v>237</v>
      </c>
      <c r="B7" s="496"/>
      <c r="C7" s="9" t="s">
        <v>231</v>
      </c>
      <c r="D7" s="509">
        <f>Abstract!G20</f>
        <v>4623500</v>
      </c>
      <c r="E7" s="496"/>
      <c r="F7" s="496"/>
    </row>
    <row r="8" spans="1:6" x14ac:dyDescent="0.25">
      <c r="A8" s="15"/>
      <c r="B8" s="15"/>
      <c r="C8" s="9"/>
      <c r="D8" s="506" t="str">
        <f>Abstract!B22</f>
        <v>(Rupees forty eight lakh twenty three thousand five hundred ) only.</v>
      </c>
      <c r="E8" s="496"/>
      <c r="F8" s="496"/>
    </row>
    <row r="9" spans="1:6" x14ac:dyDescent="0.25">
      <c r="A9" s="9"/>
      <c r="B9" s="9"/>
      <c r="C9" s="9"/>
      <c r="D9" s="10"/>
      <c r="E9" s="10"/>
      <c r="F9" s="10"/>
    </row>
    <row r="10" spans="1:6" x14ac:dyDescent="0.25">
      <c r="A10" s="3"/>
      <c r="B10" s="3"/>
      <c r="C10" s="3"/>
      <c r="D10" s="3"/>
      <c r="E10" s="3"/>
      <c r="F10" s="3"/>
    </row>
    <row r="11" spans="1:6" s="14" customFormat="1" ht="30" customHeight="1" x14ac:dyDescent="0.25">
      <c r="A11" s="499" t="s">
        <v>238</v>
      </c>
      <c r="B11" s="504"/>
      <c r="C11" s="504"/>
      <c r="D11" s="504"/>
      <c r="E11" s="504"/>
      <c r="F11" s="504"/>
    </row>
    <row r="12" spans="1:6" x14ac:dyDescent="0.25">
      <c r="A12" s="2"/>
      <c r="B12" s="2"/>
      <c r="C12" s="2"/>
      <c r="D12" s="2"/>
      <c r="E12" s="2"/>
      <c r="F12" s="2"/>
    </row>
    <row r="13" spans="1:6" ht="17.399999999999999" customHeight="1" x14ac:dyDescent="0.3">
      <c r="A13" s="500" t="s">
        <v>239</v>
      </c>
      <c r="B13" s="496"/>
      <c r="C13" s="496"/>
      <c r="D13" s="496"/>
      <c r="E13" s="496"/>
      <c r="F13" s="496"/>
    </row>
    <row r="14" spans="1:6" x14ac:dyDescent="0.25">
      <c r="A14" s="2"/>
      <c r="B14" s="2"/>
      <c r="C14" s="2"/>
      <c r="D14" s="11"/>
      <c r="E14" s="2"/>
      <c r="F14" s="2"/>
    </row>
    <row r="15" spans="1:6" ht="65.400000000000006" customHeight="1" x14ac:dyDescent="0.25">
      <c r="A15" s="503" t="str">
        <f>"                  The estimate amounting to Rs. "&amp;TEXT(D7,"#,##0.00")&amp;" "&amp;D8&amp;" "&amp;"has been prepared to show the probable cost for work for """&amp;D3&amp;"""" &amp; "This estimate is prepared as per letter received from Co-District Commissioner, Bokakhat vide No- BNZ.5/2026/, dtd 09/09/2026."</f>
        <v xml:space="preserve">                  The estimate amounting to Rs. 46,23,500.00 (Rupees forty eight lakh twenty three thousand five hundred ) only. has been prepared to show the probable cost for work for "Repairing and Renovation of Circuit House at Bokakhat Co District under Golaghat District"This estimate is prepared as per letter received from Co-District Commissioner, Bokakhat vide No- BNZ.5/2026/, dtd 09/09/2026.</v>
      </c>
      <c r="B15" s="496"/>
      <c r="C15" s="496"/>
      <c r="D15" s="496"/>
      <c r="E15" s="496"/>
      <c r="F15" s="496"/>
    </row>
    <row r="16" spans="1:6" x14ac:dyDescent="0.25">
      <c r="A16" s="511" t="s">
        <v>240</v>
      </c>
      <c r="B16" s="496"/>
      <c r="C16" s="13"/>
      <c r="D16" s="13"/>
      <c r="E16" s="13"/>
      <c r="F16" s="13"/>
    </row>
    <row r="17" spans="1:6" x14ac:dyDescent="0.25">
      <c r="B17" s="3" t="s">
        <v>241</v>
      </c>
      <c r="C17" s="3"/>
      <c r="D17" s="3"/>
      <c r="E17" s="13"/>
      <c r="F17" s="13"/>
    </row>
    <row r="18" spans="1:6" x14ac:dyDescent="0.25">
      <c r="A18" s="505"/>
      <c r="B18" s="496"/>
      <c r="C18" s="13"/>
      <c r="D18" s="13"/>
      <c r="E18" s="13"/>
      <c r="F18" s="13"/>
    </row>
    <row r="19" spans="1:6" x14ac:dyDescent="0.25">
      <c r="A19" s="499" t="s">
        <v>242</v>
      </c>
      <c r="B19" s="496"/>
      <c r="C19" s="496"/>
      <c r="D19" s="496"/>
      <c r="E19" s="496"/>
      <c r="F19" s="496"/>
    </row>
    <row r="20" spans="1:6" x14ac:dyDescent="0.25">
      <c r="A20" s="496"/>
      <c r="B20" s="496"/>
      <c r="C20" s="496"/>
      <c r="D20" s="496"/>
      <c r="E20" s="496"/>
      <c r="F20" s="496"/>
    </row>
    <row r="21" spans="1:6" ht="63.6" customHeight="1" x14ac:dyDescent="0.25">
      <c r="A21" s="496"/>
      <c r="B21" s="496"/>
      <c r="C21" s="496"/>
      <c r="D21" s="496"/>
      <c r="E21" s="496"/>
      <c r="F21" s="496"/>
    </row>
    <row r="22" spans="1:6" x14ac:dyDescent="0.25">
      <c r="A22" s="13"/>
      <c r="B22" s="12"/>
      <c r="C22" s="13"/>
      <c r="D22" s="13"/>
      <c r="E22" s="13"/>
      <c r="F22" s="13"/>
    </row>
    <row r="23" spans="1:6" x14ac:dyDescent="0.25">
      <c r="A23" s="502" t="s">
        <v>243</v>
      </c>
      <c r="B23" s="496"/>
      <c r="D23" s="13"/>
      <c r="E23" s="13"/>
      <c r="F23" s="13"/>
    </row>
    <row r="24" spans="1:6" x14ac:dyDescent="0.25">
      <c r="A24" s="507" t="s">
        <v>244</v>
      </c>
      <c r="B24" s="496"/>
      <c r="C24" s="496"/>
      <c r="D24" s="496"/>
      <c r="E24" s="496"/>
      <c r="F24" s="13"/>
    </row>
    <row r="25" spans="1:6" ht="29.4" customHeight="1" x14ac:dyDescent="0.25">
      <c r="A25" s="498" t="s">
        <v>245</v>
      </c>
      <c r="B25" s="496"/>
      <c r="C25" s="496"/>
      <c r="D25" s="496"/>
      <c r="E25" s="496"/>
      <c r="F25" s="496"/>
    </row>
    <row r="26" spans="1:6" x14ac:dyDescent="0.25">
      <c r="A26" s="267" t="s">
        <v>246</v>
      </c>
      <c r="B26" s="267"/>
      <c r="C26" s="267"/>
      <c r="D26" s="267"/>
      <c r="E26" s="267"/>
      <c r="F26" s="267"/>
    </row>
    <row r="27" spans="1:6" ht="22.8" customHeight="1" x14ac:dyDescent="0.25">
      <c r="A27" s="508" t="s">
        <v>247</v>
      </c>
      <c r="B27" s="496"/>
      <c r="C27" s="496"/>
      <c r="D27" s="496"/>
      <c r="E27" s="496"/>
      <c r="F27" s="496"/>
    </row>
    <row r="28" spans="1:6" ht="22.8" customHeight="1" x14ac:dyDescent="0.25">
      <c r="A28" s="267" t="s">
        <v>248</v>
      </c>
      <c r="B28" s="267"/>
      <c r="C28" s="267"/>
      <c r="D28" s="267"/>
      <c r="E28" s="267"/>
      <c r="F28" s="267"/>
    </row>
    <row r="29" spans="1:6" ht="61.8" customHeight="1" x14ac:dyDescent="0.25">
      <c r="A29" s="499" t="s">
        <v>249</v>
      </c>
      <c r="B29" s="496"/>
      <c r="C29" s="496"/>
      <c r="D29" s="496"/>
      <c r="E29" s="496"/>
      <c r="F29" s="496"/>
    </row>
  </sheetData>
  <mergeCells count="23">
    <mergeCell ref="A4:B4"/>
    <mergeCell ref="A24:E24"/>
    <mergeCell ref="A27:F27"/>
    <mergeCell ref="D7:F7"/>
    <mergeCell ref="A6:B6"/>
    <mergeCell ref="A16:B16"/>
    <mergeCell ref="A7:B7"/>
    <mergeCell ref="A1:F1"/>
    <mergeCell ref="D6:F6"/>
    <mergeCell ref="A25:F25"/>
    <mergeCell ref="A29:F29"/>
    <mergeCell ref="D5:F5"/>
    <mergeCell ref="A13:F13"/>
    <mergeCell ref="A5:B5"/>
    <mergeCell ref="A23:B23"/>
    <mergeCell ref="A15:F15"/>
    <mergeCell ref="A19:F21"/>
    <mergeCell ref="A11:F11"/>
    <mergeCell ref="D4:F4"/>
    <mergeCell ref="D3:F3"/>
    <mergeCell ref="A18:B18"/>
    <mergeCell ref="D8:F8"/>
    <mergeCell ref="A3:B3"/>
  </mergeCells>
  <pageMargins left="0.7" right="0.26" top="0.4" bottom="0.38" header="0.3" footer="0.3"/>
  <pageSetup paperSize="9" orientation="portrait" horizont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EE39"/>
  <sheetViews>
    <sheetView tabSelected="1" view="pageBreakPreview" topLeftCell="A9" zoomScale="112" zoomScaleNormal="100" zoomScaleSheetLayoutView="79" workbookViewId="0">
      <selection activeCell="H9" sqref="H9"/>
    </sheetView>
  </sheetViews>
  <sheetFormatPr defaultRowHeight="18" x14ac:dyDescent="0.35"/>
  <cols>
    <col min="1" max="1" width="4.44140625" style="82" customWidth="1"/>
    <col min="2" max="2" width="25.21875" style="82" customWidth="1"/>
    <col min="3" max="3" width="9" style="82" customWidth="1"/>
    <col min="4" max="4" width="7.44140625" style="82" customWidth="1"/>
    <col min="5" max="5" width="16.33203125" style="82" customWidth="1"/>
    <col min="6" max="6" width="4.6640625" style="96" customWidth="1"/>
    <col min="7" max="7" width="24" style="82" customWidth="1"/>
    <col min="8" max="8" width="23.109375" style="82" customWidth="1"/>
    <col min="9" max="9" width="24.33203125" style="82" customWidth="1"/>
    <col min="10" max="256" width="8.88671875" style="82" customWidth="1"/>
    <col min="257" max="257" width="12.44140625" style="82" customWidth="1"/>
    <col min="258" max="258" width="38.5546875" style="82" customWidth="1"/>
    <col min="259" max="259" width="9" style="82" customWidth="1"/>
    <col min="260" max="260" width="7.44140625" style="82" customWidth="1"/>
    <col min="261" max="261" width="7.33203125" style="82" customWidth="1"/>
    <col min="262" max="262" width="5.6640625" style="82" customWidth="1"/>
    <col min="263" max="263" width="21.109375" style="82" customWidth="1"/>
    <col min="264" max="264" width="13.44140625" style="82" customWidth="1"/>
    <col min="265" max="265" width="11.33203125" style="82" customWidth="1"/>
    <col min="266" max="512" width="8.88671875" style="82" customWidth="1"/>
    <col min="513" max="513" width="12.44140625" style="82" customWidth="1"/>
    <col min="514" max="514" width="38.5546875" style="82" customWidth="1"/>
    <col min="515" max="515" width="9" style="82" customWidth="1"/>
    <col min="516" max="516" width="7.44140625" style="82" customWidth="1"/>
    <col min="517" max="517" width="7.33203125" style="82" customWidth="1"/>
    <col min="518" max="518" width="5.6640625" style="82" customWidth="1"/>
    <col min="519" max="519" width="21.109375" style="82" customWidth="1"/>
    <col min="520" max="520" width="13.44140625" style="82" customWidth="1"/>
    <col min="521" max="521" width="11.33203125" style="82" customWidth="1"/>
    <col min="522" max="768" width="8.88671875" style="82" customWidth="1"/>
    <col min="769" max="769" width="12.44140625" style="82" customWidth="1"/>
    <col min="770" max="770" width="38.5546875" style="82" customWidth="1"/>
    <col min="771" max="771" width="9" style="82" customWidth="1"/>
    <col min="772" max="772" width="7.44140625" style="82" customWidth="1"/>
    <col min="773" max="773" width="7.33203125" style="82" customWidth="1"/>
    <col min="774" max="774" width="5.6640625" style="82" customWidth="1"/>
    <col min="775" max="775" width="21.109375" style="82" customWidth="1"/>
    <col min="776" max="776" width="13.44140625" style="82" customWidth="1"/>
    <col min="777" max="777" width="11.33203125" style="82" customWidth="1"/>
    <col min="778" max="1024" width="8.88671875" style="82" customWidth="1"/>
    <col min="1025" max="1025" width="12.44140625" style="82" customWidth="1"/>
    <col min="1026" max="1026" width="38.5546875" style="82" customWidth="1"/>
    <col min="1027" max="1027" width="9" style="82" customWidth="1"/>
    <col min="1028" max="1028" width="7.44140625" style="82" customWidth="1"/>
    <col min="1029" max="1029" width="7.33203125" style="82" customWidth="1"/>
    <col min="1030" max="1030" width="5.6640625" style="82" customWidth="1"/>
    <col min="1031" max="1031" width="21.109375" style="82" customWidth="1"/>
    <col min="1032" max="1032" width="13.44140625" style="82" customWidth="1"/>
    <col min="1033" max="1033" width="11.33203125" style="82" customWidth="1"/>
    <col min="1034" max="1280" width="8.88671875" style="82" customWidth="1"/>
    <col min="1281" max="1281" width="12.44140625" style="82" customWidth="1"/>
    <col min="1282" max="1282" width="38.5546875" style="82" customWidth="1"/>
    <col min="1283" max="1283" width="9" style="82" customWidth="1"/>
    <col min="1284" max="1284" width="7.44140625" style="82" customWidth="1"/>
    <col min="1285" max="1285" width="7.33203125" style="82" customWidth="1"/>
    <col min="1286" max="1286" width="5.6640625" style="82" customWidth="1"/>
    <col min="1287" max="1287" width="21.109375" style="82" customWidth="1"/>
    <col min="1288" max="1288" width="13.44140625" style="82" customWidth="1"/>
    <col min="1289" max="1289" width="11.33203125" style="82" customWidth="1"/>
    <col min="1290" max="1536" width="8.88671875" style="82" customWidth="1"/>
    <col min="1537" max="1537" width="12.44140625" style="82" customWidth="1"/>
    <col min="1538" max="1538" width="38.5546875" style="82" customWidth="1"/>
    <col min="1539" max="1539" width="9" style="82" customWidth="1"/>
    <col min="1540" max="1540" width="7.44140625" style="82" customWidth="1"/>
    <col min="1541" max="1541" width="7.33203125" style="82" customWidth="1"/>
    <col min="1542" max="1542" width="5.6640625" style="82" customWidth="1"/>
    <col min="1543" max="1543" width="21.109375" style="82" customWidth="1"/>
    <col min="1544" max="1544" width="13.44140625" style="82" customWidth="1"/>
    <col min="1545" max="1545" width="11.33203125" style="82" customWidth="1"/>
    <col min="1546" max="1792" width="8.88671875" style="82" customWidth="1"/>
    <col min="1793" max="1793" width="12.44140625" style="82" customWidth="1"/>
    <col min="1794" max="1794" width="38.5546875" style="82" customWidth="1"/>
    <col min="1795" max="1795" width="9" style="82" customWidth="1"/>
    <col min="1796" max="1796" width="7.44140625" style="82" customWidth="1"/>
    <col min="1797" max="1797" width="7.33203125" style="82" customWidth="1"/>
    <col min="1798" max="1798" width="5.6640625" style="82" customWidth="1"/>
    <col min="1799" max="1799" width="21.109375" style="82" customWidth="1"/>
    <col min="1800" max="1800" width="13.44140625" style="82" customWidth="1"/>
    <col min="1801" max="1801" width="11.33203125" style="82" customWidth="1"/>
    <col min="1802" max="2048" width="8.88671875" style="82" customWidth="1"/>
    <col min="2049" max="2049" width="12.44140625" style="82" customWidth="1"/>
    <col min="2050" max="2050" width="38.5546875" style="82" customWidth="1"/>
    <col min="2051" max="2051" width="9" style="82" customWidth="1"/>
    <col min="2052" max="2052" width="7.44140625" style="82" customWidth="1"/>
    <col min="2053" max="2053" width="7.33203125" style="82" customWidth="1"/>
    <col min="2054" max="2054" width="5.6640625" style="82" customWidth="1"/>
    <col min="2055" max="2055" width="21.109375" style="82" customWidth="1"/>
    <col min="2056" max="2056" width="13.44140625" style="82" customWidth="1"/>
    <col min="2057" max="2057" width="11.33203125" style="82" customWidth="1"/>
    <col min="2058" max="2304" width="8.88671875" style="82" customWidth="1"/>
    <col min="2305" max="2305" width="12.44140625" style="82" customWidth="1"/>
    <col min="2306" max="2306" width="38.5546875" style="82" customWidth="1"/>
    <col min="2307" max="2307" width="9" style="82" customWidth="1"/>
    <col min="2308" max="2308" width="7.44140625" style="82" customWidth="1"/>
    <col min="2309" max="2309" width="7.33203125" style="82" customWidth="1"/>
    <col min="2310" max="2310" width="5.6640625" style="82" customWidth="1"/>
    <col min="2311" max="2311" width="21.109375" style="82" customWidth="1"/>
    <col min="2312" max="2312" width="13.44140625" style="82" customWidth="1"/>
    <col min="2313" max="2313" width="11.33203125" style="82" customWidth="1"/>
    <col min="2314" max="2560" width="8.88671875" style="82" customWidth="1"/>
    <col min="2561" max="2561" width="12.44140625" style="82" customWidth="1"/>
    <col min="2562" max="2562" width="38.5546875" style="82" customWidth="1"/>
    <col min="2563" max="2563" width="9" style="82" customWidth="1"/>
    <col min="2564" max="2564" width="7.44140625" style="82" customWidth="1"/>
    <col min="2565" max="2565" width="7.33203125" style="82" customWidth="1"/>
    <col min="2566" max="2566" width="5.6640625" style="82" customWidth="1"/>
    <col min="2567" max="2567" width="21.109375" style="82" customWidth="1"/>
    <col min="2568" max="2568" width="13.44140625" style="82" customWidth="1"/>
    <col min="2569" max="2569" width="11.33203125" style="82" customWidth="1"/>
    <col min="2570" max="2816" width="8.88671875" style="82" customWidth="1"/>
    <col min="2817" max="2817" width="12.44140625" style="82" customWidth="1"/>
    <col min="2818" max="2818" width="38.5546875" style="82" customWidth="1"/>
    <col min="2819" max="2819" width="9" style="82" customWidth="1"/>
    <col min="2820" max="2820" width="7.44140625" style="82" customWidth="1"/>
    <col min="2821" max="2821" width="7.33203125" style="82" customWidth="1"/>
    <col min="2822" max="2822" width="5.6640625" style="82" customWidth="1"/>
    <col min="2823" max="2823" width="21.109375" style="82" customWidth="1"/>
    <col min="2824" max="2824" width="13.44140625" style="82" customWidth="1"/>
    <col min="2825" max="2825" width="11.33203125" style="82" customWidth="1"/>
    <col min="2826" max="3072" width="8.88671875" style="82" customWidth="1"/>
    <col min="3073" max="3073" width="12.44140625" style="82" customWidth="1"/>
    <col min="3074" max="3074" width="38.5546875" style="82" customWidth="1"/>
    <col min="3075" max="3075" width="9" style="82" customWidth="1"/>
    <col min="3076" max="3076" width="7.44140625" style="82" customWidth="1"/>
    <col min="3077" max="3077" width="7.33203125" style="82" customWidth="1"/>
    <col min="3078" max="3078" width="5.6640625" style="82" customWidth="1"/>
    <col min="3079" max="3079" width="21.109375" style="82" customWidth="1"/>
    <col min="3080" max="3080" width="13.44140625" style="82" customWidth="1"/>
    <col min="3081" max="3081" width="11.33203125" style="82" customWidth="1"/>
    <col min="3082" max="3328" width="8.88671875" style="82" customWidth="1"/>
    <col min="3329" max="3329" width="12.44140625" style="82" customWidth="1"/>
    <col min="3330" max="3330" width="38.5546875" style="82" customWidth="1"/>
    <col min="3331" max="3331" width="9" style="82" customWidth="1"/>
    <col min="3332" max="3332" width="7.44140625" style="82" customWidth="1"/>
    <col min="3333" max="3333" width="7.33203125" style="82" customWidth="1"/>
    <col min="3334" max="3334" width="5.6640625" style="82" customWidth="1"/>
    <col min="3335" max="3335" width="21.109375" style="82" customWidth="1"/>
    <col min="3336" max="3336" width="13.44140625" style="82" customWidth="1"/>
    <col min="3337" max="3337" width="11.33203125" style="82" customWidth="1"/>
    <col min="3338" max="3584" width="8.88671875" style="82" customWidth="1"/>
    <col min="3585" max="3585" width="12.44140625" style="82" customWidth="1"/>
    <col min="3586" max="3586" width="38.5546875" style="82" customWidth="1"/>
    <col min="3587" max="3587" width="9" style="82" customWidth="1"/>
    <col min="3588" max="3588" width="7.44140625" style="82" customWidth="1"/>
    <col min="3589" max="3589" width="7.33203125" style="82" customWidth="1"/>
    <col min="3590" max="3590" width="5.6640625" style="82" customWidth="1"/>
    <col min="3591" max="3591" width="21.109375" style="82" customWidth="1"/>
    <col min="3592" max="3592" width="13.44140625" style="82" customWidth="1"/>
    <col min="3593" max="3593" width="11.33203125" style="82" customWidth="1"/>
    <col min="3594" max="3840" width="8.88671875" style="82" customWidth="1"/>
    <col min="3841" max="3841" width="12.44140625" style="82" customWidth="1"/>
    <col min="3842" max="3842" width="38.5546875" style="82" customWidth="1"/>
    <col min="3843" max="3843" width="9" style="82" customWidth="1"/>
    <col min="3844" max="3844" width="7.44140625" style="82" customWidth="1"/>
    <col min="3845" max="3845" width="7.33203125" style="82" customWidth="1"/>
    <col min="3846" max="3846" width="5.6640625" style="82" customWidth="1"/>
    <col min="3847" max="3847" width="21.109375" style="82" customWidth="1"/>
    <col min="3848" max="3848" width="13.44140625" style="82" customWidth="1"/>
    <col min="3849" max="3849" width="11.33203125" style="82" customWidth="1"/>
    <col min="3850" max="4096" width="8.88671875" style="82" customWidth="1"/>
    <col min="4097" max="4097" width="12.44140625" style="82" customWidth="1"/>
    <col min="4098" max="4098" width="38.5546875" style="82" customWidth="1"/>
    <col min="4099" max="4099" width="9" style="82" customWidth="1"/>
    <col min="4100" max="4100" width="7.44140625" style="82" customWidth="1"/>
    <col min="4101" max="4101" width="7.33203125" style="82" customWidth="1"/>
    <col min="4102" max="4102" width="5.6640625" style="82" customWidth="1"/>
    <col min="4103" max="4103" width="21.109375" style="82" customWidth="1"/>
    <col min="4104" max="4104" width="13.44140625" style="82" customWidth="1"/>
    <col min="4105" max="4105" width="11.33203125" style="82" customWidth="1"/>
    <col min="4106" max="4352" width="8.88671875" style="82" customWidth="1"/>
    <col min="4353" max="4353" width="12.44140625" style="82" customWidth="1"/>
    <col min="4354" max="4354" width="38.5546875" style="82" customWidth="1"/>
    <col min="4355" max="4355" width="9" style="82" customWidth="1"/>
    <col min="4356" max="4356" width="7.44140625" style="82" customWidth="1"/>
    <col min="4357" max="4357" width="7.33203125" style="82" customWidth="1"/>
    <col min="4358" max="4358" width="5.6640625" style="82" customWidth="1"/>
    <col min="4359" max="4359" width="21.109375" style="82" customWidth="1"/>
    <col min="4360" max="4360" width="13.44140625" style="82" customWidth="1"/>
    <col min="4361" max="4361" width="11.33203125" style="82" customWidth="1"/>
    <col min="4362" max="4608" width="8.88671875" style="82" customWidth="1"/>
    <col min="4609" max="4609" width="12.44140625" style="82" customWidth="1"/>
    <col min="4610" max="4610" width="38.5546875" style="82" customWidth="1"/>
    <col min="4611" max="4611" width="9" style="82" customWidth="1"/>
    <col min="4612" max="4612" width="7.44140625" style="82" customWidth="1"/>
    <col min="4613" max="4613" width="7.33203125" style="82" customWidth="1"/>
    <col min="4614" max="4614" width="5.6640625" style="82" customWidth="1"/>
    <col min="4615" max="4615" width="21.109375" style="82" customWidth="1"/>
    <col min="4616" max="4616" width="13.44140625" style="82" customWidth="1"/>
    <col min="4617" max="4617" width="11.33203125" style="82" customWidth="1"/>
    <col min="4618" max="4864" width="8.88671875" style="82" customWidth="1"/>
    <col min="4865" max="4865" width="12.44140625" style="82" customWidth="1"/>
    <col min="4866" max="4866" width="38.5546875" style="82" customWidth="1"/>
    <col min="4867" max="4867" width="9" style="82" customWidth="1"/>
    <col min="4868" max="4868" width="7.44140625" style="82" customWidth="1"/>
    <col min="4869" max="4869" width="7.33203125" style="82" customWidth="1"/>
    <col min="4870" max="4870" width="5.6640625" style="82" customWidth="1"/>
    <col min="4871" max="4871" width="21.109375" style="82" customWidth="1"/>
    <col min="4872" max="4872" width="13.44140625" style="82" customWidth="1"/>
    <col min="4873" max="4873" width="11.33203125" style="82" customWidth="1"/>
    <col min="4874" max="5120" width="8.88671875" style="82" customWidth="1"/>
    <col min="5121" max="5121" width="12.44140625" style="82" customWidth="1"/>
    <col min="5122" max="5122" width="38.5546875" style="82" customWidth="1"/>
    <col min="5123" max="5123" width="9" style="82" customWidth="1"/>
    <col min="5124" max="5124" width="7.44140625" style="82" customWidth="1"/>
    <col min="5125" max="5125" width="7.33203125" style="82" customWidth="1"/>
    <col min="5126" max="5126" width="5.6640625" style="82" customWidth="1"/>
    <col min="5127" max="5127" width="21.109375" style="82" customWidth="1"/>
    <col min="5128" max="5128" width="13.44140625" style="82" customWidth="1"/>
    <col min="5129" max="5129" width="11.33203125" style="82" customWidth="1"/>
    <col min="5130" max="5376" width="8.88671875" style="82" customWidth="1"/>
    <col min="5377" max="5377" width="12.44140625" style="82" customWidth="1"/>
    <col min="5378" max="5378" width="38.5546875" style="82" customWidth="1"/>
    <col min="5379" max="5379" width="9" style="82" customWidth="1"/>
    <col min="5380" max="5380" width="7.44140625" style="82" customWidth="1"/>
    <col min="5381" max="5381" width="7.33203125" style="82" customWidth="1"/>
    <col min="5382" max="5382" width="5.6640625" style="82" customWidth="1"/>
    <col min="5383" max="5383" width="21.109375" style="82" customWidth="1"/>
    <col min="5384" max="5384" width="13.44140625" style="82" customWidth="1"/>
    <col min="5385" max="5385" width="11.33203125" style="82" customWidth="1"/>
    <col min="5386" max="5632" width="8.88671875" style="82" customWidth="1"/>
    <col min="5633" max="5633" width="12.44140625" style="82" customWidth="1"/>
    <col min="5634" max="5634" width="38.5546875" style="82" customWidth="1"/>
    <col min="5635" max="5635" width="9" style="82" customWidth="1"/>
    <col min="5636" max="5636" width="7.44140625" style="82" customWidth="1"/>
    <col min="5637" max="5637" width="7.33203125" style="82" customWidth="1"/>
    <col min="5638" max="5638" width="5.6640625" style="82" customWidth="1"/>
    <col min="5639" max="5639" width="21.109375" style="82" customWidth="1"/>
    <col min="5640" max="5640" width="13.44140625" style="82" customWidth="1"/>
    <col min="5641" max="5641" width="11.33203125" style="82" customWidth="1"/>
    <col min="5642" max="5888" width="8.88671875" style="82" customWidth="1"/>
    <col min="5889" max="5889" width="12.44140625" style="82" customWidth="1"/>
    <col min="5890" max="5890" width="38.5546875" style="82" customWidth="1"/>
    <col min="5891" max="5891" width="9" style="82" customWidth="1"/>
    <col min="5892" max="5892" width="7.44140625" style="82" customWidth="1"/>
    <col min="5893" max="5893" width="7.33203125" style="82" customWidth="1"/>
    <col min="5894" max="5894" width="5.6640625" style="82" customWidth="1"/>
    <col min="5895" max="5895" width="21.109375" style="82" customWidth="1"/>
    <col min="5896" max="5896" width="13.44140625" style="82" customWidth="1"/>
    <col min="5897" max="5897" width="11.33203125" style="82" customWidth="1"/>
    <col min="5898" max="6144" width="8.88671875" style="82" customWidth="1"/>
    <col min="6145" max="6145" width="12.44140625" style="82" customWidth="1"/>
    <col min="6146" max="6146" width="38.5546875" style="82" customWidth="1"/>
    <col min="6147" max="6147" width="9" style="82" customWidth="1"/>
    <col min="6148" max="6148" width="7.44140625" style="82" customWidth="1"/>
    <col min="6149" max="6149" width="7.33203125" style="82" customWidth="1"/>
    <col min="6150" max="6150" width="5.6640625" style="82" customWidth="1"/>
    <col min="6151" max="6151" width="21.109375" style="82" customWidth="1"/>
    <col min="6152" max="6152" width="13.44140625" style="82" customWidth="1"/>
    <col min="6153" max="6153" width="11.33203125" style="82" customWidth="1"/>
    <col min="6154" max="6400" width="8.88671875" style="82" customWidth="1"/>
    <col min="6401" max="6401" width="12.44140625" style="82" customWidth="1"/>
    <col min="6402" max="6402" width="38.5546875" style="82" customWidth="1"/>
    <col min="6403" max="6403" width="9" style="82" customWidth="1"/>
    <col min="6404" max="6404" width="7.44140625" style="82" customWidth="1"/>
    <col min="6405" max="6405" width="7.33203125" style="82" customWidth="1"/>
    <col min="6406" max="6406" width="5.6640625" style="82" customWidth="1"/>
    <col min="6407" max="6407" width="21.109375" style="82" customWidth="1"/>
    <col min="6408" max="6408" width="13.44140625" style="82" customWidth="1"/>
    <col min="6409" max="6409" width="11.33203125" style="82" customWidth="1"/>
    <col min="6410" max="6656" width="8.88671875" style="82" customWidth="1"/>
    <col min="6657" max="6657" width="12.44140625" style="82" customWidth="1"/>
    <col min="6658" max="6658" width="38.5546875" style="82" customWidth="1"/>
    <col min="6659" max="6659" width="9" style="82" customWidth="1"/>
    <col min="6660" max="6660" width="7.44140625" style="82" customWidth="1"/>
    <col min="6661" max="6661" width="7.33203125" style="82" customWidth="1"/>
    <col min="6662" max="6662" width="5.6640625" style="82" customWidth="1"/>
    <col min="6663" max="6663" width="21.109375" style="82" customWidth="1"/>
    <col min="6664" max="6664" width="13.44140625" style="82" customWidth="1"/>
    <col min="6665" max="6665" width="11.33203125" style="82" customWidth="1"/>
    <col min="6666" max="6912" width="8.88671875" style="82" customWidth="1"/>
    <col min="6913" max="6913" width="12.44140625" style="82" customWidth="1"/>
    <col min="6914" max="6914" width="38.5546875" style="82" customWidth="1"/>
    <col min="6915" max="6915" width="9" style="82" customWidth="1"/>
    <col min="6916" max="6916" width="7.44140625" style="82" customWidth="1"/>
    <col min="6917" max="6917" width="7.33203125" style="82" customWidth="1"/>
    <col min="6918" max="6918" width="5.6640625" style="82" customWidth="1"/>
    <col min="6919" max="6919" width="21.109375" style="82" customWidth="1"/>
    <col min="6920" max="6920" width="13.44140625" style="82" customWidth="1"/>
    <col min="6921" max="6921" width="11.33203125" style="82" customWidth="1"/>
    <col min="6922" max="7168" width="8.88671875" style="82" customWidth="1"/>
    <col min="7169" max="7169" width="12.44140625" style="82" customWidth="1"/>
    <col min="7170" max="7170" width="38.5546875" style="82" customWidth="1"/>
    <col min="7171" max="7171" width="9" style="82" customWidth="1"/>
    <col min="7172" max="7172" width="7.44140625" style="82" customWidth="1"/>
    <col min="7173" max="7173" width="7.33203125" style="82" customWidth="1"/>
    <col min="7174" max="7174" width="5.6640625" style="82" customWidth="1"/>
    <col min="7175" max="7175" width="21.109375" style="82" customWidth="1"/>
    <col min="7176" max="7176" width="13.44140625" style="82" customWidth="1"/>
    <col min="7177" max="7177" width="11.33203125" style="82" customWidth="1"/>
    <col min="7178" max="7424" width="8.88671875" style="82" customWidth="1"/>
    <col min="7425" max="7425" width="12.44140625" style="82" customWidth="1"/>
    <col min="7426" max="7426" width="38.5546875" style="82" customWidth="1"/>
    <col min="7427" max="7427" width="9" style="82" customWidth="1"/>
    <col min="7428" max="7428" width="7.44140625" style="82" customWidth="1"/>
    <col min="7429" max="7429" width="7.33203125" style="82" customWidth="1"/>
    <col min="7430" max="7430" width="5.6640625" style="82" customWidth="1"/>
    <col min="7431" max="7431" width="21.109375" style="82" customWidth="1"/>
    <col min="7432" max="7432" width="13.44140625" style="82" customWidth="1"/>
    <col min="7433" max="7433" width="11.33203125" style="82" customWidth="1"/>
    <col min="7434" max="7680" width="8.88671875" style="82" customWidth="1"/>
    <col min="7681" max="7681" width="12.44140625" style="82" customWidth="1"/>
    <col min="7682" max="7682" width="38.5546875" style="82" customWidth="1"/>
    <col min="7683" max="7683" width="9" style="82" customWidth="1"/>
    <col min="7684" max="7684" width="7.44140625" style="82" customWidth="1"/>
    <col min="7685" max="7685" width="7.33203125" style="82" customWidth="1"/>
    <col min="7686" max="7686" width="5.6640625" style="82" customWidth="1"/>
    <col min="7687" max="7687" width="21.109375" style="82" customWidth="1"/>
    <col min="7688" max="7688" width="13.44140625" style="82" customWidth="1"/>
    <col min="7689" max="7689" width="11.33203125" style="82" customWidth="1"/>
    <col min="7690" max="7936" width="8.88671875" style="82" customWidth="1"/>
    <col min="7937" max="7937" width="12.44140625" style="82" customWidth="1"/>
    <col min="7938" max="7938" width="38.5546875" style="82" customWidth="1"/>
    <col min="7939" max="7939" width="9" style="82" customWidth="1"/>
    <col min="7940" max="7940" width="7.44140625" style="82" customWidth="1"/>
    <col min="7941" max="7941" width="7.33203125" style="82" customWidth="1"/>
    <col min="7942" max="7942" width="5.6640625" style="82" customWidth="1"/>
    <col min="7943" max="7943" width="21.109375" style="82" customWidth="1"/>
    <col min="7944" max="7944" width="13.44140625" style="82" customWidth="1"/>
    <col min="7945" max="7945" width="11.33203125" style="82" customWidth="1"/>
    <col min="7946" max="8192" width="8.88671875" style="82" customWidth="1"/>
    <col min="8193" max="8193" width="12.44140625" style="82" customWidth="1"/>
    <col min="8194" max="8194" width="38.5546875" style="82" customWidth="1"/>
    <col min="8195" max="8195" width="9" style="82" customWidth="1"/>
    <col min="8196" max="8196" width="7.44140625" style="82" customWidth="1"/>
    <col min="8197" max="8197" width="7.33203125" style="82" customWidth="1"/>
    <col min="8198" max="8198" width="5.6640625" style="82" customWidth="1"/>
    <col min="8199" max="8199" width="21.109375" style="82" customWidth="1"/>
    <col min="8200" max="8200" width="13.44140625" style="82" customWidth="1"/>
    <col min="8201" max="8201" width="11.33203125" style="82" customWidth="1"/>
    <col min="8202" max="8448" width="8.88671875" style="82" customWidth="1"/>
    <col min="8449" max="8449" width="12.44140625" style="82" customWidth="1"/>
    <col min="8450" max="8450" width="38.5546875" style="82" customWidth="1"/>
    <col min="8451" max="8451" width="9" style="82" customWidth="1"/>
    <col min="8452" max="8452" width="7.44140625" style="82" customWidth="1"/>
    <col min="8453" max="8453" width="7.33203125" style="82" customWidth="1"/>
    <col min="8454" max="8454" width="5.6640625" style="82" customWidth="1"/>
    <col min="8455" max="8455" width="21.109375" style="82" customWidth="1"/>
    <col min="8456" max="8456" width="13.44140625" style="82" customWidth="1"/>
    <col min="8457" max="8457" width="11.33203125" style="82" customWidth="1"/>
    <col min="8458" max="8704" width="8.88671875" style="82" customWidth="1"/>
    <col min="8705" max="8705" width="12.44140625" style="82" customWidth="1"/>
    <col min="8706" max="8706" width="38.5546875" style="82" customWidth="1"/>
    <col min="8707" max="8707" width="9" style="82" customWidth="1"/>
    <col min="8708" max="8708" width="7.44140625" style="82" customWidth="1"/>
    <col min="8709" max="8709" width="7.33203125" style="82" customWidth="1"/>
    <col min="8710" max="8710" width="5.6640625" style="82" customWidth="1"/>
    <col min="8711" max="8711" width="21.109375" style="82" customWidth="1"/>
    <col min="8712" max="8712" width="13.44140625" style="82" customWidth="1"/>
    <col min="8713" max="8713" width="11.33203125" style="82" customWidth="1"/>
    <col min="8714" max="8960" width="8.88671875" style="82" customWidth="1"/>
    <col min="8961" max="8961" width="12.44140625" style="82" customWidth="1"/>
    <col min="8962" max="8962" width="38.5546875" style="82" customWidth="1"/>
    <col min="8963" max="8963" width="9" style="82" customWidth="1"/>
    <col min="8964" max="8964" width="7.44140625" style="82" customWidth="1"/>
    <col min="8965" max="8965" width="7.33203125" style="82" customWidth="1"/>
    <col min="8966" max="8966" width="5.6640625" style="82" customWidth="1"/>
    <col min="8967" max="8967" width="21.109375" style="82" customWidth="1"/>
    <col min="8968" max="8968" width="13.44140625" style="82" customWidth="1"/>
    <col min="8969" max="8969" width="11.33203125" style="82" customWidth="1"/>
    <col min="8970" max="9216" width="8.88671875" style="82" customWidth="1"/>
    <col min="9217" max="9217" width="12.44140625" style="82" customWidth="1"/>
    <col min="9218" max="9218" width="38.5546875" style="82" customWidth="1"/>
    <col min="9219" max="9219" width="9" style="82" customWidth="1"/>
    <col min="9220" max="9220" width="7.44140625" style="82" customWidth="1"/>
    <col min="9221" max="9221" width="7.33203125" style="82" customWidth="1"/>
    <col min="9222" max="9222" width="5.6640625" style="82" customWidth="1"/>
    <col min="9223" max="9223" width="21.109375" style="82" customWidth="1"/>
    <col min="9224" max="9224" width="13.44140625" style="82" customWidth="1"/>
    <col min="9225" max="9225" width="11.33203125" style="82" customWidth="1"/>
    <col min="9226" max="9472" width="8.88671875" style="82" customWidth="1"/>
    <col min="9473" max="9473" width="12.44140625" style="82" customWidth="1"/>
    <col min="9474" max="9474" width="38.5546875" style="82" customWidth="1"/>
    <col min="9475" max="9475" width="9" style="82" customWidth="1"/>
    <col min="9476" max="9476" width="7.44140625" style="82" customWidth="1"/>
    <col min="9477" max="9477" width="7.33203125" style="82" customWidth="1"/>
    <col min="9478" max="9478" width="5.6640625" style="82" customWidth="1"/>
    <col min="9479" max="9479" width="21.109375" style="82" customWidth="1"/>
    <col min="9480" max="9480" width="13.44140625" style="82" customWidth="1"/>
    <col min="9481" max="9481" width="11.33203125" style="82" customWidth="1"/>
    <col min="9482" max="9728" width="8.88671875" style="82" customWidth="1"/>
    <col min="9729" max="9729" width="12.44140625" style="82" customWidth="1"/>
    <col min="9730" max="9730" width="38.5546875" style="82" customWidth="1"/>
    <col min="9731" max="9731" width="9" style="82" customWidth="1"/>
    <col min="9732" max="9732" width="7.44140625" style="82" customWidth="1"/>
    <col min="9733" max="9733" width="7.33203125" style="82" customWidth="1"/>
    <col min="9734" max="9734" width="5.6640625" style="82" customWidth="1"/>
    <col min="9735" max="9735" width="21.109375" style="82" customWidth="1"/>
    <col min="9736" max="9736" width="13.44140625" style="82" customWidth="1"/>
    <col min="9737" max="9737" width="11.33203125" style="82" customWidth="1"/>
    <col min="9738" max="9984" width="8.88671875" style="82" customWidth="1"/>
    <col min="9985" max="9985" width="12.44140625" style="82" customWidth="1"/>
    <col min="9986" max="9986" width="38.5546875" style="82" customWidth="1"/>
    <col min="9987" max="9987" width="9" style="82" customWidth="1"/>
    <col min="9988" max="9988" width="7.44140625" style="82" customWidth="1"/>
    <col min="9989" max="9989" width="7.33203125" style="82" customWidth="1"/>
    <col min="9990" max="9990" width="5.6640625" style="82" customWidth="1"/>
    <col min="9991" max="9991" width="21.109375" style="82" customWidth="1"/>
    <col min="9992" max="9992" width="13.44140625" style="82" customWidth="1"/>
    <col min="9993" max="9993" width="11.33203125" style="82" customWidth="1"/>
    <col min="9994" max="10240" width="8.88671875" style="82" customWidth="1"/>
    <col min="10241" max="10241" width="12.44140625" style="82" customWidth="1"/>
    <col min="10242" max="10242" width="38.5546875" style="82" customWidth="1"/>
    <col min="10243" max="10243" width="9" style="82" customWidth="1"/>
    <col min="10244" max="10244" width="7.44140625" style="82" customWidth="1"/>
    <col min="10245" max="10245" width="7.33203125" style="82" customWidth="1"/>
    <col min="10246" max="10246" width="5.6640625" style="82" customWidth="1"/>
    <col min="10247" max="10247" width="21.109375" style="82" customWidth="1"/>
    <col min="10248" max="10248" width="13.44140625" style="82" customWidth="1"/>
    <col min="10249" max="10249" width="11.33203125" style="82" customWidth="1"/>
    <col min="10250" max="10496" width="8.88671875" style="82" customWidth="1"/>
    <col min="10497" max="10497" width="12.44140625" style="82" customWidth="1"/>
    <col min="10498" max="10498" width="38.5546875" style="82" customWidth="1"/>
    <col min="10499" max="10499" width="9" style="82" customWidth="1"/>
    <col min="10500" max="10500" width="7.44140625" style="82" customWidth="1"/>
    <col min="10501" max="10501" width="7.33203125" style="82" customWidth="1"/>
    <col min="10502" max="10502" width="5.6640625" style="82" customWidth="1"/>
    <col min="10503" max="10503" width="21.109375" style="82" customWidth="1"/>
    <col min="10504" max="10504" width="13.44140625" style="82" customWidth="1"/>
    <col min="10505" max="10505" width="11.33203125" style="82" customWidth="1"/>
    <col min="10506" max="10752" width="8.88671875" style="82" customWidth="1"/>
    <col min="10753" max="10753" width="12.44140625" style="82" customWidth="1"/>
    <col min="10754" max="10754" width="38.5546875" style="82" customWidth="1"/>
    <col min="10755" max="10755" width="9" style="82" customWidth="1"/>
    <col min="10756" max="10756" width="7.44140625" style="82" customWidth="1"/>
    <col min="10757" max="10757" width="7.33203125" style="82" customWidth="1"/>
    <col min="10758" max="10758" width="5.6640625" style="82" customWidth="1"/>
    <col min="10759" max="10759" width="21.109375" style="82" customWidth="1"/>
    <col min="10760" max="10760" width="13.44140625" style="82" customWidth="1"/>
    <col min="10761" max="10761" width="11.33203125" style="82" customWidth="1"/>
    <col min="10762" max="11008" width="8.88671875" style="82" customWidth="1"/>
    <col min="11009" max="11009" width="12.44140625" style="82" customWidth="1"/>
    <col min="11010" max="11010" width="38.5546875" style="82" customWidth="1"/>
    <col min="11011" max="11011" width="9" style="82" customWidth="1"/>
    <col min="11012" max="11012" width="7.44140625" style="82" customWidth="1"/>
    <col min="11013" max="11013" width="7.33203125" style="82" customWidth="1"/>
    <col min="11014" max="11014" width="5.6640625" style="82" customWidth="1"/>
    <col min="11015" max="11015" width="21.109375" style="82" customWidth="1"/>
    <col min="11016" max="11016" width="13.44140625" style="82" customWidth="1"/>
    <col min="11017" max="11017" width="11.33203125" style="82" customWidth="1"/>
    <col min="11018" max="11264" width="8.88671875" style="82" customWidth="1"/>
    <col min="11265" max="11265" width="12.44140625" style="82" customWidth="1"/>
    <col min="11266" max="11266" width="38.5546875" style="82" customWidth="1"/>
    <col min="11267" max="11267" width="9" style="82" customWidth="1"/>
    <col min="11268" max="11268" width="7.44140625" style="82" customWidth="1"/>
    <col min="11269" max="11269" width="7.33203125" style="82" customWidth="1"/>
    <col min="11270" max="11270" width="5.6640625" style="82" customWidth="1"/>
    <col min="11271" max="11271" width="21.109375" style="82" customWidth="1"/>
    <col min="11272" max="11272" width="13.44140625" style="82" customWidth="1"/>
    <col min="11273" max="11273" width="11.33203125" style="82" customWidth="1"/>
    <col min="11274" max="11520" width="8.88671875" style="82" customWidth="1"/>
    <col min="11521" max="11521" width="12.44140625" style="82" customWidth="1"/>
    <col min="11522" max="11522" width="38.5546875" style="82" customWidth="1"/>
    <col min="11523" max="11523" width="9" style="82" customWidth="1"/>
    <col min="11524" max="11524" width="7.44140625" style="82" customWidth="1"/>
    <col min="11525" max="11525" width="7.33203125" style="82" customWidth="1"/>
    <col min="11526" max="11526" width="5.6640625" style="82" customWidth="1"/>
    <col min="11527" max="11527" width="21.109375" style="82" customWidth="1"/>
    <col min="11528" max="11528" width="13.44140625" style="82" customWidth="1"/>
    <col min="11529" max="11529" width="11.33203125" style="82" customWidth="1"/>
    <col min="11530" max="11776" width="8.88671875" style="82" customWidth="1"/>
    <col min="11777" max="11777" width="12.44140625" style="82" customWidth="1"/>
    <col min="11778" max="11778" width="38.5546875" style="82" customWidth="1"/>
    <col min="11779" max="11779" width="9" style="82" customWidth="1"/>
    <col min="11780" max="11780" width="7.44140625" style="82" customWidth="1"/>
    <col min="11781" max="11781" width="7.33203125" style="82" customWidth="1"/>
    <col min="11782" max="11782" width="5.6640625" style="82" customWidth="1"/>
    <col min="11783" max="11783" width="21.109375" style="82" customWidth="1"/>
    <col min="11784" max="11784" width="13.44140625" style="82" customWidth="1"/>
    <col min="11785" max="11785" width="11.33203125" style="82" customWidth="1"/>
    <col min="11786" max="12032" width="8.88671875" style="82" customWidth="1"/>
    <col min="12033" max="12033" width="12.44140625" style="82" customWidth="1"/>
    <col min="12034" max="12034" width="38.5546875" style="82" customWidth="1"/>
    <col min="12035" max="12035" width="9" style="82" customWidth="1"/>
    <col min="12036" max="12036" width="7.44140625" style="82" customWidth="1"/>
    <col min="12037" max="12037" width="7.33203125" style="82" customWidth="1"/>
    <col min="12038" max="12038" width="5.6640625" style="82" customWidth="1"/>
    <col min="12039" max="12039" width="21.109375" style="82" customWidth="1"/>
    <col min="12040" max="12040" width="13.44140625" style="82" customWidth="1"/>
    <col min="12041" max="12041" width="11.33203125" style="82" customWidth="1"/>
    <col min="12042" max="12288" width="8.88671875" style="82" customWidth="1"/>
    <col min="12289" max="12289" width="12.44140625" style="82" customWidth="1"/>
    <col min="12290" max="12290" width="38.5546875" style="82" customWidth="1"/>
    <col min="12291" max="12291" width="9" style="82" customWidth="1"/>
    <col min="12292" max="12292" width="7.44140625" style="82" customWidth="1"/>
    <col min="12293" max="12293" width="7.33203125" style="82" customWidth="1"/>
    <col min="12294" max="12294" width="5.6640625" style="82" customWidth="1"/>
    <col min="12295" max="12295" width="21.109375" style="82" customWidth="1"/>
    <col min="12296" max="12296" width="13.44140625" style="82" customWidth="1"/>
    <col min="12297" max="12297" width="11.33203125" style="82" customWidth="1"/>
    <col min="12298" max="12544" width="8.88671875" style="82" customWidth="1"/>
    <col min="12545" max="12545" width="12.44140625" style="82" customWidth="1"/>
    <col min="12546" max="12546" width="38.5546875" style="82" customWidth="1"/>
    <col min="12547" max="12547" width="9" style="82" customWidth="1"/>
    <col min="12548" max="12548" width="7.44140625" style="82" customWidth="1"/>
    <col min="12549" max="12549" width="7.33203125" style="82" customWidth="1"/>
    <col min="12550" max="12550" width="5.6640625" style="82" customWidth="1"/>
    <col min="12551" max="12551" width="21.109375" style="82" customWidth="1"/>
    <col min="12552" max="12552" width="13.44140625" style="82" customWidth="1"/>
    <col min="12553" max="12553" width="11.33203125" style="82" customWidth="1"/>
    <col min="12554" max="12800" width="8.88671875" style="82" customWidth="1"/>
    <col min="12801" max="12801" width="12.44140625" style="82" customWidth="1"/>
    <col min="12802" max="12802" width="38.5546875" style="82" customWidth="1"/>
    <col min="12803" max="12803" width="9" style="82" customWidth="1"/>
    <col min="12804" max="12804" width="7.44140625" style="82" customWidth="1"/>
    <col min="12805" max="12805" width="7.33203125" style="82" customWidth="1"/>
    <col min="12806" max="12806" width="5.6640625" style="82" customWidth="1"/>
    <col min="12807" max="12807" width="21.109375" style="82" customWidth="1"/>
    <col min="12808" max="12808" width="13.44140625" style="82" customWidth="1"/>
    <col min="12809" max="12809" width="11.33203125" style="82" customWidth="1"/>
    <col min="12810" max="13056" width="8.88671875" style="82" customWidth="1"/>
    <col min="13057" max="13057" width="12.44140625" style="82" customWidth="1"/>
    <col min="13058" max="13058" width="38.5546875" style="82" customWidth="1"/>
    <col min="13059" max="13059" width="9" style="82" customWidth="1"/>
    <col min="13060" max="13060" width="7.44140625" style="82" customWidth="1"/>
    <col min="13061" max="13061" width="7.33203125" style="82" customWidth="1"/>
    <col min="13062" max="13062" width="5.6640625" style="82" customWidth="1"/>
    <col min="13063" max="13063" width="21.109375" style="82" customWidth="1"/>
    <col min="13064" max="13064" width="13.44140625" style="82" customWidth="1"/>
    <col min="13065" max="13065" width="11.33203125" style="82" customWidth="1"/>
    <col min="13066" max="13312" width="8.88671875" style="82" customWidth="1"/>
    <col min="13313" max="13313" width="12.44140625" style="82" customWidth="1"/>
    <col min="13314" max="13314" width="38.5546875" style="82" customWidth="1"/>
    <col min="13315" max="13315" width="9" style="82" customWidth="1"/>
    <col min="13316" max="13316" width="7.44140625" style="82" customWidth="1"/>
    <col min="13317" max="13317" width="7.33203125" style="82" customWidth="1"/>
    <col min="13318" max="13318" width="5.6640625" style="82" customWidth="1"/>
    <col min="13319" max="13319" width="21.109375" style="82" customWidth="1"/>
    <col min="13320" max="13320" width="13.44140625" style="82" customWidth="1"/>
    <col min="13321" max="13321" width="11.33203125" style="82" customWidth="1"/>
    <col min="13322" max="13568" width="8.88671875" style="82" customWidth="1"/>
    <col min="13569" max="13569" width="12.44140625" style="82" customWidth="1"/>
    <col min="13570" max="13570" width="38.5546875" style="82" customWidth="1"/>
    <col min="13571" max="13571" width="9" style="82" customWidth="1"/>
    <col min="13572" max="13572" width="7.44140625" style="82" customWidth="1"/>
    <col min="13573" max="13573" width="7.33203125" style="82" customWidth="1"/>
    <col min="13574" max="13574" width="5.6640625" style="82" customWidth="1"/>
    <col min="13575" max="13575" width="21.109375" style="82" customWidth="1"/>
    <col min="13576" max="13576" width="13.44140625" style="82" customWidth="1"/>
    <col min="13577" max="13577" width="11.33203125" style="82" customWidth="1"/>
    <col min="13578" max="13824" width="8.88671875" style="82" customWidth="1"/>
    <col min="13825" max="13825" width="12.44140625" style="82" customWidth="1"/>
    <col min="13826" max="13826" width="38.5546875" style="82" customWidth="1"/>
    <col min="13827" max="13827" width="9" style="82" customWidth="1"/>
    <col min="13828" max="13828" width="7.44140625" style="82" customWidth="1"/>
    <col min="13829" max="13829" width="7.33203125" style="82" customWidth="1"/>
    <col min="13830" max="13830" width="5.6640625" style="82" customWidth="1"/>
    <col min="13831" max="13831" width="21.109375" style="82" customWidth="1"/>
    <col min="13832" max="13832" width="13.44140625" style="82" customWidth="1"/>
    <col min="13833" max="13833" width="11.33203125" style="82" customWidth="1"/>
    <col min="13834" max="14080" width="8.88671875" style="82" customWidth="1"/>
    <col min="14081" max="14081" width="12.44140625" style="82" customWidth="1"/>
    <col min="14082" max="14082" width="38.5546875" style="82" customWidth="1"/>
    <col min="14083" max="14083" width="9" style="82" customWidth="1"/>
    <col min="14084" max="14084" width="7.44140625" style="82" customWidth="1"/>
    <col min="14085" max="14085" width="7.33203125" style="82" customWidth="1"/>
    <col min="14086" max="14086" width="5.6640625" style="82" customWidth="1"/>
    <col min="14087" max="14087" width="21.109375" style="82" customWidth="1"/>
    <col min="14088" max="14088" width="13.44140625" style="82" customWidth="1"/>
    <col min="14089" max="14089" width="11.33203125" style="82" customWidth="1"/>
    <col min="14090" max="14336" width="8.88671875" style="82" customWidth="1"/>
    <col min="14337" max="14337" width="12.44140625" style="82" customWidth="1"/>
    <col min="14338" max="14338" width="38.5546875" style="82" customWidth="1"/>
    <col min="14339" max="14339" width="9" style="82" customWidth="1"/>
    <col min="14340" max="14340" width="7.44140625" style="82" customWidth="1"/>
    <col min="14341" max="14341" width="7.33203125" style="82" customWidth="1"/>
    <col min="14342" max="14342" width="5.6640625" style="82" customWidth="1"/>
    <col min="14343" max="14343" width="21.109375" style="82" customWidth="1"/>
    <col min="14344" max="14344" width="13.44140625" style="82" customWidth="1"/>
    <col min="14345" max="14345" width="11.33203125" style="82" customWidth="1"/>
    <col min="14346" max="14592" width="8.88671875" style="82" customWidth="1"/>
    <col min="14593" max="14593" width="12.44140625" style="82" customWidth="1"/>
    <col min="14594" max="14594" width="38.5546875" style="82" customWidth="1"/>
    <col min="14595" max="14595" width="9" style="82" customWidth="1"/>
    <col min="14596" max="14596" width="7.44140625" style="82" customWidth="1"/>
    <col min="14597" max="14597" width="7.33203125" style="82" customWidth="1"/>
    <col min="14598" max="14598" width="5.6640625" style="82" customWidth="1"/>
    <col min="14599" max="14599" width="21.109375" style="82" customWidth="1"/>
    <col min="14600" max="14600" width="13.44140625" style="82" customWidth="1"/>
    <col min="14601" max="14601" width="11.33203125" style="82" customWidth="1"/>
    <col min="14602" max="14848" width="8.88671875" style="82" customWidth="1"/>
    <col min="14849" max="14849" width="12.44140625" style="82" customWidth="1"/>
    <col min="14850" max="14850" width="38.5546875" style="82" customWidth="1"/>
    <col min="14851" max="14851" width="9" style="82" customWidth="1"/>
    <col min="14852" max="14852" width="7.44140625" style="82" customWidth="1"/>
    <col min="14853" max="14853" width="7.33203125" style="82" customWidth="1"/>
    <col min="14854" max="14854" width="5.6640625" style="82" customWidth="1"/>
    <col min="14855" max="14855" width="21.109375" style="82" customWidth="1"/>
    <col min="14856" max="14856" width="13.44140625" style="82" customWidth="1"/>
    <col min="14857" max="14857" width="11.33203125" style="82" customWidth="1"/>
    <col min="14858" max="15104" width="8.88671875" style="82" customWidth="1"/>
    <col min="15105" max="15105" width="12.44140625" style="82" customWidth="1"/>
    <col min="15106" max="15106" width="38.5546875" style="82" customWidth="1"/>
    <col min="15107" max="15107" width="9" style="82" customWidth="1"/>
    <col min="15108" max="15108" width="7.44140625" style="82" customWidth="1"/>
    <col min="15109" max="15109" width="7.33203125" style="82" customWidth="1"/>
    <col min="15110" max="15110" width="5.6640625" style="82" customWidth="1"/>
    <col min="15111" max="15111" width="21.109375" style="82" customWidth="1"/>
    <col min="15112" max="15112" width="13.44140625" style="82" customWidth="1"/>
    <col min="15113" max="15113" width="11.33203125" style="82" customWidth="1"/>
    <col min="15114" max="15360" width="8.88671875" style="82" customWidth="1"/>
    <col min="15361" max="15361" width="12.44140625" style="82" customWidth="1"/>
    <col min="15362" max="15362" width="38.5546875" style="82" customWidth="1"/>
    <col min="15363" max="15363" width="9" style="82" customWidth="1"/>
    <col min="15364" max="15364" width="7.44140625" style="82" customWidth="1"/>
    <col min="15365" max="15365" width="7.33203125" style="82" customWidth="1"/>
    <col min="15366" max="15366" width="5.6640625" style="82" customWidth="1"/>
    <col min="15367" max="15367" width="21.109375" style="82" customWidth="1"/>
    <col min="15368" max="15368" width="13.44140625" style="82" customWidth="1"/>
    <col min="15369" max="15369" width="11.33203125" style="82" customWidth="1"/>
    <col min="15370" max="15616" width="8.88671875" style="82" customWidth="1"/>
    <col min="15617" max="15617" width="12.44140625" style="82" customWidth="1"/>
    <col min="15618" max="15618" width="38.5546875" style="82" customWidth="1"/>
    <col min="15619" max="15619" width="9" style="82" customWidth="1"/>
    <col min="15620" max="15620" width="7.44140625" style="82" customWidth="1"/>
    <col min="15621" max="15621" width="7.33203125" style="82" customWidth="1"/>
    <col min="15622" max="15622" width="5.6640625" style="82" customWidth="1"/>
    <col min="15623" max="15623" width="21.109375" style="82" customWidth="1"/>
    <col min="15624" max="15624" width="13.44140625" style="82" customWidth="1"/>
    <col min="15625" max="15625" width="11.33203125" style="82" customWidth="1"/>
    <col min="15626" max="15872" width="8.88671875" style="82" customWidth="1"/>
    <col min="15873" max="15873" width="12.44140625" style="82" customWidth="1"/>
    <col min="15874" max="15874" width="38.5546875" style="82" customWidth="1"/>
    <col min="15875" max="15875" width="9" style="82" customWidth="1"/>
    <col min="15876" max="15876" width="7.44140625" style="82" customWidth="1"/>
    <col min="15877" max="15877" width="7.33203125" style="82" customWidth="1"/>
    <col min="15878" max="15878" width="5.6640625" style="82" customWidth="1"/>
    <col min="15879" max="15879" width="21.109375" style="82" customWidth="1"/>
    <col min="15880" max="15880" width="13.44140625" style="82" customWidth="1"/>
    <col min="15881" max="15881" width="11.33203125" style="82" customWidth="1"/>
    <col min="15882" max="16128" width="8.88671875" style="82" customWidth="1"/>
    <col min="16129" max="16129" width="12.44140625" style="82" customWidth="1"/>
    <col min="16130" max="16130" width="38.5546875" style="82" customWidth="1"/>
    <col min="16131" max="16131" width="9" style="82" customWidth="1"/>
    <col min="16132" max="16132" width="7.44140625" style="82" customWidth="1"/>
    <col min="16133" max="16133" width="7.33203125" style="82" customWidth="1"/>
    <col min="16134" max="16134" width="5.6640625" style="82" customWidth="1"/>
    <col min="16135" max="16135" width="21.109375" style="82" customWidth="1"/>
    <col min="16136" max="16136" width="13.44140625" style="82" customWidth="1"/>
    <col min="16137" max="16137" width="11.33203125" style="82" customWidth="1"/>
    <col min="16138" max="16384" width="8.88671875" style="82" customWidth="1"/>
  </cols>
  <sheetData>
    <row r="3" spans="1:9" ht="60.6" customHeight="1" x14ac:dyDescent="0.35">
      <c r="B3" s="512" t="str">
        <f>'AType Cottage'!A1</f>
        <v xml:space="preserve"> Name of Work :-   Repairing and Renovation of  Circuit House at Bokakhat Co District under Golaghat District</v>
      </c>
      <c r="C3" s="513"/>
      <c r="D3" s="513"/>
      <c r="E3" s="513"/>
      <c r="F3" s="514"/>
      <c r="G3" s="513"/>
    </row>
    <row r="4" spans="1:9" s="84" customFormat="1" x14ac:dyDescent="0.25">
      <c r="B4" s="83"/>
      <c r="C4" s="83"/>
      <c r="D4" s="83"/>
      <c r="E4" s="83"/>
      <c r="F4" s="83"/>
      <c r="G4" s="83"/>
    </row>
    <row r="5" spans="1:9" s="84" customFormat="1" ht="20.399999999999999" customHeight="1" x14ac:dyDescent="0.25">
      <c r="B5" s="524" t="s">
        <v>250</v>
      </c>
      <c r="C5" s="522"/>
      <c r="D5" s="522"/>
      <c r="E5" s="522"/>
      <c r="F5" s="522"/>
      <c r="G5" s="522"/>
    </row>
    <row r="6" spans="1:9" s="84" customFormat="1" ht="20.399999999999999" customHeight="1" x14ac:dyDescent="0.25">
      <c r="B6" s="521"/>
      <c r="C6" s="522"/>
      <c r="D6" s="522"/>
      <c r="E6" s="522"/>
      <c r="F6" s="522"/>
      <c r="G6" s="522"/>
    </row>
    <row r="7" spans="1:9" s="84" customFormat="1" x14ac:dyDescent="0.25">
      <c r="B7" s="526" t="s">
        <v>5</v>
      </c>
      <c r="C7" s="516"/>
      <c r="D7" s="516"/>
      <c r="E7" s="516"/>
      <c r="F7" s="517"/>
      <c r="G7" s="85" t="s">
        <v>237</v>
      </c>
    </row>
    <row r="8" spans="1:9" ht="33" customHeight="1" x14ac:dyDescent="0.35">
      <c r="A8" s="86"/>
      <c r="B8" s="518" t="s">
        <v>251</v>
      </c>
      <c r="C8" s="516"/>
      <c r="D8" s="516"/>
      <c r="E8" s="517"/>
      <c r="F8" s="87" t="s">
        <v>252</v>
      </c>
      <c r="G8" s="88">
        <f>'Rennovation BOQ'!M40</f>
        <v>2357162</v>
      </c>
      <c r="I8" s="89"/>
    </row>
    <row r="9" spans="1:9" ht="33" customHeight="1" x14ac:dyDescent="0.35">
      <c r="A9" s="86"/>
      <c r="B9" s="518" t="s">
        <v>676</v>
      </c>
      <c r="C9" s="516"/>
      <c r="D9" s="516"/>
      <c r="E9" s="517"/>
      <c r="F9" s="87" t="s">
        <v>252</v>
      </c>
      <c r="G9" s="88">
        <f>'Sanitart Works'!N40</f>
        <v>498118</v>
      </c>
      <c r="I9" s="89"/>
    </row>
    <row r="10" spans="1:9" ht="30.6" customHeight="1" x14ac:dyDescent="0.35">
      <c r="A10" s="86"/>
      <c r="B10" s="518" t="s">
        <v>253</v>
      </c>
      <c r="C10" s="516"/>
      <c r="D10" s="516"/>
      <c r="E10" s="517"/>
      <c r="F10" s="87" t="s">
        <v>252</v>
      </c>
      <c r="G10" s="88">
        <f>[50]Electrical!$G$31</f>
        <v>720512</v>
      </c>
      <c r="I10" s="89"/>
    </row>
    <row r="11" spans="1:9" ht="30.6" customHeight="1" x14ac:dyDescent="0.35">
      <c r="A11" s="86"/>
      <c r="B11" s="518" t="s">
        <v>254</v>
      </c>
      <c r="C11" s="516"/>
      <c r="D11" s="516"/>
      <c r="E11" s="517"/>
      <c r="F11" s="87" t="s">
        <v>252</v>
      </c>
      <c r="G11" s="88">
        <f>[51]est!$G$6</f>
        <v>162192</v>
      </c>
      <c r="I11" s="89"/>
    </row>
    <row r="12" spans="1:9" x14ac:dyDescent="0.35">
      <c r="A12" s="86"/>
      <c r="B12" s="523" t="s">
        <v>255</v>
      </c>
      <c r="C12" s="516"/>
      <c r="D12" s="516"/>
      <c r="E12" s="517"/>
      <c r="F12" s="90" t="s">
        <v>252</v>
      </c>
      <c r="G12" s="91">
        <f>SUM(G8:G11)</f>
        <v>3737984</v>
      </c>
    </row>
    <row r="13" spans="1:9" x14ac:dyDescent="0.35">
      <c r="A13" s="86"/>
      <c r="B13" s="520" t="s">
        <v>256</v>
      </c>
      <c r="C13" s="516"/>
      <c r="D13" s="516"/>
      <c r="E13" s="517"/>
      <c r="F13" s="90" t="s">
        <v>252</v>
      </c>
      <c r="G13" s="91">
        <f>ROUND(6.33%*G12,0)</f>
        <v>236614</v>
      </c>
    </row>
    <row r="14" spans="1:9" x14ac:dyDescent="0.35">
      <c r="A14" s="86"/>
      <c r="B14" s="523" t="s">
        <v>257</v>
      </c>
      <c r="C14" s="516"/>
      <c r="D14" s="516"/>
      <c r="E14" s="517"/>
      <c r="F14" s="90" t="s">
        <v>252</v>
      </c>
      <c r="G14" s="91">
        <f>SUM(G12:G13)</f>
        <v>3974598</v>
      </c>
      <c r="H14" s="82">
        <f>G14/G20</f>
        <v>0.85965134638261098</v>
      </c>
    </row>
    <row r="15" spans="1:9" x14ac:dyDescent="0.35">
      <c r="A15" s="86"/>
      <c r="B15" s="518" t="s">
        <v>258</v>
      </c>
      <c r="C15" s="516"/>
      <c r="D15" s="516"/>
      <c r="E15" s="517"/>
      <c r="F15" s="90"/>
      <c r="G15" s="91"/>
    </row>
    <row r="16" spans="1:9" x14ac:dyDescent="0.35">
      <c r="A16" s="86"/>
      <c r="B16" s="515" t="s">
        <v>678</v>
      </c>
      <c r="C16" s="516"/>
      <c r="D16" s="516"/>
      <c r="E16" s="517"/>
      <c r="F16" s="90" t="s">
        <v>252</v>
      </c>
      <c r="G16" s="311">
        <f>furniture!F12</f>
        <v>428772</v>
      </c>
    </row>
    <row r="17" spans="1:9" x14ac:dyDescent="0.35">
      <c r="B17" s="523" t="s">
        <v>259</v>
      </c>
      <c r="C17" s="516"/>
      <c r="D17" s="516"/>
      <c r="E17" s="517"/>
      <c r="F17" s="93" t="s">
        <v>252</v>
      </c>
      <c r="G17" s="94">
        <f>SUM(G14:G16)</f>
        <v>4403370</v>
      </c>
      <c r="H17" s="89" t="e">
        <f>#REF!+G16</f>
        <v>#REF!</v>
      </c>
      <c r="I17" s="82" t="e">
        <f>H17/G20</f>
        <v>#REF!</v>
      </c>
    </row>
    <row r="18" spans="1:9" x14ac:dyDescent="0.35">
      <c r="A18" s="86"/>
      <c r="B18" s="520" t="s">
        <v>260</v>
      </c>
      <c r="C18" s="516"/>
      <c r="D18" s="516"/>
      <c r="E18" s="517"/>
      <c r="F18" s="93" t="s">
        <v>252</v>
      </c>
      <c r="G18" s="88">
        <f>ROUND(5%*G17,0)</f>
        <v>220169</v>
      </c>
      <c r="H18" s="89"/>
      <c r="I18" s="89"/>
    </row>
    <row r="19" spans="1:9" x14ac:dyDescent="0.35">
      <c r="B19" s="525" t="s">
        <v>261</v>
      </c>
      <c r="C19" s="516"/>
      <c r="D19" s="516"/>
      <c r="E19" s="517"/>
      <c r="F19" s="92" t="s">
        <v>252</v>
      </c>
      <c r="G19" s="95">
        <f>SUM(G17:G18)</f>
        <v>4623539</v>
      </c>
      <c r="H19" s="82">
        <v>4898500</v>
      </c>
    </row>
    <row r="20" spans="1:9" x14ac:dyDescent="0.35">
      <c r="B20" s="525" t="s">
        <v>262</v>
      </c>
      <c r="C20" s="516"/>
      <c r="D20" s="516"/>
      <c r="E20" s="517"/>
      <c r="F20" s="92" t="s">
        <v>252</v>
      </c>
      <c r="G20" s="95">
        <f>ROUND(G19,-2)</f>
        <v>4623500</v>
      </c>
    </row>
    <row r="21" spans="1:9" x14ac:dyDescent="0.35">
      <c r="B21" s="519"/>
      <c r="C21" s="513"/>
      <c r="D21" s="513"/>
      <c r="E21" s="513"/>
      <c r="F21" s="514"/>
      <c r="G21" s="513"/>
    </row>
    <row r="22" spans="1:9" x14ac:dyDescent="0.35">
      <c r="B22" s="527" t="str">
        <f>CU39</f>
        <v>(Rupees forty eight lakh twenty three thousand five hundred ) only.</v>
      </c>
      <c r="C22" s="513"/>
      <c r="D22" s="513"/>
      <c r="E22" s="513"/>
      <c r="F22" s="514"/>
      <c r="G22" s="513"/>
    </row>
    <row r="38" spans="1:135" ht="18.600000000000001" customHeight="1" thickBot="1" x14ac:dyDescent="0.4"/>
    <row r="39" spans="1:135" s="108" customFormat="1" ht="15" customHeight="1" thickBot="1" x14ac:dyDescent="0.35">
      <c r="A39" s="97">
        <f>G20</f>
        <v>4623500</v>
      </c>
      <c r="B39" s="98" t="s">
        <v>263</v>
      </c>
      <c r="C39" s="99">
        <v>1</v>
      </c>
      <c r="D39" s="100" t="s">
        <v>264</v>
      </c>
      <c r="E39" s="99">
        <v>2</v>
      </c>
      <c r="F39" s="100" t="s">
        <v>265</v>
      </c>
      <c r="G39" s="99">
        <v>3</v>
      </c>
      <c r="H39" s="100" t="s">
        <v>266</v>
      </c>
      <c r="I39" s="99">
        <v>4</v>
      </c>
      <c r="J39" s="100" t="s">
        <v>267</v>
      </c>
      <c r="K39" s="99">
        <v>5</v>
      </c>
      <c r="L39" s="100" t="s">
        <v>268</v>
      </c>
      <c r="M39" s="99">
        <v>6</v>
      </c>
      <c r="N39" s="100" t="s">
        <v>269</v>
      </c>
      <c r="O39" s="99">
        <v>7</v>
      </c>
      <c r="P39" s="100" t="s">
        <v>270</v>
      </c>
      <c r="Q39" s="99">
        <v>8</v>
      </c>
      <c r="R39" s="100" t="s">
        <v>271</v>
      </c>
      <c r="S39" s="99">
        <v>9</v>
      </c>
      <c r="T39" s="100" t="s">
        <v>272</v>
      </c>
      <c r="U39" s="99">
        <v>10</v>
      </c>
      <c r="V39" s="100" t="s">
        <v>273</v>
      </c>
      <c r="W39" s="99">
        <v>11</v>
      </c>
      <c r="X39" s="100" t="s">
        <v>274</v>
      </c>
      <c r="Y39" s="99">
        <v>12</v>
      </c>
      <c r="Z39" s="100" t="s">
        <v>275</v>
      </c>
      <c r="AA39" s="99">
        <v>13</v>
      </c>
      <c r="AB39" s="100" t="s">
        <v>276</v>
      </c>
      <c r="AC39" s="99">
        <v>14</v>
      </c>
      <c r="AD39" s="100" t="s">
        <v>277</v>
      </c>
      <c r="AE39" s="99">
        <v>15</v>
      </c>
      <c r="AF39" s="100" t="s">
        <v>278</v>
      </c>
      <c r="AG39" s="99">
        <v>16</v>
      </c>
      <c r="AH39" s="100" t="s">
        <v>279</v>
      </c>
      <c r="AI39" s="99">
        <v>17</v>
      </c>
      <c r="AJ39" s="100" t="s">
        <v>280</v>
      </c>
      <c r="AK39" s="99">
        <v>18</v>
      </c>
      <c r="AL39" s="100" t="s">
        <v>281</v>
      </c>
      <c r="AM39" s="99">
        <v>19</v>
      </c>
      <c r="AN39" s="100" t="s">
        <v>282</v>
      </c>
      <c r="AO39" s="101" t="s">
        <v>283</v>
      </c>
      <c r="AP39" s="102" t="s">
        <v>284</v>
      </c>
      <c r="AQ39" s="103" t="s">
        <v>285</v>
      </c>
      <c r="AR39" s="103" t="str">
        <f>IF(AX39="","",IF(AX39&gt;=90,"ninety "&amp;IF((AX39-ROUNDDOWN(AX39,-1))=C39,D39,"")&amp;IF((AX39-ROUNDDOWN(AX39,-1))=E39,F39,"")&amp;IF((AX39-ROUNDDOWN(AX39,-1))=G39,H39,"")&amp;IF((AX39-ROUNDDOWN(AX39,-1))=I39,J39,"")&amp;IF((AX39-ROUNDDOWN(AX39,-1))=K39,L39,"")&amp;IF((AX39-ROUNDDOWN(AX39,-1))=M39,N39,"")&amp;IF((AX39-ROUNDDOWN(AX39,-1))=O39,P39,"")&amp;IF((AX39-ROUNDDOWN(AX39,-1))=Q39,R39,"")&amp;IF((AX39-ROUNDDOWN(AX39,-1))=S39,T39,""),IF(AX39&gt;=80,"eighty "&amp;IF((AX39-ROUNDDOWN(AX39,-1))=1,D39,"")&amp;IF((AX39-ROUNDDOWN(AX39,-1))=2,F39,"")&amp;IF((AX39-ROUNDDOWN(AX39,-1))=G39,H39,"")&amp;IF((AX39-ROUNDDOWN(AX39,-1))=I39,J39,"")&amp;IF((AX39-ROUNDDOWN(AX39,-1))=K39,L39,"")&amp;IF((AX39-ROUNDDOWN(AX39,-1))=M39,N39,"")&amp;IF((AX39-ROUNDDOWN(AX39,-1))=O39,P39,"")&amp;IF((AX39-ROUNDDOWN(AX39,-1))=Q39,R39,"")&amp;IF((AX39-ROUNDDOWN(AX39,-1))=S39,T39,""),"")))</f>
        <v/>
      </c>
      <c r="AS39" s="103" t="str">
        <f>IF(AX39="","",IF(AX39&gt;79,"",IF(AX39&gt;=70,"seventy "&amp;IF((AX39-ROUNDDOWN(AX39,-1))=C39,D39,"")&amp;IF((AX39-ROUNDDOWN(AX39,-1))=E39,F39,"")&amp;IF((AX39-ROUNDDOWN(AX39,-1))=G39,H39,"")&amp;IF((AX39-ROUNDDOWN(AX39,-1))=I39,J39,"")&amp;IF((AX39-ROUNDDOWN(AX39,-1))=K39,L39,"")&amp;IF((AX39-ROUNDDOWN(AX39,-1))=M39,N39,"")&amp;IF((AX39-ROUNDDOWN(AX39,-1))=O39,P39,"")&amp;IF((AX39-ROUNDDOWN(AX39,-1))=Q39,R39,"")&amp;IF((AX39-ROUNDDOWN(AX39,-1))=S39,T39,""),IF(AX39&gt;=60,"sixty "&amp;IF((AX39-ROUNDDOWN(AX39,-1))=1,D39,"")&amp;IF((AX39-ROUNDDOWN(AX39,-1))=2,F39,"")&amp;IF((AX39-ROUNDDOWN(AX39,-1))=G39,H39,"")&amp;IF((AX39-ROUNDDOWN(AX39,-1))=I39,J39,"")&amp;IF((AX39-ROUNDDOWN(AX39,-1))=K39,L39,"")&amp;IF((AX39-ROUNDDOWN(AX39,-1))=M39,N39,"")&amp;IF((AX39-ROUNDDOWN(AX39,-1))=O39,P39,"")&amp;IF((AX39-ROUNDDOWN(AX39,-1))=Q39,R39,"")&amp;IF((AX39-ROUNDDOWN(AX39,-1))=S39,T39,""),""))))</f>
        <v/>
      </c>
      <c r="AT39" s="103" t="str">
        <f>IF(AX39="","",IF(AX39&gt;59,"",IF(AX39&gt;=50,"fifty "&amp;IF((AX39-ROUNDDOWN(AX39,-1))=C39,D39,"")&amp;IF((AX39-ROUNDDOWN(AX39,-1))=E39,F39,"")&amp;IF((AX39-ROUNDDOWN(AX39,-1))=G39,H39,"")&amp;IF((AX39-ROUNDDOWN(AX39,-1))=I39,J39,"")&amp;IF((AX39-ROUNDDOWN(AX39,-1))=K39,L39,"")&amp;IF((AX39-ROUNDDOWN(AX39,-1))=M39,N39,"")&amp;IF((AX39-ROUNDDOWN(AX39,-1))=O39,P39,"")&amp;IF((AX39-ROUNDDOWN(AX39,-1))=Q39,R39,"")&amp;IF((AX39-ROUNDDOWN(AX39,-1))=S39,T39,""),IF(AX39&gt;=40,"forty "&amp;IF((AX39-ROUNDDOWN(AX39,-1))=1,D39,"")&amp;IF((AX39-ROUNDDOWN(AX39,-1))=2,F39,"")&amp;IF((AX39-ROUNDDOWN(AX39,-1))=G39,H39,"")&amp;IF((AX39-ROUNDDOWN(AX39,-1))=I39,J39,"")&amp;IF((AX39-ROUNDDOWN(AX39,-1))=K39,L39,"")&amp;IF((AX39-ROUNDDOWN(AX39,-1))=M39,N39,"")&amp;IF((AX39-ROUNDDOWN(AX39,-1))=O39,P39,"")&amp;IF((AX39-ROUNDDOWN(AX39,-1))=Q39,R39,"")&amp;IF((AX39-ROUNDDOWN(AX39,-1))=S39,T39,""),""))))</f>
        <v/>
      </c>
      <c r="AU39" s="103" t="str">
        <f>IF(AX39="","",IF(AX39&gt;39,"",IF(AX39&gt;=30,"thirty "&amp;IF((AX39-ROUNDDOWN(AX39,-1))=C39,D39,"")&amp;IF((AX39-ROUNDDOWN(AX39,-1))=E39,F39,"")&amp;IF((AX39-ROUNDDOWN(AX39,-1))=G39,H39,"")&amp;IF((AX39-ROUNDDOWN(AX39,-1))=I39,J39,"")&amp;IF((AX39-ROUNDDOWN(AX39,-1))=K39,L39,"")&amp;IF((AX39-ROUNDDOWN(AX39,-1))=M39,N39,"")&amp;IF((AX39-ROUNDDOWN(AX39,-1))=O39,P39,"")&amp;IF((AX39-ROUNDDOWN(AX39,-1))=Q39,R39,"")&amp;IF((AX39-ROUNDDOWN(AX39,-1))=S39,T39,""),IF(AX39&gt;=20,"twenty "&amp;IF((AX39-ROUNDDOWN(AX39,-1))=1,D39,"")&amp;IF((AX39-ROUNDDOWN(AX39,-1))=2,F39,"")&amp;IF((AX39-ROUNDDOWN(AX39,-1))=G39,H39,"")&amp;IF((AX39-ROUNDDOWN(AX39,-1))=I39,J39,"")&amp;IF((AX39-ROUNDDOWN(AX39,-1))=K39,L39,"")&amp;IF((AX39-ROUNDDOWN(AX39,-1))=M39,N39,"")&amp;IF((AX39-ROUNDDOWN(AX39,-1))=O39,P39,"")&amp;IF((AX39-ROUNDDOWN(AX39,-1))=Q39,R39,"")&amp;IF((AX39-ROUNDDOWN(AX39,-1))=S39,T39,""),""))))</f>
        <v/>
      </c>
      <c r="AV39" s="103" t="str">
        <f>IF(AX39="","",IF(AX39=C39,D39,"")&amp;IF(AX39=E39,F39,"")&amp;IF(AX39=G39,H39,"")&amp;IF(AX39=I39,J39,"")&amp;IF(AX39=K39,L39,"")&amp;IF(AX39=M39,N39,"")&amp;IF(AX39=O39,P39,"")&amp;IF(AX39=Q39,R39,"")&amp;IF(AX39=S39,T39,"")&amp;IF(AX39=U39,V39,"")&amp;IF(AX39=W39,X39,"")&amp;IF(AX39=Y39,Z39,"")&amp;IF(AX39=AA39,AB39,"")&amp;IF(AX39=AC39,AD39,"")&amp;IF(AX39=AE39,AF39,"")&amp;IF(AX39=AG39,AH39,"")&amp;IF(AX39=AI39,AJ39,"")&amp;IF(AX39=AK39,AL39,"")&amp;IF(AX39=AM39,AN39,""))</f>
        <v/>
      </c>
      <c r="AW39" s="104"/>
      <c r="AX39" s="103" t="str">
        <f>IF(A39&gt;=10000000,ROUNDDOWN(A39,-7)/10000000,"")</f>
        <v/>
      </c>
      <c r="AY39" s="103" t="str">
        <f>IF(AR39="","",AR39)&amp;IF(AS39="","",AS39)&amp;IF(AT39="","",AT39)&amp;IF(AU39="","",AU39)&amp;IF(AV39="","",AV39)</f>
        <v/>
      </c>
      <c r="AZ39" s="103" t="s">
        <v>286</v>
      </c>
      <c r="BA39" s="103" t="str">
        <f>IF(BG39="","",IF(BG39&gt;=90,"ninety "&amp;IF((BG39-ROUNDDOWN(BG39,-1))=C39,D39,"")&amp;IF((BG39-ROUNDDOWN(BG39,-1))=E39,F39,"")&amp;IF((BG39-ROUNDDOWN(BG39,-1))=G39,H39,"")&amp;IF((BG39-ROUNDDOWN(BG39,-1))=I39,J39,"")&amp;IF((BG39-ROUNDDOWN(BG39,-1))=K39,L39,"")&amp;IF((BG39-ROUNDDOWN(BG39,-1))=M39,N39,"")&amp;IF((BG39-ROUNDDOWN(BG39,-1))=O39,P39,"")&amp;IF((BG39-ROUNDDOWN(BG39,-1))=Q39,R39,"")&amp;IF((BG39-ROUNDDOWN(BG39,-1))=S39,T39,""),IF(BG39&gt;=80,"eighty "&amp;IF((BG39-ROUNDDOWN(BG39,-1))=1,D39,"")&amp;IF((BG39-ROUNDDOWN(BG39,-1))=2,F39,"")&amp;IF((BG39-ROUNDDOWN(BG39,-1))=G39,H39,"")&amp;IF((BG39-ROUNDDOWN(BG39,-1))=I39,J39,"")&amp;IF((BG39-ROUNDDOWN(BG39,-1))=K39,L39,"")&amp;IF((BG39-ROUNDDOWN(BG39,-1))=M39,N39,"")&amp;IF((BG39-ROUNDDOWN(BG39,-1))=O39,P39,"")&amp;IF((BG39-ROUNDDOWN(BG39,-1))=Q39,R39,"")&amp;IF((BG39-ROUNDDOWN(BG39,-1))=S39,T39,""),"")))</f>
        <v/>
      </c>
      <c r="BB39" s="103" t="str">
        <f>IF(BG39="","",IF(BG39&gt;79,"",IF(BG39&gt;=70,"seventy "&amp;IF((BG39-ROUNDDOWN(BG39,-1))=C39,D39,"")&amp;IF((BG39-ROUNDDOWN(BG39,-1))=E39,F39,"")&amp;IF((BG39-ROUNDDOWN(BG39,-1))=G39,H39,"")&amp;IF((BG39-ROUNDDOWN(BG39,-1))=I39,J39,"")&amp;IF((BG39-ROUNDDOWN(BG39,-1))=K39,L39,"")&amp;IF((BG39-ROUNDDOWN(BG39,-1))=M39,N39,"")&amp;IF((BG39-ROUNDDOWN(BG39,-1))=O39,P39,"")&amp;IF((BG39-ROUNDDOWN(BG39,-1))=Q39,R39,"")&amp;IF((BG39-ROUNDDOWN(BG39,-1))=S39,T39,""),IF(BG39&gt;=60,"sixty "&amp;IF((BG39-ROUNDDOWN(BG39,-1))=1,D39,"")&amp;IF((BG39-ROUNDDOWN(BG39,-1))=2,F39,"")&amp;IF((BG39-ROUNDDOWN(BG39,-1))=G39,H39,"")&amp;IF((BG39-ROUNDDOWN(BG39,-1))=I39,J39,"")&amp;IF((BG39-ROUNDDOWN(BG39,-1))=K39,L39,"")&amp;IF((BG39-ROUNDDOWN(BG39,-1))=M39,N39,"")&amp;IF((BG39-ROUNDDOWN(BG39,-1))=O39,P39,"")&amp;IF((BG39-ROUNDDOWN(BG39,-1))=Q39,R39,"")&amp;IF((BG39-ROUNDDOWN(BG39,-1))=S39,T39,""),""))))</f>
        <v/>
      </c>
      <c r="BC39" s="103" t="str">
        <f>IF(BG39="","",IF(BG39&gt;59,"",IF(BG39&gt;=50,"fifty "&amp;IF((BG39-ROUNDDOWN(BG39,-1))=C39,D39,"")&amp;IF((BG39-ROUNDDOWN(BG39,-1))=E39,F39,"")&amp;IF((BG39-ROUNDDOWN(BG39,-1))=G39,H39,"")&amp;IF((BG39-ROUNDDOWN(BG39,-1))=I39,J39,"")&amp;IF((BG39-ROUNDDOWN(BG39,-1))=K39,L39,"")&amp;IF((BG39-ROUNDDOWN(BG39,-1))=M39,N39,"")&amp;IF((BG39-ROUNDDOWN(BG39,-1))=O39,P39,"")&amp;IF((BG39-ROUNDDOWN(BG39,-1))=Q39,R39,"")&amp;IF((BG39-ROUNDDOWN(BG39,-1))=S39,T39,""),IF(BG39&gt;=40,"forty "&amp;IF((BG39-ROUNDDOWN(BG39,-1))=1,D39,"")&amp;IF((BG39-ROUNDDOWN(BG39,-1))=2,F39,"")&amp;IF((BG39-ROUNDDOWN(BG39,-1))=G39,H39,"")&amp;IF((BG39-ROUNDDOWN(BG39,-1))=I39,J39,"")&amp;IF((BG39-ROUNDDOWN(BG39,-1))=K39,L39,"")&amp;IF((BG39-ROUNDDOWN(BG39,-1))=M39,N39,"")&amp;IF((BG39-ROUNDDOWN(BG39,-1))=O39,P39,"")&amp;IF((BG39-ROUNDDOWN(BG39,-1))=Q39,R39,"")&amp;IF((BG39-ROUNDDOWN(BG39,-1))=S39,T39,""),""))))</f>
        <v>forty eight</v>
      </c>
      <c r="BD39" s="103" t="str">
        <f>IF(BG39="","",IF(BG39&gt;39,"",IF(BG39&gt;=30,"thirty "&amp;IF((BG39-ROUNDDOWN(BG39,-1))=C39,D39,"")&amp;IF((BG39-ROUNDDOWN(BG39,-1))=E39,F39,"")&amp;IF((BG39-ROUNDDOWN(BG39,-1))=G39,H39,"")&amp;IF((BG39-ROUNDDOWN(BG39,-1))=I39,J39,"")&amp;IF((BG39-ROUNDDOWN(BG39,-1))=K39,L39,"")&amp;IF((BG39-ROUNDDOWN(BG39,-1))=M39,N39,"")&amp;IF((BG39-ROUNDDOWN(BG39,-1))=O39,P39,"")&amp;IF((BG39-ROUNDDOWN(BG39,-1))=Q39,R39,"")&amp;IF((BG39-ROUNDDOWN(BG39,-1))=S39,T39,""),IF(BG39&gt;=20,"twenty "&amp;IF((BG39-ROUNDDOWN(BG39,-1))=1,D39,"")&amp;IF((BG39-ROUNDDOWN(BG39,-1))=2,F39,"")&amp;IF((BG39-ROUNDDOWN(BG39,-1))=G39,H39,"")&amp;IF((BG39-ROUNDDOWN(BG39,-1))=I39,J39,"")&amp;IF((BG39-ROUNDDOWN(BG39,-1))=K39,L39,"")&amp;IF((BG39-ROUNDDOWN(BG39,-1))=M39,N39,"")&amp;IF((BG39-ROUNDDOWN(BG39,-1))=O39,P39,"")&amp;IF((BG39-ROUNDDOWN(BG39,-1))=Q39,R39,"")&amp;IF((BG39-ROUNDDOWN(BG39,-1))=S39,T39,""),""))))</f>
        <v/>
      </c>
      <c r="BE39" s="103" t="str">
        <f>IF(BG39="","",IF(BG39=C39,D39,"")&amp;IF(BG39=E39,F39,"")&amp;IF(BG39=G39,H39,"")&amp;IF(BG39=I39,J39,"")&amp;IF(BG39=K39,L39,"")&amp;IF(BG39=M39,N39,"")&amp;IF(BG39=O39,P39,"")&amp;IF(BG39=Q39,R39,"")&amp;IF(BG39=S39,T39,"")&amp;IF(BG39=U39,V39,"")&amp;IF(BG39=W39,X39,"")&amp;IF(BG39=Y39,Z39,"")&amp;IF(BG39=AA39,AB39,"")&amp;IF(BG39=AC39,AD39,"")&amp;IF(BG39=AE39,AF39,"")&amp;IF(BG39=AG39,AH39,"")&amp;IF(BG39=AI39,AJ39,"")&amp;IF(BG39=AK39,AL39,"")&amp;IF(BG39=AM39,AN39,""))</f>
        <v/>
      </c>
      <c r="BF39" s="103"/>
      <c r="BG39" s="103">
        <v>48</v>
      </c>
      <c r="BH39" s="103" t="str">
        <f>IF(BA39="","",BA39)&amp;IF(BB39="","",BB39)&amp;IF(BC39="","",BC39)&amp;IF(BD39="","",BD39)&amp;IF(BE39="","",BE39)</f>
        <v>forty eight</v>
      </c>
      <c r="BI39" s="103" t="s">
        <v>287</v>
      </c>
      <c r="BJ39" s="103" t="str">
        <f>IF(BP39="","",IF(BP39&gt;=90,"ninety "&amp;IF((BP39-ROUNDDOWN(BP39,-1))=1,D39,"")&amp;IF((BP39-ROUNDDOWN(BP39,-1))=2,F39,"")&amp;IF((BP39-ROUNDDOWN(BP39,-1))=G39,H39,"")&amp;IF((BP39-ROUNDDOWN(BP39,-1))=I39,J39,"")&amp;IF((BP39-ROUNDDOWN(BP39,-1))=K39,L39,"")&amp;IF((BP39-ROUNDDOWN(BP39,-1))=M39,N39,"")&amp;IF((BP39-ROUNDDOWN(BP39,-1))=O39,P39,"")&amp;IF((BP39-ROUNDDOWN(BP39,-1))=Q39,R39,"")&amp;IF((BP39-ROUNDDOWN(BP39,-1))=S39,T39,""),IF(BP39&gt;=80,"eighty "&amp;IF((BP39-ROUNDDOWN(BP39,-1))=1,D39,"")&amp;IF((BP39-ROUNDDOWN(BP39,-1))=2,F39,"")&amp;IF((BP39-ROUNDDOWN(BP39,-1))=G39,H39,"")&amp;IF((BP39-ROUNDDOWN(BP39,-1))=I39,J39,"")&amp;IF((BP39-ROUNDDOWN(BP39,-1))=K39,L39,"")&amp;IF((BP39-ROUNDDOWN(BP39,-1))=M39,N39,"")&amp;IF((BP39-ROUNDDOWN(BP39,-1))=O39,P39,"")&amp;IF((BP39-ROUNDDOWN(BP39,-1))=Q39,R39,"")&amp;IF((BP39-ROUNDDOWN(BP39,-1))=S39,T39,""),"")))</f>
        <v/>
      </c>
      <c r="BK39" s="103" t="str">
        <f>IF(BP39="","",IF(BP39&gt;79,"",IF(BP39&gt;=70,"seventy "&amp;IF((BP39-ROUNDDOWN(BP39,-1))=1,D39,"")&amp;IF((BP39-ROUNDDOWN(BP39,-1))=2,F39,"")&amp;IF((BP39-ROUNDDOWN(BP39,-1))=G39,H39,"")&amp;IF((BP39-ROUNDDOWN(BP39,-1))=I39,J39,"")&amp;IF((BP39-ROUNDDOWN(BP39,-1))=K39,L39,"")&amp;IF((BP39-ROUNDDOWN(BP39,-1))=M39,N39,"")&amp;IF((BP39-ROUNDDOWN(BP39,-1))=O39,P39,"")&amp;IF((BP39-ROUNDDOWN(BP39,-1))=Q39,R39,"")&amp;IF((BP39-ROUNDDOWN(BP39,-1))=S39,T39,""),IF(BP39&gt;=60,"sixty "&amp;IF((BP39-ROUNDDOWN(BP39,-1))=1,D39,"")&amp;IF((BP39-ROUNDDOWN(BP39,-1))=2,F39,"")&amp;IF((BP39-ROUNDDOWN(BP39,-1))=G39,H39,"")&amp;IF((BP39-ROUNDDOWN(BP39,-1))=I39,J39,"")&amp;IF((BP39-ROUNDDOWN(BP39,-1))=K39,L39,"")&amp;IF((BP39-ROUNDDOWN(BP39,-1))=M39,N39,"")&amp;IF((BP39-ROUNDDOWN(BP39,-1))=O39,P39,"")&amp;IF((BP39-ROUNDDOWN(BP39,-1))=Q39,R39,"")&amp;IF((BP39-ROUNDDOWN(BP39,-1))=S39,T39,""),""))))</f>
        <v/>
      </c>
      <c r="BL39" s="103" t="str">
        <f>IF(BP39="","",IF(BP39&gt;59,"",IF(BP39&gt;=50,"fifty "&amp;IF((BP39-ROUNDDOWN(BP39,-1))=1,D39,"")&amp;IF((BP39-ROUNDDOWN(BP39,-1))=2,F39,"")&amp;IF((BP39-ROUNDDOWN(BP39,-1))=G39,H39,"")&amp;IF((BP39-ROUNDDOWN(BP39,-1))=I39,J39,"")&amp;IF((BP39-ROUNDDOWN(BP39,-1))=K39,L39,"")&amp;IF((BP39-ROUNDDOWN(BP39,-1))=M39,N39,"")&amp;IF((BP39-ROUNDDOWN(BP39,-1))=O39,P39,"")&amp;IF((BP39-ROUNDDOWN(BP39,-1))=Q39,R39,"")&amp;IF((BP39-ROUNDDOWN(BP39,-1))=S39,T39,""),IF(BP39&gt;=40,"forty "&amp;IF((BP39-ROUNDDOWN(BP39,-1))=1,D39,"")&amp;IF((BP39-ROUNDDOWN(BP39,-1))=2,F39,"")&amp;IF((BP39-ROUNDDOWN(BP39,-1))=G39,H39,"")&amp;IF((BP39-ROUNDDOWN(BP39,-1))=I39,J39,"")&amp;IF((BP39-ROUNDDOWN(BP39,-1))=K39,L39,"")&amp;IF((BP39-ROUNDDOWN(BP39,-1))=M39,N39,"")&amp;IF((BP39-ROUNDDOWN(BP39,-1))=O39,P39,"")&amp;IF((BP39-ROUNDDOWN(BP39,-1))=Q39,R39,"")&amp;IF((BP39-ROUNDDOWN(BP39,-1))=S39,T39,""),""))))</f>
        <v/>
      </c>
      <c r="BM39" s="103" t="str">
        <f>IF(BP39="","",IF(BP39&gt;39,"",IF(BP39&gt;=30,"thirty "&amp;IF((BP39-ROUNDDOWN(BP39,-1))=1,D39,"")&amp;IF((BP39-ROUNDDOWN(BP39,-1))=2,F39,"")&amp;IF((BP39-ROUNDDOWN(BP39,-1))=G39,H39,"")&amp;IF((BP39-ROUNDDOWN(BP39,-1))=I39,J39,"")&amp;IF((BP39-ROUNDDOWN(BP39,-1))=K39,L39,"")&amp;IF((BP39-ROUNDDOWN(BP39,-1))=M39,N39,"")&amp;IF((BP39-ROUNDDOWN(BP39,-1))=O39,P39,"")&amp;IF((BP39-ROUNDDOWN(BP39,-1))=Q39,R39,"")&amp;IF((BP39-ROUNDDOWN(BP39,-1))=S39,T39,""),IF(BP39&gt;=20,"twenty "&amp;IF((BP39-ROUNDDOWN(BP39,-1))=1,D39,"")&amp;IF((BP39-ROUNDDOWN(BP39,-1))=2,F39,"")&amp;IF((BP39-ROUNDDOWN(BP39,-1))=G39,H39,"")&amp;IF((BP39-ROUNDDOWN(BP39,-1))=I39,J39,"")&amp;IF((BP39-ROUNDDOWN(BP39,-1))=K39,L39,"")&amp;IF((BP39-ROUNDDOWN(BP39,-1))=M39,N39,"")&amp;IF((BP39-ROUNDDOWN(BP39,-1))=O39,P39,"")&amp;IF((BP39-ROUNDDOWN(BP39,-1))=Q39,R39,"")&amp;IF((BP39-ROUNDDOWN(BP39,-1))=S39,T39,""),""))))</f>
        <v>twenty three</v>
      </c>
      <c r="BN39" s="103" t="str">
        <f>IF(BP39="","",IF(BP39=C39,D39,"")&amp;IF(BP39=E39,F39,"")&amp;IF(BP39=G39,H39,"")&amp;IF(BP39=I39,J39,"")&amp;IF(BP39=K39,L39,"")&amp;IF(BP39=M39,N39,"")&amp;IF(BP39=O39,P39,"")&amp;IF(BP39=Q39,R39,"")&amp;IF(BP39=S39,T39,"")&amp;IF(BP39=U39,V39,"")&amp;IF(BP39=W39,X39,"")&amp;IF(BP39=Y39,Z39,"")&amp;IF(BP39=AA39,AB39,"")&amp;IF(BP39=AC39,AD39,"")&amp;IF(BP39=AE39,AF39,"")&amp;IF(BP39=AG39,AH39,"")&amp;IF(BP39=AI39,AJ39,"")&amp;IF(BP39=AK39,AL39,"")&amp;IF(BP39=AM39,AN39,""))</f>
        <v/>
      </c>
      <c r="BO39" s="103"/>
      <c r="BP39" s="103">
        <f>IF(A39&gt;=1000,ROUNDDOWN((A39-ROUNDDOWN(A39,-5))/1000,0),"")</f>
        <v>23</v>
      </c>
      <c r="BQ39" s="103" t="str">
        <f>IF(BJ39="","",BJ39)&amp;IF(BK39="","",BK39)&amp;IF(BL39="","",BL39)&amp;IF(BM39="","",BM39)&amp;IF(BN39="","",BN39)</f>
        <v>twenty three</v>
      </c>
      <c r="BR39" s="103" t="s">
        <v>288</v>
      </c>
      <c r="BS39" s="103" t="str">
        <f>IF(BY39="","",IF(BY39&gt;=90,"ninety "&amp;IF((BY39-ROUNDDOWN(BY39,-1))=1,D39,"")&amp;IF((BY39-ROUNDDOWN(BY39,-1))=2,F39,"")&amp;IF((BY39-ROUNDDOWN(BY39,-1))=G39,H39,"")&amp;IF((BY39-ROUNDDOWN(BY39,-1))=I39,J39,"")&amp;IF((BY39-ROUNDDOWN(BY39,-1))=K39,L39,"")&amp;IF((BY39-ROUNDDOWN(BY39,-1))=M39,N39,"")&amp;IF((BY39-ROUNDDOWN(BY39,-1))=O39,P39,"")&amp;IF((BY39-ROUNDDOWN(BY39,-1))=Q39,R39,"")&amp;IF((BY39-ROUNDDOWN(BY39,-1))=S39,T39,""),IF(BY39&gt;=80,"eighty "&amp;IF((BY39-ROUNDDOWN(BY39,-1))=1,D39,"")&amp;IF((BY39-ROUNDDOWN(BY39,-1))=2,F39,"")&amp;IF((BY39-ROUNDDOWN(BY39,-1))=G39,H39,"")&amp;IF((BY39-ROUNDDOWN(BY39,-1))=I39,J39,"")&amp;IF((BY39-ROUNDDOWN(BY39,-1))=K39,L39,"")&amp;IF((BY39-ROUNDDOWN(BY39,-1))=M39,N39,"")&amp;IF((BY39-ROUNDDOWN(BY39,-1))=O39,P39,"")&amp;IF((BY39-ROUNDDOWN(BY39,-1))=Q39,R39,"")&amp;IF((BY39-ROUNDDOWN(BY39,-1))=S39,T39,""),"")))</f>
        <v/>
      </c>
      <c r="BT39" s="103" t="str">
        <f>IF(BY39="","",IF(BY39&gt;79,"",IF(BY39&gt;=70,"seventy "&amp;IF((BY39-ROUNDDOWN(BY39,-1))=1,D39,"")&amp;IF((BY39-ROUNDDOWN(BY39,-1))=2,F39,"")&amp;IF((BY39-ROUNDDOWN(BY39,-1))=G39,H39,"")&amp;IF((BY39-ROUNDDOWN(BY39,-1))=I39,J39,"")&amp;IF((BY39-ROUNDDOWN(BY39,-1))=K39,L39,"")&amp;IF((BY39-ROUNDDOWN(BY39,-1))=M39,N39,"")&amp;IF((BY39-ROUNDDOWN(BY39,-1))=O39,P39,"")&amp;IF((BY39-ROUNDDOWN(BY39,-1))=Q39,R39,"")&amp;IF((BY39-ROUNDDOWN(BY39,-1))=S39,T39,""),IF(BY39&gt;=60,"sixty "&amp;IF((BY39-ROUNDDOWN(BY39,-1))=1,D39,"")&amp;IF((BY39-ROUNDDOWN(BY39,-1))=2,F39,"")&amp;IF((BY39-ROUNDDOWN(BY39,-1))=G39,H39,"")&amp;IF((BY39-ROUNDDOWN(BY39,-1))=I39,J39,"")&amp;IF((BY39-ROUNDDOWN(BY39,-1))=K39,L39,"")&amp;IF((BY39-ROUNDDOWN(BY39,-1))=M39,N39,"")&amp;IF((BY39-ROUNDDOWN(BY39,-1))=O39,P39,"")&amp;IF((BY39-ROUNDDOWN(BY39,-1))=Q39,R39,"")&amp;IF((BY39-ROUNDDOWN(BY39,-1))=S39,T39,""),""))))</f>
        <v/>
      </c>
      <c r="BU39" s="103" t="str">
        <f>IF(BY39="","",IF(BY39&gt;59,"",IF(BY39&gt;=50,"fifty "&amp;IF((BY39-ROUNDDOWN(BY39,-1))=1,D39,"")&amp;IF((BY39-ROUNDDOWN(BY39,-1))=2,F39,"")&amp;IF((BY39-ROUNDDOWN(BY39,-1))=G39,H39,"")&amp;IF((BY39-ROUNDDOWN(BY39,-1))=I39,J39,"")&amp;IF((BY39-ROUNDDOWN(BY39,-1))=K39,L39,"")&amp;IF((BY39-ROUNDDOWN(BY39,-1))=M39,N39,"")&amp;IF((BY39-ROUNDDOWN(BY39,-1))=O39,P39,"")&amp;IF((BY39-ROUNDDOWN(BY39,-1))=Q39,R39,"")&amp;IF((BY39-ROUNDDOWN(BY39,-1))=S39,T39,""),IF(BY39&gt;=40,"forty "&amp;IF((BY39-ROUNDDOWN(BY39,-1))=1,D39,"")&amp;IF((BY39-ROUNDDOWN(BY39,-1))=2,F39,"")&amp;IF((BY39-ROUNDDOWN(BY39,-1))=G39,H39,"")&amp;IF((BY39-ROUNDDOWN(BY39,-1))=I39,J39,"")&amp;IF((BY39-ROUNDDOWN(BY39,-1))=K39,L39,"")&amp;IF((BY39-ROUNDDOWN(BY39,-1))=M39,N39,"")&amp;IF((BY39-ROUNDDOWN(BY39,-1))=O39,P39,"")&amp;IF((BY39-ROUNDDOWN(BY39,-1))=Q39,R39,"")&amp;IF((BY39-ROUNDDOWN(BY39,-1))=S39,T39,""),""))))</f>
        <v/>
      </c>
      <c r="BV39" s="103" t="str">
        <f>IF(BY39="","",IF(BY39&gt;39,"",IF(BY39&gt;=30,"thirty "&amp;IF((BY39-ROUNDDOWN(BY39,-1))=1,D39,"")&amp;IF((BY39-ROUNDDOWN(BY39,-1))=2,F39,"")&amp;IF((BY39-ROUNDDOWN(BY39,-1))=G39,H39,"")&amp;IF((BY39-ROUNDDOWN(BY39,-1))=I39,J39,"")&amp;IF((BY39-ROUNDDOWN(BY39,-1))=K39,L39,"")&amp;IF((BY39-ROUNDDOWN(BY39,-1))=M39,N39,"")&amp;IF((BY39-ROUNDDOWN(BY39,-1))=O39,P39,"")&amp;IF((BY39-ROUNDDOWN(BY39,-1))=Q39,R39,"")&amp;IF((BY39-ROUNDDOWN(BY39,-1))=S39,T39,""),IF(BY39&gt;=20,"twenty "&amp;IF((BY39-ROUNDDOWN(BY39,-1))=1,D39,"")&amp;IF((BY39-ROUNDDOWN(BY39,-1))=2,F39,"")&amp;IF((BY39-ROUNDDOWN(BY39,-1))=G39,H39,"")&amp;IF((BY39-ROUNDDOWN(BY39,-1))=I39,J39,"")&amp;IF((BY39-ROUNDDOWN(BY39,-1))=K39,L39,"")&amp;IF((BY39-ROUNDDOWN(BY39,-1))=M39,N39,"")&amp;IF((BY39-ROUNDDOWN(BY39,-1))=O39,P39,"")&amp;IF((BY39-ROUNDDOWN(BY39,-1))=Q39,R39,"")&amp;IF((BY39-ROUNDDOWN(BY39,-1))=S39,T39,""),""))))</f>
        <v/>
      </c>
      <c r="BW39" s="103" t="str">
        <f>IF(BY39="","",IF(BY39=C39,D39,"")&amp;IF(BY39=E39,F39,"")&amp;IF(BY39=G39,H39,"")&amp;IF(BY39=I39,J39,"")&amp;IF(BY39=K39,L39,"")&amp;IF(BY39=M39,N39,"")&amp;IF(BY39=O39,P39,"")&amp;IF(BY39=Q39,R39,"")&amp;IF(BY39=S39,T39,"")&amp;IF(BY39=U39,V39,"")&amp;IF(BY39=W39,X39,"")&amp;IF(BY39=Y39,Z39,"")&amp;IF(BY39=AA39,AB39,"")&amp;IF(BY39=AC39,AD39,"")&amp;IF(BY39=AE39,AF39,"")&amp;IF(BY39=AG39,AH39,"")&amp;IF(BY39=AI39,AJ39,"")&amp;IF(BY39=AK39,AL39,"")&amp;IF(BY39=AM39,AN39,""))</f>
        <v>five</v>
      </c>
      <c r="BX39" s="104"/>
      <c r="BY39" s="103">
        <f>IF(A39&gt;=100,ROUNDDOWN((A39-ROUNDDOWN(A39,-3))/100,0),"")</f>
        <v>5</v>
      </c>
      <c r="BZ39" s="103" t="str">
        <f>IF(BS39="","",BS39)&amp;IF(BT39="","",BT39)&amp;IF(BU39="","",BU39)&amp;IF(BV39="","",BV39)&amp;IF(BW39="","",BW39)</f>
        <v>five</v>
      </c>
      <c r="CA39" s="103" t="s">
        <v>289</v>
      </c>
      <c r="CB39" s="103" t="str">
        <f>IF(CH39="","",IF(CH39&gt;=90,"ninety "&amp;IF((CH39-ROUNDDOWN(CH39,-1))=1,D39,"")&amp;IF((CH39-ROUNDDOWN(CH39,-1))=2,F39,"")&amp;IF((CH39-ROUNDDOWN(CH39,-1))=G39,H39,"")&amp;IF((CH39-ROUNDDOWN(CH39,-1))=I39,J39,"")&amp;IF((CH39-ROUNDDOWN(CH39,-1))=K39,L39,"")&amp;IF((CH39-ROUNDDOWN(CH39,-1))=M39,N39,"")&amp;IF((CH39-ROUNDDOWN(CH39,-1))=O39,P39,"")&amp;IF((CH39-ROUNDDOWN(CH39,-1))=Q39,R39,"")&amp;IF((CH39-ROUNDDOWN(CH39,-1))=S39,T39,""),IF(CH39&gt;=80,"eighty "&amp;IF((CH39-ROUNDDOWN(CH39,-1))=1,D39,"")&amp;IF((CH39-ROUNDDOWN(CH39,-1))=2,F39,"")&amp;IF((CH39-ROUNDDOWN(CH39,-1))=G39,H39,"")&amp;IF((CH39-ROUNDDOWN(CH39,-1))=I39,J39,"")&amp;IF((CH39-ROUNDDOWN(CH39,-1))=K39,L39,"")&amp;IF((CH39-ROUNDDOWN(CH39,-1))=M39,N39,"")&amp;IF((CH39-ROUNDDOWN(CH39,-1))=O39,P39,"")&amp;IF((CH39-ROUNDDOWN(CH39,-1))=Q39,R39,"")&amp;IF((CH39-ROUNDDOWN(CH39,-1))=S39,T39,""),"")))</f>
        <v/>
      </c>
      <c r="CC39" s="103" t="str">
        <f>IF(CH39="","",IF(CH39&gt;79,"",IF(CH39&gt;=70,"seventy "&amp;IF((CH39-ROUNDDOWN(CH39,-1))=1,D39,"")&amp;IF((CH39-ROUNDDOWN(CH39,-1))=2,F39,"")&amp;IF((CH39-ROUNDDOWN(CH39,-1))=G39,H39,"")&amp;IF((CH39-ROUNDDOWN(CH39,-1))=I39,J39,"")&amp;IF((CH39-ROUNDDOWN(CH39,-1))=K39,L39,"")&amp;IF((CH39-ROUNDDOWN(CH39,-1))=M39,N39,"")&amp;IF((CH39-ROUNDDOWN(CH39,-1))=O39,P39,"")&amp;IF((CH39-ROUNDDOWN(CH39,-1))=Q39,R39,"")&amp;IF((CH39-ROUNDDOWN(CH39,-1))=S39,T39,""),IF(CH39&gt;=60,"sixty "&amp;IF((CH39-ROUNDDOWN(CH39,-1))=1,D39,"")&amp;IF((CH39-ROUNDDOWN(CH39,-1))=2,F39,"")&amp;IF((CH39-ROUNDDOWN(CH39,-1))=G39,H39,"")&amp;IF((CH39-ROUNDDOWN(CH39,-1))=I39,J39,"")&amp;IF((CH39-ROUNDDOWN(CH39,-1))=K39,L39,"")&amp;IF((CH39-ROUNDDOWN(CH39,-1))=M39,N39,"")&amp;IF((CH39-ROUNDDOWN(CH39,-1))=O39,P39,"")&amp;IF((CH39-ROUNDDOWN(CH39,-1))=Q39,R39,"")&amp;IF((CH39-ROUNDDOWN(CH39,-1))=S39,T39,""),""))))</f>
        <v/>
      </c>
      <c r="CD39" s="103" t="str">
        <f>IF(CH39="","",IF(CH39&gt;59,"",IF(CH39&gt;=50,"fifty "&amp;IF((CH39-ROUNDDOWN(CH39,-1))=1,D39,"")&amp;IF((CH39-ROUNDDOWN(CH39,-1))=2,F39,"")&amp;IF((CH39-ROUNDDOWN(CH39,-1))=G39,H39,"")&amp;IF((CH39-ROUNDDOWN(CH39,-1))=I39,J39,"")&amp;IF((CH39-ROUNDDOWN(CH39,-1))=K39,L39,"")&amp;IF((CH39-ROUNDDOWN(CH39,-1))=M39,N39,"")&amp;IF((CH39-ROUNDDOWN(CH39,-1))=O39,P39,"")&amp;IF((CH39-ROUNDDOWN(CH39,-1))=Q39,R39,"")&amp;IF((CH39-ROUNDDOWN(CH39,-1))=S39,T39,""),IF(CH39&gt;=40,"forty "&amp;IF((CH39-ROUNDDOWN(CH39,-1))=1,D39,"")&amp;IF((CH39-ROUNDDOWN(CH39,-1))=2,F39,"")&amp;IF((CH39-ROUNDDOWN(CH39,-1))=G39,H39,"")&amp;IF((CH39-ROUNDDOWN(CH39,-1))=I39,J39,"")&amp;IF((CH39-ROUNDDOWN(CH39,-1))=K39,L39,"")&amp;IF((CH39-ROUNDDOWN(CH39,-1))=M39,N39,"")&amp;IF((CH39-ROUNDDOWN(CH39,-1))=O39,P39,"")&amp;IF((CH39-ROUNDDOWN(CH39,-1))=Q39,R39,"")&amp;IF((CH39-ROUNDDOWN(CH39,-1))=S39,T39,""),""))))</f>
        <v/>
      </c>
      <c r="CE39" s="103" t="str">
        <f>IF(CH39="","",IF(CH39&gt;39,"",IF(CH39&gt;=30,"thirty "&amp;IF((CH39-ROUNDDOWN(CH39,-1))=1,D39,"")&amp;IF((CH39-ROUNDDOWN(CH39,-1))=2,F39,"")&amp;IF((CH39-ROUNDDOWN(CH39,-1))=G39,H39,"")&amp;IF((CH39-ROUNDDOWN(CH39,-1))=I39,J39,"")&amp;IF((CH39-ROUNDDOWN(CH39,-1))=K39,L39,"")&amp;IF((CH39-ROUNDDOWN(CH39,-1))=M39,N39,"")&amp;IF((CH39-ROUNDDOWN(CH39,-1))=O39,P39,"")&amp;IF((CH39-ROUNDDOWN(CH39,-1))=Q39,R39,"")&amp;IF((CH39-ROUNDDOWN(CH39,-1))=S39,T39,""),IF(CH39&gt;=20,"twenty "&amp;IF((CH39-ROUNDDOWN(CH39,-1))=1,D39,"")&amp;IF((CH39-ROUNDDOWN(CH39,-1))=2,F39,"")&amp;IF((CH39-ROUNDDOWN(CH39,-1))=G39,H39,"")&amp;IF((CH39-ROUNDDOWN(CH39,-1))=I39,J39,"")&amp;IF((CH39-ROUNDDOWN(CH39,-1))=K39,L39,"")&amp;IF((CH39-ROUNDDOWN(CH39,-1))=M39,N39,"")&amp;IF((CH39-ROUNDDOWN(CH39,-1))=O39,P39,"")&amp;IF((CH39-ROUNDDOWN(CH39,-1))=Q39,R39,"")&amp;IF((CH39-ROUNDDOWN(CH39,-1))=S39,T39,""),""))))</f>
        <v/>
      </c>
      <c r="CF39" s="103" t="str">
        <f>IF(CH39="","",IF(CH39=C39,D39,"")&amp;IF(CH39=E39,F39,"")&amp;IF(CH39=G39,H39,"")&amp;IF(CH39=I39,J39,"")&amp;IF(CH39=K39,L39,"")&amp;IF(CH39=M39,N39,"")&amp;IF(CH39=O39,P39,"")&amp;IF(CH39=Q39,R39,"")&amp;IF(CH39=S39,T39,"")&amp;IF(CH39=U39,V39,"")&amp;IF(CH39=W39,X39,"")&amp;IF(CH39=Y39,Z39,"")&amp;IF(CH39=AA39,AB39,"")&amp;IF(CH39=AC39,AD39,"")&amp;IF(CH39=AE39,AF39,"")&amp;IF(CH39=AG39,AH39,"")&amp;IF(CH39=AI39,AJ39,"")&amp;IF(CH39=AK39,AL39,"")&amp;IF(CH39=AM39,AN39,""))</f>
        <v/>
      </c>
      <c r="CG39" s="104"/>
      <c r="CH39" s="103">
        <f>IF(A39&gt;=1,ROUNDDOWN(A39-ROUNDDOWN(A39,-2),0),"")</f>
        <v>0</v>
      </c>
      <c r="CI39" s="103" t="str">
        <f>IF(CB39="","",CB39)&amp;IF(CC39="","",CC39)&amp;IF(CD39="","",CD39)&amp;IF(CE39="","",CE39)&amp;IF(CF39="","",CF39)</f>
        <v/>
      </c>
      <c r="CJ39" s="103" t="s">
        <v>290</v>
      </c>
      <c r="CK39" s="103" t="str">
        <f>IF(CQ39="","",IF(CQ39&gt;=90,"ninety "&amp;IF((CQ39-ROUNDDOWN(CQ39,-1))=1,D39,"")&amp;IF((CQ39-ROUNDDOWN(CQ39,-1))=2,F39,"")&amp;IF((CQ39-ROUNDDOWN(CQ39,-1))=G39,H39,"")&amp;IF((CQ39-ROUNDDOWN(CQ39,-1))=I39,J39,"")&amp;IF((CQ39-ROUNDDOWN(CQ39,-1))=K39,L39,"")&amp;IF((CQ39-ROUNDDOWN(CQ39,-1))=M39,N39,"")&amp;IF((CQ39-ROUNDDOWN(CQ39,-1))=O39,P39,"")&amp;IF((CQ39-ROUNDDOWN(CQ39,-1))=Q39,R39,"")&amp;IF((CQ39-ROUNDDOWN(CQ39,-1))=S39,T39,""),IF(CQ39&gt;=80,"eighty "&amp;IF((CQ39-ROUNDDOWN(CQ39,-1))=1,D39,"")&amp;IF((CQ39-ROUNDDOWN(CQ39,-1))=2,F39,"")&amp;IF((CQ39-ROUNDDOWN(CQ39,-1))=G39,H39,"")&amp;IF((CQ39-ROUNDDOWN(CQ39,-1))=I39,J39,"")&amp;IF((CQ39-ROUNDDOWN(CQ39,-1))=K39,L39,"")&amp;IF((CQ39-ROUNDDOWN(CQ39,-1))=M39,N39,"")&amp;IF((CQ39-ROUNDDOWN(CQ39,-1))=O39,P39,"")&amp;IF((CQ39-ROUNDDOWN(CQ39,-1))=Q39,R39,"")&amp;IF((CQ39-ROUNDDOWN(CQ39,-1))=S39,T39,""),"")))</f>
        <v/>
      </c>
      <c r="CL39" s="103" t="str">
        <f>IF(CQ39="","",IF(CQ39&gt;79,"",IF(CQ39&gt;=70,"seventy "&amp;IF((CQ39-ROUNDDOWN(CQ39,-1))=1,D39,"")&amp;IF((CQ39-ROUNDDOWN(CQ39,-1))=2,F39,"")&amp;IF((CQ39-ROUNDDOWN(CQ39,-1))=G39,H39,"")&amp;IF((CQ39-ROUNDDOWN(CQ39,-1))=I39,J39,"")&amp;IF((CQ39-ROUNDDOWN(CQ39,-1))=K39,L39,"")&amp;IF((CQ39-ROUNDDOWN(CQ39,-1))=M39,N39,"")&amp;IF((CQ39-ROUNDDOWN(CQ39,-1))=O39,P39,"")&amp;IF((CQ39-ROUNDDOWN(CQ39,-1))=Q39,R39,"")&amp;IF((CQ39-ROUNDDOWN(CQ39,-1))=S39,T39,""),IF(CQ39&gt;=60,"sixty "&amp;IF((CQ39-ROUNDDOWN(CQ39,-1))=1,D39,"")&amp;IF((CQ39-ROUNDDOWN(CQ39,-1))=2,F39,"")&amp;IF((CQ39-ROUNDDOWN(CQ39,-1))=G39,H39,"")&amp;IF((CQ39-ROUNDDOWN(CQ39,-1))=I39,J39,"")&amp;IF((CQ39-ROUNDDOWN(CQ39,-1))=K39,L39,"")&amp;IF((CQ39-ROUNDDOWN(CQ39,-1))=M39,N39,"")&amp;IF((CQ39-ROUNDDOWN(CQ39,-1))=O39,P39,"")&amp;IF((CQ39-ROUNDDOWN(CQ39,-1))=Q39,R39,"")&amp;IF((CQ39-ROUNDDOWN(CQ39,-1))=S39,T39,""),""))))</f>
        <v/>
      </c>
      <c r="CM39" s="103" t="str">
        <f>IF(CQ39="","",IF(CQ39&gt;59,"",IF(CQ39&gt;=50,"fifty "&amp;IF((CQ39-ROUNDDOWN(CQ39,-1))=1,D39,"")&amp;IF((CQ39-ROUNDDOWN(CQ39,-1))=2,F39,"")&amp;IF((CQ39-ROUNDDOWN(CQ39,-1))=G39,H39,"")&amp;IF((CQ39-ROUNDDOWN(CQ39,-1))=I39,J39,"")&amp;IF((CQ39-ROUNDDOWN(CQ39,-1))=K39,L39,"")&amp;IF((CQ39-ROUNDDOWN(CQ39,-1))=M39,N39,"")&amp;IF((CQ39-ROUNDDOWN(CQ39,-1))=O39,P39,"")&amp;IF((CQ39-ROUNDDOWN(CQ39,-1))=Q39,R39,"")&amp;IF((CQ39-ROUNDDOWN(CQ39,-1))=S39,T39,""),IF(CQ39&gt;=40,"forty "&amp;IF((CQ39-ROUNDDOWN(CQ39,-1))=1,D39,"")&amp;IF((CQ39-ROUNDDOWN(CQ39,-1))=2,F39,"")&amp;IF((CQ39-ROUNDDOWN(CQ39,-1))=G39,H39,"")&amp;IF((CQ39-ROUNDDOWN(CQ39,-1))=I39,J39,"")&amp;IF((CQ39-ROUNDDOWN(CQ39,-1))=K39,L39,"")&amp;IF((CQ39-ROUNDDOWN(CQ39,-1))=M39,N39,"")&amp;IF((CQ39-ROUNDDOWN(CQ39,-1))=O39,P39,"")&amp;IF((CQ39-ROUNDDOWN(CQ39,-1))=Q39,R39,"")&amp;IF((CQ39-ROUNDDOWN(CQ39,-1))=S39,T39,""),""))))</f>
        <v/>
      </c>
      <c r="CN39" s="103" t="str">
        <f>IF(CQ39="","",IF(CQ39&gt;39,"",IF(CQ39&gt;=30,"thirty "&amp;IF((CQ39-ROUNDDOWN(CQ39,-1))=1,D39,"")&amp;IF((CQ39-ROUNDDOWN(CQ39,-1))=2,F39,"")&amp;IF((CQ39-ROUNDDOWN(CQ39,-1))=G39,H39,"")&amp;IF((CQ39-ROUNDDOWN(CQ39,-1))=I39,J39,"")&amp;IF((CQ39-ROUNDDOWN(CQ39,-1))=K39,L39,"")&amp;IF((CQ39-ROUNDDOWN(CQ39,-1))=M39,N39,"")&amp;IF((CQ39-ROUNDDOWN(CQ39,-1))=O39,P39,"")&amp;IF((CQ39-ROUNDDOWN(CQ39,-1))=Q39,R39,"")&amp;IF((CQ39-ROUNDDOWN(CQ39,-1))=S39,T39,""),IF(CQ39&gt;=20,"twenty "&amp;IF((CQ39-ROUNDDOWN(CQ39,-1))=1,D39,"")&amp;IF((CQ39-ROUNDDOWN(CQ39,-1))=2,F39,"")&amp;IF((CQ39-ROUNDDOWN(CQ39,-1))=G39,H39,"")&amp;IF((CQ39-ROUNDDOWN(CQ39,-1))=I39,J39,"")&amp;IF((CQ39-ROUNDDOWN(CQ39,-1))=K39,L39,"")&amp;IF((CQ39-ROUNDDOWN(CQ39,-1))=M39,N39,"")&amp;IF((CQ39-ROUNDDOWN(CQ39,-1))=O39,P39,"")&amp;IF((CQ39-ROUNDDOWN(CQ39,-1))=Q39,R39,"")&amp;IF((CQ39-ROUNDDOWN(CQ39,-1))=S39,T39,""),""))))</f>
        <v/>
      </c>
      <c r="CO39" s="103" t="str">
        <f>IF(CQ39="","",IF(CQ39=C39,D39,"")&amp;IF(CQ39=E39,F39,"")&amp;IF(CQ39=G39,H39,"")&amp;IF(CQ39=I39,J39,"")&amp;IF(CQ39=K39,L39,"")&amp;IF(CQ39=M39,N39,"")&amp;IF(CQ39=O39,P39,"")&amp;IF(CQ39=Q39,R39,"")&amp;IF(CQ39=S39,T39,"")&amp;IF(CQ39=U39,V39,"")&amp;IF(CQ39=W39,X39,"")&amp;IF(CQ39=Y39,Z39,"")&amp;IF(CQ39=AA39,AB39,"")&amp;IF(CQ39=AC39,AD39,"")&amp;IF(CQ39=AE39,AF39,"")&amp;IF(CQ39=AG39,AH39,"")&amp;IF(CQ39=AI39,AJ39,"")&amp;IF(CQ39=AK39,AL39,"")&amp;IF(CQ39=AM39,AN39,""))</f>
        <v/>
      </c>
      <c r="CP39" s="104"/>
      <c r="CQ39" s="103" t="str">
        <f>IF((A39-ROUNDDOWN(A39,0))&gt;0,ROUND((A39-ROUNDDOWN(A39,0))*100,0),"")</f>
        <v/>
      </c>
      <c r="CR39" s="103" t="str">
        <f>IF(CK39="","",CK39)&amp;IF(CL39="","",CL39)&amp;IF(CM39="","",CM39)&amp;IF(CN39="","",CN39)&amp;IF(CO39="","",CO39)</f>
        <v/>
      </c>
      <c r="CS39" s="104" t="s">
        <v>291</v>
      </c>
      <c r="CT39" s="105"/>
      <c r="CU39" s="106" t="str">
        <f>IF(A39="","","(Rupees "&amp;IF(AY39="","",AY39&amp;" crore ")&amp;IF(BH39="","",BH39&amp;" lakh ")&amp;IF(BQ39="","",BQ39&amp;" thousand ")&amp;IF(BZ39="","",BZ39&amp;" hundred ")&amp;IF(CI39="","",CI39)&amp;IF(CR39="",""," and paise "&amp;CR39)&amp;") only.")</f>
        <v>(Rupees forty eight lakh twenty three thousand five hundred ) only.</v>
      </c>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row>
  </sheetData>
  <mergeCells count="19">
    <mergeCell ref="B22:G22"/>
    <mergeCell ref="B15:E15"/>
    <mergeCell ref="B19:E19"/>
    <mergeCell ref="B3:G3"/>
    <mergeCell ref="B16:E16"/>
    <mergeCell ref="B8:E8"/>
    <mergeCell ref="B21:G21"/>
    <mergeCell ref="B13:E13"/>
    <mergeCell ref="B18:E18"/>
    <mergeCell ref="B10:E10"/>
    <mergeCell ref="B6:G6"/>
    <mergeCell ref="B17:E17"/>
    <mergeCell ref="B5:G5"/>
    <mergeCell ref="B12:E12"/>
    <mergeCell ref="B20:E20"/>
    <mergeCell ref="B11:E11"/>
    <mergeCell ref="B14:E14"/>
    <mergeCell ref="B9:E9"/>
    <mergeCell ref="B7:F7"/>
  </mergeCells>
  <pageMargins left="0.7" right="0.7" top="0.75" bottom="0.75" header="0.3" footer="0.3"/>
  <pageSetup paperSize="9"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314"/>
  <sheetViews>
    <sheetView topLeftCell="A264" workbookViewId="0">
      <selection activeCell="C268" sqref="C268:K268"/>
    </sheetView>
  </sheetViews>
  <sheetFormatPr defaultRowHeight="13.2" x14ac:dyDescent="0.25"/>
  <cols>
    <col min="1" max="1" width="4.44140625" style="4" customWidth="1"/>
    <col min="2" max="2" width="7.88671875" style="4" customWidth="1"/>
    <col min="3" max="3" width="17.109375" style="420" customWidth="1"/>
    <col min="4" max="4" width="3.6640625" style="448" customWidth="1"/>
    <col min="5" max="5" width="1.5546875" style="436" customWidth="1"/>
    <col min="6" max="6" width="5.88671875" style="436" customWidth="1"/>
    <col min="7" max="7" width="2.33203125" style="436" customWidth="1"/>
    <col min="8" max="8" width="5" style="436" customWidth="1"/>
    <col min="9" max="9" width="2" style="436" customWidth="1"/>
    <col min="10" max="10" width="9.21875" style="436" customWidth="1"/>
    <col min="11" max="11" width="8.6640625" style="4" customWidth="1"/>
    <col min="12" max="12" width="5.33203125" style="4" customWidth="1"/>
    <col min="13" max="13" width="11.5546875" style="4" customWidth="1"/>
    <col min="14" max="14" width="21.109375" style="4" customWidth="1"/>
    <col min="15" max="15" width="12.77734375" bestFit="1" customWidth="1"/>
    <col min="16" max="16" width="11.33203125" bestFit="1" customWidth="1"/>
  </cols>
  <sheetData>
    <row r="1" spans="1:14" ht="28.2" customHeight="1" x14ac:dyDescent="0.25">
      <c r="A1" s="480" t="s">
        <v>0</v>
      </c>
      <c r="B1" s="462"/>
      <c r="C1" s="462"/>
      <c r="D1" s="462"/>
      <c r="E1" s="462"/>
      <c r="F1" s="462"/>
      <c r="G1" s="462"/>
      <c r="H1" s="462"/>
      <c r="I1" s="462"/>
      <c r="J1" s="462"/>
      <c r="K1" s="462"/>
      <c r="L1" s="462"/>
      <c r="M1" s="462"/>
      <c r="N1" s="463"/>
    </row>
    <row r="2" spans="1:14" ht="24" customHeight="1" x14ac:dyDescent="0.25">
      <c r="A2" s="475" t="s">
        <v>1</v>
      </c>
      <c r="B2" s="462"/>
      <c r="C2" s="462"/>
      <c r="D2" s="462"/>
      <c r="E2" s="462"/>
      <c r="F2" s="462"/>
      <c r="G2" s="462"/>
      <c r="H2" s="462"/>
      <c r="I2" s="462"/>
      <c r="J2" s="462"/>
      <c r="K2" s="462"/>
      <c r="L2" s="462"/>
      <c r="M2" s="462"/>
      <c r="N2" s="463"/>
    </row>
    <row r="3" spans="1:14" ht="19.95" customHeight="1" x14ac:dyDescent="0.25">
      <c r="A3" s="476" t="s">
        <v>2</v>
      </c>
      <c r="B3" s="462"/>
      <c r="C3" s="462"/>
      <c r="D3" s="462"/>
      <c r="E3" s="462"/>
      <c r="F3" s="462"/>
      <c r="G3" s="462"/>
      <c r="H3" s="462"/>
      <c r="I3" s="462"/>
      <c r="J3" s="462"/>
      <c r="K3" s="462"/>
      <c r="L3" s="462"/>
      <c r="M3" s="462"/>
      <c r="N3" s="463"/>
    </row>
    <row r="4" spans="1:14" ht="27.6" customHeight="1" x14ac:dyDescent="0.25">
      <c r="A4" s="384" t="s">
        <v>3</v>
      </c>
      <c r="B4" s="385" t="s">
        <v>4</v>
      </c>
      <c r="C4" s="476" t="s">
        <v>5</v>
      </c>
      <c r="D4" s="462"/>
      <c r="E4" s="462"/>
      <c r="F4" s="462"/>
      <c r="G4" s="462"/>
      <c r="H4" s="462"/>
      <c r="I4" s="462"/>
      <c r="J4" s="463"/>
      <c r="K4" s="386" t="s">
        <v>6</v>
      </c>
      <c r="L4" s="383" t="s">
        <v>7</v>
      </c>
      <c r="M4" s="387" t="s">
        <v>8</v>
      </c>
      <c r="N4" s="388" t="s">
        <v>9</v>
      </c>
    </row>
    <row r="5" spans="1:14" ht="6" customHeight="1" x14ac:dyDescent="0.25"/>
    <row r="6" spans="1:14" ht="64.05" customHeight="1" x14ac:dyDescent="0.25">
      <c r="A6" s="474">
        <v>1</v>
      </c>
      <c r="B6" s="468" t="s">
        <v>10</v>
      </c>
      <c r="C6" s="461" t="s">
        <v>11</v>
      </c>
      <c r="D6" s="462"/>
      <c r="E6" s="462"/>
      <c r="F6" s="462"/>
      <c r="G6" s="462"/>
      <c r="H6" s="462"/>
      <c r="I6" s="462"/>
      <c r="J6" s="462"/>
      <c r="K6" s="463"/>
      <c r="L6" s="382"/>
      <c r="M6" s="464"/>
      <c r="N6" s="464"/>
    </row>
    <row r="7" spans="1:14" ht="18" customHeight="1" x14ac:dyDescent="0.25">
      <c r="A7" s="465"/>
      <c r="B7" s="465"/>
      <c r="C7" s="421" t="s">
        <v>12</v>
      </c>
      <c r="D7" s="449">
        <v>1</v>
      </c>
      <c r="E7" s="393" t="s">
        <v>13</v>
      </c>
      <c r="F7" s="390">
        <v>10.45</v>
      </c>
      <c r="G7" s="393" t="s">
        <v>13</v>
      </c>
      <c r="H7" s="390">
        <v>0.12</v>
      </c>
      <c r="I7" s="393" t="s">
        <v>13</v>
      </c>
      <c r="J7" s="390">
        <v>0.78</v>
      </c>
      <c r="K7" s="390">
        <f>D7*F7*H7*J7</f>
        <v>0.98</v>
      </c>
      <c r="L7" s="389" t="s">
        <v>14</v>
      </c>
      <c r="M7" s="465"/>
      <c r="N7" s="465"/>
    </row>
    <row r="8" spans="1:14" ht="18" customHeight="1" x14ac:dyDescent="0.25">
      <c r="A8" s="465"/>
      <c r="B8" s="465"/>
      <c r="C8" s="421" t="s">
        <v>12</v>
      </c>
      <c r="D8" s="449">
        <v>1</v>
      </c>
      <c r="E8" s="393" t="s">
        <v>13</v>
      </c>
      <c r="F8" s="390">
        <v>2.2999999999999998</v>
      </c>
      <c r="G8" s="393" t="s">
        <v>13</v>
      </c>
      <c r="H8" s="390">
        <v>0.12</v>
      </c>
      <c r="I8" s="393" t="s">
        <v>13</v>
      </c>
      <c r="J8" s="390">
        <v>2.1</v>
      </c>
      <c r="K8" s="390">
        <f>D8*F8*H8*J8</f>
        <v>0.57999999999999996</v>
      </c>
      <c r="L8" s="389" t="s">
        <v>14</v>
      </c>
      <c r="M8" s="466"/>
      <c r="N8" s="466"/>
    </row>
    <row r="9" spans="1:14" ht="18" customHeight="1" x14ac:dyDescent="0.25">
      <c r="A9" s="466"/>
      <c r="B9" s="466"/>
      <c r="C9" s="467" t="s">
        <v>15</v>
      </c>
      <c r="D9" s="462"/>
      <c r="E9" s="462"/>
      <c r="F9" s="462"/>
      <c r="G9" s="462"/>
      <c r="H9" s="462"/>
      <c r="I9" s="462"/>
      <c r="J9" s="463"/>
      <c r="K9" s="390">
        <f>ROUND(SUM(K7:K8), 2)</f>
        <v>1.56</v>
      </c>
      <c r="L9" s="389" t="s">
        <v>14</v>
      </c>
      <c r="M9" s="391">
        <v>1698.45</v>
      </c>
      <c r="N9" s="392">
        <f>ROUND(K9*M9, 2)</f>
        <v>2649.58</v>
      </c>
    </row>
    <row r="10" spans="1:14" ht="64.05" customHeight="1" x14ac:dyDescent="0.25">
      <c r="A10" s="474">
        <v>2</v>
      </c>
      <c r="B10" s="468" t="s">
        <v>16</v>
      </c>
      <c r="C10" s="461" t="s">
        <v>17</v>
      </c>
      <c r="D10" s="462"/>
      <c r="E10" s="462"/>
      <c r="F10" s="462"/>
      <c r="G10" s="462"/>
      <c r="H10" s="462"/>
      <c r="I10" s="462"/>
      <c r="J10" s="462"/>
      <c r="K10" s="463"/>
      <c r="L10" s="382"/>
      <c r="M10" s="464"/>
      <c r="N10" s="464"/>
    </row>
    <row r="11" spans="1:14" ht="18" customHeight="1" x14ac:dyDescent="0.25">
      <c r="A11" s="465"/>
      <c r="B11" s="465"/>
      <c r="C11" s="421" t="s">
        <v>18</v>
      </c>
      <c r="D11" s="449">
        <v>3</v>
      </c>
      <c r="E11" s="393" t="s">
        <v>13</v>
      </c>
      <c r="F11" s="390">
        <v>3.15</v>
      </c>
      <c r="G11" s="437"/>
      <c r="H11" s="437"/>
      <c r="I11" s="393" t="s">
        <v>13</v>
      </c>
      <c r="J11" s="390">
        <v>1.45</v>
      </c>
      <c r="K11" s="390">
        <f t="shared" ref="K11:K18" si="0">D11*F11*J11</f>
        <v>13.7</v>
      </c>
      <c r="L11" s="389" t="s">
        <v>19</v>
      </c>
      <c r="M11" s="465"/>
      <c r="N11" s="465"/>
    </row>
    <row r="12" spans="1:14" ht="18" customHeight="1" x14ac:dyDescent="0.25">
      <c r="A12" s="465"/>
      <c r="B12" s="465"/>
      <c r="C12" s="421" t="s">
        <v>18</v>
      </c>
      <c r="D12" s="449">
        <v>1</v>
      </c>
      <c r="E12" s="393" t="s">
        <v>13</v>
      </c>
      <c r="F12" s="390">
        <v>2.0499999999999998</v>
      </c>
      <c r="G12" s="437"/>
      <c r="H12" s="437"/>
      <c r="I12" s="393" t="s">
        <v>13</v>
      </c>
      <c r="J12" s="390">
        <v>1.45</v>
      </c>
      <c r="K12" s="390">
        <f t="shared" si="0"/>
        <v>2.97</v>
      </c>
      <c r="L12" s="389" t="s">
        <v>19</v>
      </c>
      <c r="M12" s="465"/>
      <c r="N12" s="465"/>
    </row>
    <row r="13" spans="1:14" ht="18" customHeight="1" x14ac:dyDescent="0.25">
      <c r="A13" s="465"/>
      <c r="B13" s="465"/>
      <c r="C13" s="421" t="s">
        <v>18</v>
      </c>
      <c r="D13" s="449">
        <v>3</v>
      </c>
      <c r="E13" s="393" t="s">
        <v>13</v>
      </c>
      <c r="F13" s="390">
        <v>9.1999999999999993</v>
      </c>
      <c r="G13" s="437"/>
      <c r="H13" s="437"/>
      <c r="I13" s="393" t="s">
        <v>13</v>
      </c>
      <c r="J13" s="390">
        <v>1.5</v>
      </c>
      <c r="K13" s="390">
        <f t="shared" si="0"/>
        <v>41.4</v>
      </c>
      <c r="L13" s="389" t="s">
        <v>19</v>
      </c>
      <c r="M13" s="465"/>
      <c r="N13" s="465"/>
    </row>
    <row r="14" spans="1:14" ht="18" customHeight="1" x14ac:dyDescent="0.25">
      <c r="A14" s="465"/>
      <c r="B14" s="465"/>
      <c r="C14" s="421" t="s">
        <v>18</v>
      </c>
      <c r="D14" s="449">
        <v>1</v>
      </c>
      <c r="E14" s="393" t="s">
        <v>13</v>
      </c>
      <c r="F14" s="390">
        <v>7</v>
      </c>
      <c r="G14" s="437"/>
      <c r="H14" s="437"/>
      <c r="I14" s="393" t="s">
        <v>13</v>
      </c>
      <c r="J14" s="390">
        <v>2.1</v>
      </c>
      <c r="K14" s="390">
        <f t="shared" si="0"/>
        <v>14.7</v>
      </c>
      <c r="L14" s="389" t="s">
        <v>19</v>
      </c>
      <c r="M14" s="465"/>
      <c r="N14" s="465"/>
    </row>
    <row r="15" spans="1:14" ht="18" customHeight="1" x14ac:dyDescent="0.25">
      <c r="A15" s="465"/>
      <c r="B15" s="465"/>
      <c r="C15" s="421" t="s">
        <v>20</v>
      </c>
      <c r="D15" s="449">
        <v>4</v>
      </c>
      <c r="E15" s="393" t="s">
        <v>13</v>
      </c>
      <c r="F15" s="390">
        <v>3.8</v>
      </c>
      <c r="G15" s="437"/>
      <c r="H15" s="437"/>
      <c r="I15" s="393" t="s">
        <v>13</v>
      </c>
      <c r="J15" s="390">
        <v>1.8</v>
      </c>
      <c r="K15" s="390">
        <f t="shared" si="0"/>
        <v>27.36</v>
      </c>
      <c r="L15" s="389" t="s">
        <v>19</v>
      </c>
      <c r="M15" s="465"/>
      <c r="N15" s="465"/>
    </row>
    <row r="16" spans="1:14" ht="18" customHeight="1" x14ac:dyDescent="0.25">
      <c r="A16" s="465"/>
      <c r="B16" s="465"/>
      <c r="C16" s="421" t="s">
        <v>20</v>
      </c>
      <c r="D16" s="449">
        <v>4</v>
      </c>
      <c r="E16" s="393" t="s">
        <v>13</v>
      </c>
      <c r="F16" s="390">
        <v>11.2</v>
      </c>
      <c r="G16" s="437"/>
      <c r="H16" s="437"/>
      <c r="I16" s="393" t="s">
        <v>13</v>
      </c>
      <c r="J16" s="390">
        <v>2.1</v>
      </c>
      <c r="K16" s="390">
        <f t="shared" si="0"/>
        <v>94.08</v>
      </c>
      <c r="L16" s="389" t="s">
        <v>19</v>
      </c>
      <c r="M16" s="465"/>
      <c r="N16" s="465"/>
    </row>
    <row r="17" spans="1:14" ht="18" customHeight="1" x14ac:dyDescent="0.25">
      <c r="A17" s="465"/>
      <c r="B17" s="465"/>
      <c r="C17" s="421" t="s">
        <v>21</v>
      </c>
      <c r="D17" s="449">
        <v>1</v>
      </c>
      <c r="E17" s="393" t="s">
        <v>13</v>
      </c>
      <c r="F17" s="390">
        <v>5</v>
      </c>
      <c r="G17" s="437"/>
      <c r="H17" s="437"/>
      <c r="I17" s="393" t="s">
        <v>13</v>
      </c>
      <c r="J17" s="390">
        <v>7.5</v>
      </c>
      <c r="K17" s="390">
        <f t="shared" si="0"/>
        <v>37.5</v>
      </c>
      <c r="L17" s="389" t="s">
        <v>19</v>
      </c>
      <c r="M17" s="465"/>
      <c r="N17" s="465"/>
    </row>
    <row r="18" spans="1:14" ht="18" customHeight="1" x14ac:dyDescent="0.25">
      <c r="A18" s="465"/>
      <c r="B18" s="465"/>
      <c r="C18" s="421" t="s">
        <v>22</v>
      </c>
      <c r="D18" s="449">
        <v>1</v>
      </c>
      <c r="E18" s="393" t="s">
        <v>13</v>
      </c>
      <c r="F18" s="390">
        <v>2.2000000000000002</v>
      </c>
      <c r="G18" s="437"/>
      <c r="H18" s="437"/>
      <c r="I18" s="393" t="s">
        <v>13</v>
      </c>
      <c r="J18" s="390">
        <v>2.5</v>
      </c>
      <c r="K18" s="390">
        <f t="shared" si="0"/>
        <v>5.5</v>
      </c>
      <c r="L18" s="389" t="s">
        <v>19</v>
      </c>
      <c r="M18" s="466"/>
      <c r="N18" s="466"/>
    </row>
    <row r="19" spans="1:14" ht="18" customHeight="1" x14ac:dyDescent="0.25">
      <c r="A19" s="466"/>
      <c r="B19" s="466"/>
      <c r="C19" s="467" t="s">
        <v>15</v>
      </c>
      <c r="D19" s="462"/>
      <c r="E19" s="462"/>
      <c r="F19" s="462"/>
      <c r="G19" s="462"/>
      <c r="H19" s="462"/>
      <c r="I19" s="462"/>
      <c r="J19" s="463"/>
      <c r="K19" s="390">
        <f>ROUND(SUM(K11:K18), 2)</f>
        <v>237.21</v>
      </c>
      <c r="L19" s="389" t="s">
        <v>19</v>
      </c>
      <c r="M19" s="391">
        <v>60.5</v>
      </c>
      <c r="N19" s="392">
        <f>ROUND(K19*M19, 2)</f>
        <v>14351.21</v>
      </c>
    </row>
    <row r="20" spans="1:14" ht="64.05" customHeight="1" x14ac:dyDescent="0.25">
      <c r="A20" s="474">
        <v>3</v>
      </c>
      <c r="B20" s="468" t="s">
        <v>23</v>
      </c>
      <c r="C20" s="461" t="s">
        <v>24</v>
      </c>
      <c r="D20" s="462"/>
      <c r="E20" s="462"/>
      <c r="F20" s="462"/>
      <c r="G20" s="462"/>
      <c r="H20" s="462"/>
      <c r="I20" s="462"/>
      <c r="J20" s="462"/>
      <c r="K20" s="463"/>
      <c r="L20" s="382"/>
      <c r="M20" s="464"/>
      <c r="N20" s="464"/>
    </row>
    <row r="21" spans="1:14" ht="18" customHeight="1" x14ac:dyDescent="0.25">
      <c r="A21" s="465"/>
      <c r="B21" s="465"/>
      <c r="C21" s="421" t="s">
        <v>25</v>
      </c>
      <c r="D21" s="449">
        <v>2</v>
      </c>
      <c r="E21" s="393" t="s">
        <v>13</v>
      </c>
      <c r="F21" s="390">
        <v>2.1</v>
      </c>
      <c r="G21" s="437"/>
      <c r="H21" s="437"/>
      <c r="I21" s="393" t="s">
        <v>13</v>
      </c>
      <c r="J21" s="390">
        <v>0.85</v>
      </c>
      <c r="K21" s="390">
        <f>D21*F21*J21</f>
        <v>3.57</v>
      </c>
      <c r="L21" s="389" t="s">
        <v>19</v>
      </c>
      <c r="M21" s="466"/>
      <c r="N21" s="466"/>
    </row>
    <row r="22" spans="1:14" ht="18" customHeight="1" x14ac:dyDescent="0.25">
      <c r="A22" s="466"/>
      <c r="B22" s="466"/>
      <c r="C22" s="467" t="s">
        <v>15</v>
      </c>
      <c r="D22" s="462"/>
      <c r="E22" s="462"/>
      <c r="F22" s="462"/>
      <c r="G22" s="462"/>
      <c r="H22" s="462"/>
      <c r="I22" s="462"/>
      <c r="J22" s="463"/>
      <c r="K22" s="390">
        <f>ROUND(SUM(K21:K21), 2)</f>
        <v>3.57</v>
      </c>
      <c r="L22" s="389" t="s">
        <v>19</v>
      </c>
      <c r="M22" s="391">
        <v>136</v>
      </c>
      <c r="N22" s="392">
        <f>ROUND(K22*M22, 2)</f>
        <v>485.52</v>
      </c>
    </row>
    <row r="23" spans="1:14" ht="64.05" customHeight="1" x14ac:dyDescent="0.25">
      <c r="A23" s="474">
        <v>4</v>
      </c>
      <c r="B23" s="468" t="s">
        <v>26</v>
      </c>
      <c r="C23" s="461" t="s">
        <v>27</v>
      </c>
      <c r="D23" s="462"/>
      <c r="E23" s="462"/>
      <c r="F23" s="462"/>
      <c r="G23" s="462"/>
      <c r="H23" s="462"/>
      <c r="I23" s="462"/>
      <c r="J23" s="462"/>
      <c r="K23" s="463"/>
      <c r="L23" s="382"/>
      <c r="M23" s="464"/>
      <c r="N23" s="464"/>
    </row>
    <row r="24" spans="1:14" ht="18" customHeight="1" x14ac:dyDescent="0.25">
      <c r="A24" s="465"/>
      <c r="B24" s="465"/>
      <c r="C24" s="421" t="s">
        <v>28</v>
      </c>
      <c r="D24" s="449">
        <v>1</v>
      </c>
      <c r="E24" s="393" t="s">
        <v>13</v>
      </c>
      <c r="F24" s="390">
        <v>7.7</v>
      </c>
      <c r="G24" s="393" t="s">
        <v>13</v>
      </c>
      <c r="H24" s="390">
        <v>2.6</v>
      </c>
      <c r="I24" s="393" t="s">
        <v>13</v>
      </c>
      <c r="J24" s="390">
        <v>0.65</v>
      </c>
      <c r="K24" s="390">
        <f>D24*F24*H24*J24</f>
        <v>13.01</v>
      </c>
      <c r="L24" s="389" t="s">
        <v>14</v>
      </c>
      <c r="M24" s="466"/>
      <c r="N24" s="466"/>
    </row>
    <row r="25" spans="1:14" ht="18" customHeight="1" x14ac:dyDescent="0.25">
      <c r="A25" s="466"/>
      <c r="B25" s="466"/>
      <c r="C25" s="467" t="s">
        <v>15</v>
      </c>
      <c r="D25" s="462"/>
      <c r="E25" s="462"/>
      <c r="F25" s="462"/>
      <c r="G25" s="462"/>
      <c r="H25" s="462"/>
      <c r="I25" s="462"/>
      <c r="J25" s="463"/>
      <c r="K25" s="390">
        <f>ROUND(SUM(K24:K24), 2)</f>
        <v>13.01</v>
      </c>
      <c r="L25" s="389" t="s">
        <v>14</v>
      </c>
      <c r="M25" s="391">
        <v>253.95</v>
      </c>
      <c r="N25" s="392">
        <f>ROUND(K25*M25, 2)</f>
        <v>3303.89</v>
      </c>
    </row>
    <row r="26" spans="1:14" ht="64.05" customHeight="1" x14ac:dyDescent="0.25">
      <c r="A26" s="474">
        <v>5</v>
      </c>
      <c r="B26" s="468" t="s">
        <v>29</v>
      </c>
      <c r="C26" s="461" t="s">
        <v>30</v>
      </c>
      <c r="D26" s="462"/>
      <c r="E26" s="462"/>
      <c r="F26" s="462"/>
      <c r="G26" s="462"/>
      <c r="H26" s="462"/>
      <c r="I26" s="462"/>
      <c r="J26" s="462"/>
      <c r="K26" s="463"/>
      <c r="L26" s="382"/>
      <c r="M26" s="464"/>
      <c r="N26" s="464"/>
    </row>
    <row r="27" spans="1:14" ht="18" customHeight="1" x14ac:dyDescent="0.25">
      <c r="A27" s="465"/>
      <c r="B27" s="465"/>
      <c r="C27" s="421" t="s">
        <v>31</v>
      </c>
      <c r="D27" s="449">
        <v>1</v>
      </c>
      <c r="E27" s="393" t="s">
        <v>13</v>
      </c>
      <c r="F27" s="390">
        <v>6</v>
      </c>
      <c r="G27" s="437"/>
      <c r="H27" s="437"/>
      <c r="I27" s="393" t="s">
        <v>13</v>
      </c>
      <c r="J27" s="390">
        <v>1.65</v>
      </c>
      <c r="K27" s="390">
        <f>D27*F27*J27</f>
        <v>9.9</v>
      </c>
      <c r="L27" s="389" t="s">
        <v>19</v>
      </c>
      <c r="M27" s="466"/>
      <c r="N27" s="466"/>
    </row>
    <row r="28" spans="1:14" ht="18" customHeight="1" x14ac:dyDescent="0.25">
      <c r="A28" s="466"/>
      <c r="B28" s="466"/>
      <c r="C28" s="467" t="s">
        <v>15</v>
      </c>
      <c r="D28" s="462"/>
      <c r="E28" s="462"/>
      <c r="F28" s="462"/>
      <c r="G28" s="462"/>
      <c r="H28" s="462"/>
      <c r="I28" s="462"/>
      <c r="J28" s="463"/>
      <c r="K28" s="390">
        <f>ROUND(SUM(K27:K27), 2)</f>
        <v>9.9</v>
      </c>
      <c r="L28" s="389" t="s">
        <v>19</v>
      </c>
      <c r="M28" s="391">
        <v>733.3</v>
      </c>
      <c r="N28" s="392">
        <f>ROUND(K28*M28, 2)</f>
        <v>7259.67</v>
      </c>
    </row>
    <row r="29" spans="1:14" ht="120" customHeight="1" x14ac:dyDescent="0.25">
      <c r="A29" s="474">
        <v>6</v>
      </c>
      <c r="B29" s="468" t="s">
        <v>32</v>
      </c>
      <c r="C29" s="461" t="s">
        <v>33</v>
      </c>
      <c r="D29" s="462"/>
      <c r="E29" s="462"/>
      <c r="F29" s="462"/>
      <c r="G29" s="462"/>
      <c r="H29" s="462"/>
      <c r="I29" s="462"/>
      <c r="J29" s="462"/>
      <c r="K29" s="463"/>
      <c r="L29" s="382"/>
      <c r="M29" s="464"/>
      <c r="N29" s="464"/>
    </row>
    <row r="30" spans="1:14" ht="18" customHeight="1" x14ac:dyDescent="0.25">
      <c r="A30" s="465"/>
      <c r="B30" s="465"/>
      <c r="C30" s="421" t="s">
        <v>31</v>
      </c>
      <c r="D30" s="449">
        <v>1</v>
      </c>
      <c r="E30" s="393" t="s">
        <v>13</v>
      </c>
      <c r="F30" s="390">
        <v>6</v>
      </c>
      <c r="G30" s="437"/>
      <c r="H30" s="437"/>
      <c r="I30" s="393" t="s">
        <v>13</v>
      </c>
      <c r="J30" s="390">
        <v>1.65</v>
      </c>
      <c r="K30" s="390">
        <f>D30*F30*J30</f>
        <v>9.9</v>
      </c>
      <c r="L30" s="389" t="s">
        <v>19</v>
      </c>
      <c r="M30" s="466"/>
      <c r="N30" s="466"/>
    </row>
    <row r="31" spans="1:14" ht="18" customHeight="1" x14ac:dyDescent="0.25">
      <c r="A31" s="466"/>
      <c r="B31" s="466"/>
      <c r="C31" s="467" t="s">
        <v>15</v>
      </c>
      <c r="D31" s="462"/>
      <c r="E31" s="462"/>
      <c r="F31" s="462"/>
      <c r="G31" s="462"/>
      <c r="H31" s="462"/>
      <c r="I31" s="462"/>
      <c r="J31" s="463"/>
      <c r="K31" s="390">
        <f>ROUND(SUM(K30:K30), 2)</f>
        <v>9.9</v>
      </c>
      <c r="L31" s="389" t="s">
        <v>19</v>
      </c>
      <c r="M31" s="391">
        <v>928.65</v>
      </c>
      <c r="N31" s="392">
        <f>ROUND(K31*M31, 2)</f>
        <v>9193.64</v>
      </c>
    </row>
    <row r="32" spans="1:14" ht="120" customHeight="1" x14ac:dyDescent="0.25">
      <c r="A32" s="474">
        <v>7</v>
      </c>
      <c r="B32" s="468" t="s">
        <v>34</v>
      </c>
      <c r="C32" s="461" t="s">
        <v>35</v>
      </c>
      <c r="D32" s="462"/>
      <c r="E32" s="462"/>
      <c r="F32" s="462"/>
      <c r="G32" s="462"/>
      <c r="H32" s="462"/>
      <c r="I32" s="462"/>
      <c r="J32" s="462"/>
      <c r="K32" s="463"/>
      <c r="L32" s="382"/>
      <c r="M32" s="464"/>
      <c r="N32" s="464"/>
    </row>
    <row r="33" spans="1:14" ht="18" customHeight="1" x14ac:dyDescent="0.25">
      <c r="A33" s="465"/>
      <c r="B33" s="465"/>
      <c r="C33" s="421" t="s">
        <v>36</v>
      </c>
      <c r="D33" s="449">
        <v>1</v>
      </c>
      <c r="E33" s="393" t="s">
        <v>13</v>
      </c>
      <c r="F33" s="390">
        <v>6</v>
      </c>
      <c r="G33" s="437"/>
      <c r="H33" s="437"/>
      <c r="I33" s="393" t="s">
        <v>13</v>
      </c>
      <c r="J33" s="390">
        <v>3.55</v>
      </c>
      <c r="K33" s="390">
        <f t="shared" ref="K33:K45" si="1">D33*F33*J33</f>
        <v>21.3</v>
      </c>
      <c r="L33" s="389" t="s">
        <v>19</v>
      </c>
      <c r="M33" s="465"/>
      <c r="N33" s="465"/>
    </row>
    <row r="34" spans="1:14" ht="18" customHeight="1" x14ac:dyDescent="0.25">
      <c r="A34" s="465"/>
      <c r="B34" s="465"/>
      <c r="C34" s="421" t="s">
        <v>37</v>
      </c>
      <c r="D34" s="449">
        <v>1</v>
      </c>
      <c r="E34" s="393" t="s">
        <v>13</v>
      </c>
      <c r="F34" s="390">
        <v>2.95</v>
      </c>
      <c r="G34" s="437"/>
      <c r="H34" s="437"/>
      <c r="I34" s="393" t="s">
        <v>13</v>
      </c>
      <c r="J34" s="390">
        <v>3.6</v>
      </c>
      <c r="K34" s="390">
        <f t="shared" si="1"/>
        <v>10.62</v>
      </c>
      <c r="L34" s="389" t="s">
        <v>19</v>
      </c>
      <c r="M34" s="465"/>
      <c r="N34" s="465"/>
    </row>
    <row r="35" spans="1:14" ht="18" customHeight="1" x14ac:dyDescent="0.25">
      <c r="A35" s="465"/>
      <c r="B35" s="465"/>
      <c r="C35" s="421" t="s">
        <v>38</v>
      </c>
      <c r="D35" s="449">
        <v>1</v>
      </c>
      <c r="E35" s="393" t="s">
        <v>13</v>
      </c>
      <c r="F35" s="390">
        <v>4.25</v>
      </c>
      <c r="G35" s="437"/>
      <c r="H35" s="437"/>
      <c r="I35" s="393" t="s">
        <v>13</v>
      </c>
      <c r="J35" s="390">
        <v>7.5</v>
      </c>
      <c r="K35" s="390">
        <f t="shared" si="1"/>
        <v>31.88</v>
      </c>
      <c r="L35" s="389" t="s">
        <v>19</v>
      </c>
      <c r="M35" s="465"/>
      <c r="N35" s="465"/>
    </row>
    <row r="36" spans="1:14" ht="18" customHeight="1" x14ac:dyDescent="0.25">
      <c r="A36" s="465"/>
      <c r="B36" s="465"/>
      <c r="C36" s="421" t="s">
        <v>39</v>
      </c>
      <c r="D36" s="449">
        <v>3</v>
      </c>
      <c r="E36" s="393" t="s">
        <v>13</v>
      </c>
      <c r="F36" s="390">
        <v>3.15</v>
      </c>
      <c r="G36" s="437"/>
      <c r="H36" s="437"/>
      <c r="I36" s="393" t="s">
        <v>13</v>
      </c>
      <c r="J36" s="390">
        <v>1.45</v>
      </c>
      <c r="K36" s="390">
        <f t="shared" si="1"/>
        <v>13.7</v>
      </c>
      <c r="L36" s="389" t="s">
        <v>19</v>
      </c>
      <c r="M36" s="465"/>
      <c r="N36" s="465"/>
    </row>
    <row r="37" spans="1:14" ht="18" customHeight="1" x14ac:dyDescent="0.25">
      <c r="A37" s="465"/>
      <c r="B37" s="465"/>
      <c r="C37" s="421" t="s">
        <v>39</v>
      </c>
      <c r="D37" s="449">
        <v>1</v>
      </c>
      <c r="E37" s="393" t="s">
        <v>13</v>
      </c>
      <c r="F37" s="390">
        <v>2.0499999999999998</v>
      </c>
      <c r="G37" s="437"/>
      <c r="H37" s="437"/>
      <c r="I37" s="393" t="s">
        <v>13</v>
      </c>
      <c r="J37" s="390">
        <v>1.45</v>
      </c>
      <c r="K37" s="390">
        <f t="shared" si="1"/>
        <v>2.97</v>
      </c>
      <c r="L37" s="389" t="s">
        <v>19</v>
      </c>
      <c r="M37" s="465"/>
      <c r="N37" s="465"/>
    </row>
    <row r="38" spans="1:14" ht="18" customHeight="1" x14ac:dyDescent="0.25">
      <c r="A38" s="465"/>
      <c r="B38" s="465"/>
      <c r="C38" s="421" t="s">
        <v>40</v>
      </c>
      <c r="D38" s="449">
        <v>4</v>
      </c>
      <c r="E38" s="393" t="s">
        <v>13</v>
      </c>
      <c r="F38" s="390">
        <v>3.8</v>
      </c>
      <c r="G38" s="437"/>
      <c r="H38" s="437"/>
      <c r="I38" s="393" t="s">
        <v>13</v>
      </c>
      <c r="J38" s="390">
        <v>1.8</v>
      </c>
      <c r="K38" s="390">
        <f t="shared" si="1"/>
        <v>27.36</v>
      </c>
      <c r="L38" s="389" t="s">
        <v>19</v>
      </c>
      <c r="M38" s="465"/>
      <c r="N38" s="465"/>
    </row>
    <row r="39" spans="1:14" ht="18" customHeight="1" x14ac:dyDescent="0.25">
      <c r="A39" s="465"/>
      <c r="B39" s="465"/>
      <c r="C39" s="421" t="s">
        <v>41</v>
      </c>
      <c r="D39" s="449">
        <v>1</v>
      </c>
      <c r="E39" s="393" t="s">
        <v>13</v>
      </c>
      <c r="F39" s="390">
        <v>9.15</v>
      </c>
      <c r="G39" s="437"/>
      <c r="H39" s="437"/>
      <c r="I39" s="393" t="s">
        <v>13</v>
      </c>
      <c r="J39" s="390">
        <v>6</v>
      </c>
      <c r="K39" s="390">
        <f t="shared" si="1"/>
        <v>54.9</v>
      </c>
      <c r="L39" s="389" t="s">
        <v>19</v>
      </c>
      <c r="M39" s="465"/>
      <c r="N39" s="465"/>
    </row>
    <row r="40" spans="1:14" ht="18" customHeight="1" x14ac:dyDescent="0.25">
      <c r="A40" s="465"/>
      <c r="B40" s="465"/>
      <c r="C40" s="421" t="s">
        <v>42</v>
      </c>
      <c r="D40" s="449">
        <v>1</v>
      </c>
      <c r="E40" s="393" t="s">
        <v>13</v>
      </c>
      <c r="F40" s="390">
        <v>6.4</v>
      </c>
      <c r="G40" s="437"/>
      <c r="H40" s="437"/>
      <c r="I40" s="393" t="s">
        <v>13</v>
      </c>
      <c r="J40" s="390">
        <v>3.5</v>
      </c>
      <c r="K40" s="390">
        <f t="shared" si="1"/>
        <v>22.4</v>
      </c>
      <c r="L40" s="389" t="s">
        <v>19</v>
      </c>
      <c r="M40" s="465"/>
      <c r="N40" s="465"/>
    </row>
    <row r="41" spans="1:14" ht="18" customHeight="1" x14ac:dyDescent="0.25">
      <c r="A41" s="465"/>
      <c r="B41" s="465"/>
      <c r="C41" s="421" t="s">
        <v>42</v>
      </c>
      <c r="D41" s="449">
        <v>1</v>
      </c>
      <c r="E41" s="393" t="s">
        <v>13</v>
      </c>
      <c r="F41" s="390">
        <v>6.4</v>
      </c>
      <c r="G41" s="437"/>
      <c r="H41" s="437"/>
      <c r="I41" s="393" t="s">
        <v>13</v>
      </c>
      <c r="J41" s="390">
        <v>1.85</v>
      </c>
      <c r="K41" s="390">
        <f t="shared" si="1"/>
        <v>11.84</v>
      </c>
      <c r="L41" s="389" t="s">
        <v>19</v>
      </c>
      <c r="M41" s="465"/>
      <c r="N41" s="465"/>
    </row>
    <row r="42" spans="1:14" ht="18" customHeight="1" x14ac:dyDescent="0.25">
      <c r="A42" s="465"/>
      <c r="B42" s="465"/>
      <c r="C42" s="421" t="s">
        <v>43</v>
      </c>
      <c r="D42" s="449">
        <v>4</v>
      </c>
      <c r="E42" s="393" t="s">
        <v>13</v>
      </c>
      <c r="F42" s="390">
        <v>3.3</v>
      </c>
      <c r="G42" s="437"/>
      <c r="H42" s="437"/>
      <c r="I42" s="393" t="s">
        <v>13</v>
      </c>
      <c r="J42" s="390">
        <v>0.35</v>
      </c>
      <c r="K42" s="390">
        <f t="shared" si="1"/>
        <v>4.62</v>
      </c>
      <c r="L42" s="389" t="s">
        <v>19</v>
      </c>
      <c r="M42" s="465"/>
      <c r="N42" s="465"/>
    </row>
    <row r="43" spans="1:14" ht="18" customHeight="1" x14ac:dyDescent="0.25">
      <c r="A43" s="465"/>
      <c r="B43" s="465"/>
      <c r="C43" s="421" t="s">
        <v>43</v>
      </c>
      <c r="D43" s="449">
        <v>4</v>
      </c>
      <c r="E43" s="393" t="s">
        <v>13</v>
      </c>
      <c r="F43" s="390">
        <v>3.3</v>
      </c>
      <c r="G43" s="437"/>
      <c r="H43" s="437"/>
      <c r="I43" s="393" t="s">
        <v>13</v>
      </c>
      <c r="J43" s="390">
        <v>0.16</v>
      </c>
      <c r="K43" s="390">
        <f t="shared" si="1"/>
        <v>2.11</v>
      </c>
      <c r="L43" s="389" t="s">
        <v>19</v>
      </c>
      <c r="M43" s="465"/>
      <c r="N43" s="465"/>
    </row>
    <row r="44" spans="1:14" ht="18" customHeight="1" x14ac:dyDescent="0.25">
      <c r="A44" s="465"/>
      <c r="B44" s="465"/>
      <c r="C44" s="421" t="s">
        <v>21</v>
      </c>
      <c r="D44" s="449">
        <v>1</v>
      </c>
      <c r="E44" s="393" t="s">
        <v>13</v>
      </c>
      <c r="F44" s="390">
        <v>5</v>
      </c>
      <c r="G44" s="437"/>
      <c r="H44" s="437"/>
      <c r="I44" s="393" t="s">
        <v>13</v>
      </c>
      <c r="J44" s="390">
        <v>7.5</v>
      </c>
      <c r="K44" s="390">
        <f t="shared" si="1"/>
        <v>37.5</v>
      </c>
      <c r="L44" s="389" t="s">
        <v>19</v>
      </c>
      <c r="M44" s="465"/>
      <c r="N44" s="465"/>
    </row>
    <row r="45" spans="1:14" ht="18" customHeight="1" x14ac:dyDescent="0.25">
      <c r="A45" s="465"/>
      <c r="B45" s="465"/>
      <c r="C45" s="421" t="s">
        <v>22</v>
      </c>
      <c r="D45" s="449">
        <v>1</v>
      </c>
      <c r="E45" s="393" t="s">
        <v>13</v>
      </c>
      <c r="F45" s="390">
        <v>2.2000000000000002</v>
      </c>
      <c r="G45" s="437"/>
      <c r="H45" s="437"/>
      <c r="I45" s="393" t="s">
        <v>13</v>
      </c>
      <c r="J45" s="390">
        <v>2.5</v>
      </c>
      <c r="K45" s="390">
        <f t="shared" si="1"/>
        <v>5.5</v>
      </c>
      <c r="L45" s="389" t="s">
        <v>19</v>
      </c>
      <c r="M45" s="466"/>
      <c r="N45" s="466"/>
    </row>
    <row r="46" spans="1:14" ht="18" customHeight="1" x14ac:dyDescent="0.25">
      <c r="A46" s="466"/>
      <c r="B46" s="466"/>
      <c r="C46" s="467" t="s">
        <v>15</v>
      </c>
      <c r="D46" s="462"/>
      <c r="E46" s="462"/>
      <c r="F46" s="462"/>
      <c r="G46" s="462"/>
      <c r="H46" s="462"/>
      <c r="I46" s="462"/>
      <c r="J46" s="463"/>
      <c r="K46" s="390">
        <f>ROUND(SUM(K33:K45), 2)</f>
        <v>246.7</v>
      </c>
      <c r="L46" s="389" t="s">
        <v>19</v>
      </c>
      <c r="M46" s="391">
        <v>1416.65</v>
      </c>
      <c r="N46" s="392">
        <f>ROUND(K46*M46, 2)</f>
        <v>349487.56</v>
      </c>
    </row>
    <row r="47" spans="1:14" ht="120" customHeight="1" x14ac:dyDescent="0.25">
      <c r="A47" s="474">
        <v>8</v>
      </c>
      <c r="B47" s="468" t="s">
        <v>44</v>
      </c>
      <c r="C47" s="461" t="s">
        <v>45</v>
      </c>
      <c r="D47" s="462"/>
      <c r="E47" s="462"/>
      <c r="F47" s="462"/>
      <c r="G47" s="462"/>
      <c r="H47" s="462"/>
      <c r="I47" s="462"/>
      <c r="J47" s="462"/>
      <c r="K47" s="463"/>
      <c r="L47" s="382"/>
      <c r="M47" s="464"/>
      <c r="N47" s="464"/>
    </row>
    <row r="48" spans="1:14" ht="18" customHeight="1" x14ac:dyDescent="0.25">
      <c r="A48" s="465"/>
      <c r="B48" s="465"/>
      <c r="C48" s="421" t="s">
        <v>39</v>
      </c>
      <c r="D48" s="449">
        <v>3</v>
      </c>
      <c r="E48" s="393" t="s">
        <v>13</v>
      </c>
      <c r="F48" s="390">
        <v>9.1999999999999993</v>
      </c>
      <c r="G48" s="437"/>
      <c r="H48" s="437"/>
      <c r="I48" s="393" t="s">
        <v>13</v>
      </c>
      <c r="J48" s="390">
        <v>1.5</v>
      </c>
      <c r="K48" s="390">
        <f t="shared" ref="K48:K54" si="2">D48*F48*J48</f>
        <v>41.4</v>
      </c>
      <c r="L48" s="389" t="s">
        <v>19</v>
      </c>
      <c r="M48" s="465"/>
      <c r="N48" s="465"/>
    </row>
    <row r="49" spans="1:14" ht="18" customHeight="1" x14ac:dyDescent="0.25">
      <c r="A49" s="465"/>
      <c r="B49" s="465"/>
      <c r="C49" s="421" t="s">
        <v>39</v>
      </c>
      <c r="D49" s="449">
        <v>1</v>
      </c>
      <c r="E49" s="393" t="s">
        <v>13</v>
      </c>
      <c r="F49" s="390">
        <v>7</v>
      </c>
      <c r="G49" s="437"/>
      <c r="H49" s="437"/>
      <c r="I49" s="393" t="s">
        <v>13</v>
      </c>
      <c r="J49" s="390">
        <v>2.1</v>
      </c>
      <c r="K49" s="390">
        <f t="shared" si="2"/>
        <v>14.7</v>
      </c>
      <c r="L49" s="389" t="s">
        <v>19</v>
      </c>
      <c r="M49" s="465"/>
      <c r="N49" s="465"/>
    </row>
    <row r="50" spans="1:14" ht="18" customHeight="1" x14ac:dyDescent="0.25">
      <c r="A50" s="465"/>
      <c r="B50" s="465"/>
      <c r="C50" s="421" t="s">
        <v>40</v>
      </c>
      <c r="D50" s="449">
        <v>4</v>
      </c>
      <c r="E50" s="393" t="s">
        <v>13</v>
      </c>
      <c r="F50" s="390">
        <v>11.2</v>
      </c>
      <c r="G50" s="437"/>
      <c r="H50" s="437"/>
      <c r="I50" s="393" t="s">
        <v>13</v>
      </c>
      <c r="J50" s="390">
        <v>2.1</v>
      </c>
      <c r="K50" s="390">
        <f t="shared" si="2"/>
        <v>94.08</v>
      </c>
      <c r="L50" s="389" t="s">
        <v>19</v>
      </c>
      <c r="M50" s="465"/>
      <c r="N50" s="465"/>
    </row>
    <row r="51" spans="1:14" ht="18" customHeight="1" x14ac:dyDescent="0.25">
      <c r="A51" s="465"/>
      <c r="B51" s="465"/>
      <c r="C51" s="421" t="s">
        <v>46</v>
      </c>
      <c r="D51" s="449">
        <v>4</v>
      </c>
      <c r="E51" s="393" t="s">
        <v>13</v>
      </c>
      <c r="F51" s="390">
        <v>6.9</v>
      </c>
      <c r="G51" s="437"/>
      <c r="H51" s="437"/>
      <c r="I51" s="393" t="s">
        <v>13</v>
      </c>
      <c r="J51" s="390">
        <v>2.1</v>
      </c>
      <c r="K51" s="390">
        <f t="shared" si="2"/>
        <v>57.96</v>
      </c>
      <c r="L51" s="389" t="s">
        <v>19</v>
      </c>
      <c r="M51" s="465"/>
      <c r="N51" s="465"/>
    </row>
    <row r="52" spans="1:14" ht="18" customHeight="1" x14ac:dyDescent="0.25">
      <c r="A52" s="465"/>
      <c r="B52" s="465"/>
      <c r="C52" s="421" t="s">
        <v>47</v>
      </c>
      <c r="D52" s="449">
        <v>2</v>
      </c>
      <c r="E52" s="393" t="s">
        <v>13</v>
      </c>
      <c r="F52" s="390">
        <v>2.1</v>
      </c>
      <c r="G52" s="437"/>
      <c r="H52" s="437"/>
      <c r="I52" s="393" t="s">
        <v>13</v>
      </c>
      <c r="J52" s="390">
        <v>1.5</v>
      </c>
      <c r="K52" s="390">
        <f t="shared" si="2"/>
        <v>6.3</v>
      </c>
      <c r="L52" s="389" t="s">
        <v>19</v>
      </c>
      <c r="M52" s="465"/>
      <c r="N52" s="465"/>
    </row>
    <row r="53" spans="1:14" ht="18" customHeight="1" x14ac:dyDescent="0.25">
      <c r="A53" s="465"/>
      <c r="B53" s="465"/>
      <c r="C53" s="421" t="s">
        <v>47</v>
      </c>
      <c r="D53" s="449">
        <v>2</v>
      </c>
      <c r="E53" s="393" t="s">
        <v>13</v>
      </c>
      <c r="F53" s="390">
        <v>2.5</v>
      </c>
      <c r="G53" s="437"/>
      <c r="H53" s="437"/>
      <c r="I53" s="393" t="s">
        <v>13</v>
      </c>
      <c r="J53" s="390">
        <v>1.5</v>
      </c>
      <c r="K53" s="390">
        <f t="shared" si="2"/>
        <v>7.5</v>
      </c>
      <c r="L53" s="389" t="s">
        <v>19</v>
      </c>
      <c r="M53" s="465"/>
      <c r="N53" s="465"/>
    </row>
    <row r="54" spans="1:14" ht="18" customHeight="1" x14ac:dyDescent="0.25">
      <c r="A54" s="465"/>
      <c r="B54" s="465"/>
      <c r="C54" s="421" t="s">
        <v>48</v>
      </c>
      <c r="D54" s="449">
        <v>-1</v>
      </c>
      <c r="E54" s="393" t="s">
        <v>13</v>
      </c>
      <c r="F54" s="390">
        <v>1.2</v>
      </c>
      <c r="G54" s="437"/>
      <c r="H54" s="437"/>
      <c r="I54" s="393" t="s">
        <v>13</v>
      </c>
      <c r="J54" s="390">
        <v>1.5</v>
      </c>
      <c r="K54" s="390">
        <f t="shared" si="2"/>
        <v>-1.8</v>
      </c>
      <c r="L54" s="389" t="s">
        <v>19</v>
      </c>
      <c r="M54" s="466"/>
      <c r="N54" s="466"/>
    </row>
    <row r="55" spans="1:14" ht="18" customHeight="1" x14ac:dyDescent="0.25">
      <c r="A55" s="466"/>
      <c r="B55" s="466"/>
      <c r="C55" s="467" t="s">
        <v>15</v>
      </c>
      <c r="D55" s="462"/>
      <c r="E55" s="462"/>
      <c r="F55" s="462"/>
      <c r="G55" s="462"/>
      <c r="H55" s="462"/>
      <c r="I55" s="462"/>
      <c r="J55" s="463"/>
      <c r="K55" s="390">
        <f>ROUND(SUM(K48:K54), 2)</f>
        <v>220.14</v>
      </c>
      <c r="L55" s="389" t="s">
        <v>19</v>
      </c>
      <c r="M55" s="391">
        <v>1063.45</v>
      </c>
      <c r="N55" s="392">
        <f>ROUND(K55*M55, 2)</f>
        <v>234107.88</v>
      </c>
    </row>
    <row r="56" spans="1:14" ht="48" customHeight="1" x14ac:dyDescent="0.25">
      <c r="A56" s="474">
        <v>9</v>
      </c>
      <c r="B56" s="468" t="s">
        <v>49</v>
      </c>
      <c r="C56" s="461" t="s">
        <v>50</v>
      </c>
      <c r="D56" s="462"/>
      <c r="E56" s="462"/>
      <c r="F56" s="462"/>
      <c r="G56" s="462"/>
      <c r="H56" s="462"/>
      <c r="I56" s="462"/>
      <c r="J56" s="462"/>
      <c r="K56" s="463"/>
      <c r="L56" s="382"/>
      <c r="M56" s="464"/>
      <c r="N56" s="464"/>
    </row>
    <row r="57" spans="1:14" ht="18" customHeight="1" x14ac:dyDescent="0.25">
      <c r="A57" s="465"/>
      <c r="B57" s="465"/>
      <c r="C57" s="421" t="s">
        <v>51</v>
      </c>
      <c r="D57" s="449">
        <v>3</v>
      </c>
      <c r="E57" s="393" t="s">
        <v>13</v>
      </c>
      <c r="F57" s="390">
        <v>3.6</v>
      </c>
      <c r="G57" s="437"/>
      <c r="H57" s="437"/>
      <c r="I57" s="393" t="s">
        <v>13</v>
      </c>
      <c r="J57" s="390">
        <v>2.95</v>
      </c>
      <c r="K57" s="390">
        <f t="shared" ref="K57:K74" si="3">D57*F57*J57</f>
        <v>31.86</v>
      </c>
      <c r="L57" s="389" t="s">
        <v>19</v>
      </c>
      <c r="M57" s="465"/>
      <c r="N57" s="465"/>
    </row>
    <row r="58" spans="1:14" ht="18" customHeight="1" x14ac:dyDescent="0.25">
      <c r="A58" s="465"/>
      <c r="B58" s="465"/>
      <c r="C58" s="421" t="s">
        <v>51</v>
      </c>
      <c r="D58" s="449">
        <v>4</v>
      </c>
      <c r="E58" s="393" t="s">
        <v>13</v>
      </c>
      <c r="F58" s="390">
        <v>6</v>
      </c>
      <c r="G58" s="437"/>
      <c r="H58" s="437"/>
      <c r="I58" s="393" t="s">
        <v>13</v>
      </c>
      <c r="J58" s="390">
        <v>2.95</v>
      </c>
      <c r="K58" s="390">
        <f t="shared" si="3"/>
        <v>70.8</v>
      </c>
      <c r="L58" s="389" t="s">
        <v>19</v>
      </c>
      <c r="M58" s="465"/>
      <c r="N58" s="465"/>
    </row>
    <row r="59" spans="1:14" ht="18" customHeight="1" x14ac:dyDescent="0.25">
      <c r="A59" s="465"/>
      <c r="B59" s="465"/>
      <c r="C59" s="421" t="s">
        <v>37</v>
      </c>
      <c r="D59" s="449">
        <v>3</v>
      </c>
      <c r="E59" s="393" t="s">
        <v>13</v>
      </c>
      <c r="F59" s="390">
        <v>3.6</v>
      </c>
      <c r="G59" s="437"/>
      <c r="H59" s="437"/>
      <c r="I59" s="393" t="s">
        <v>13</v>
      </c>
      <c r="J59" s="390">
        <v>2.95</v>
      </c>
      <c r="K59" s="390">
        <f t="shared" si="3"/>
        <v>31.86</v>
      </c>
      <c r="L59" s="389" t="s">
        <v>19</v>
      </c>
      <c r="M59" s="465"/>
      <c r="N59" s="465"/>
    </row>
    <row r="60" spans="1:14" ht="18" customHeight="1" x14ac:dyDescent="0.25">
      <c r="A60" s="465"/>
      <c r="B60" s="465"/>
      <c r="C60" s="421" t="s">
        <v>37</v>
      </c>
      <c r="D60" s="449">
        <v>4</v>
      </c>
      <c r="E60" s="393" t="s">
        <v>13</v>
      </c>
      <c r="F60" s="390">
        <v>2.95</v>
      </c>
      <c r="G60" s="437"/>
      <c r="H60" s="437"/>
      <c r="I60" s="393" t="s">
        <v>13</v>
      </c>
      <c r="J60" s="390">
        <v>2.95</v>
      </c>
      <c r="K60" s="390">
        <f t="shared" si="3"/>
        <v>34.81</v>
      </c>
      <c r="L60" s="389" t="s">
        <v>19</v>
      </c>
      <c r="M60" s="465"/>
      <c r="N60" s="465"/>
    </row>
    <row r="61" spans="1:14" ht="18" customHeight="1" x14ac:dyDescent="0.25">
      <c r="A61" s="465"/>
      <c r="B61" s="465"/>
      <c r="C61" s="421" t="s">
        <v>52</v>
      </c>
      <c r="D61" s="449">
        <v>-2</v>
      </c>
      <c r="E61" s="393" t="s">
        <v>13</v>
      </c>
      <c r="F61" s="390">
        <v>2.1</v>
      </c>
      <c r="G61" s="437"/>
      <c r="H61" s="437"/>
      <c r="I61" s="393" t="s">
        <v>13</v>
      </c>
      <c r="J61" s="390">
        <v>1.3</v>
      </c>
      <c r="K61" s="390">
        <f t="shared" si="3"/>
        <v>-5.46</v>
      </c>
      <c r="L61" s="389" t="s">
        <v>19</v>
      </c>
      <c r="M61" s="465"/>
      <c r="N61" s="465"/>
    </row>
    <row r="62" spans="1:14" ht="18" customHeight="1" x14ac:dyDescent="0.25">
      <c r="A62" s="465"/>
      <c r="B62" s="465"/>
      <c r="C62" s="421" t="s">
        <v>53</v>
      </c>
      <c r="D62" s="449">
        <v>-2</v>
      </c>
      <c r="E62" s="393" t="s">
        <v>13</v>
      </c>
      <c r="F62" s="390">
        <v>1.1000000000000001</v>
      </c>
      <c r="G62" s="437"/>
      <c r="H62" s="437"/>
      <c r="I62" s="393" t="s">
        <v>13</v>
      </c>
      <c r="J62" s="390">
        <v>1.2</v>
      </c>
      <c r="K62" s="390">
        <f t="shared" si="3"/>
        <v>-2.64</v>
      </c>
      <c r="L62" s="389" t="s">
        <v>19</v>
      </c>
      <c r="M62" s="465"/>
      <c r="N62" s="465"/>
    </row>
    <row r="63" spans="1:14" ht="18" customHeight="1" x14ac:dyDescent="0.25">
      <c r="A63" s="465"/>
      <c r="B63" s="465"/>
      <c r="C63" s="421" t="s">
        <v>54</v>
      </c>
      <c r="D63" s="449">
        <v>3</v>
      </c>
      <c r="E63" s="393" t="s">
        <v>13</v>
      </c>
      <c r="F63" s="390">
        <v>9.1999999999999993</v>
      </c>
      <c r="G63" s="437"/>
      <c r="H63" s="437"/>
      <c r="I63" s="393" t="s">
        <v>13</v>
      </c>
      <c r="J63" s="390">
        <v>1.5</v>
      </c>
      <c r="K63" s="390">
        <f t="shared" si="3"/>
        <v>41.4</v>
      </c>
      <c r="L63" s="389" t="s">
        <v>19</v>
      </c>
      <c r="M63" s="465"/>
      <c r="N63" s="465"/>
    </row>
    <row r="64" spans="1:14" ht="18" customHeight="1" x14ac:dyDescent="0.25">
      <c r="A64" s="465"/>
      <c r="B64" s="465"/>
      <c r="C64" s="421" t="s">
        <v>54</v>
      </c>
      <c r="D64" s="449">
        <v>1</v>
      </c>
      <c r="E64" s="393" t="s">
        <v>13</v>
      </c>
      <c r="F64" s="390">
        <v>7</v>
      </c>
      <c r="G64" s="437"/>
      <c r="H64" s="437"/>
      <c r="I64" s="393" t="s">
        <v>13</v>
      </c>
      <c r="J64" s="390">
        <v>0.95</v>
      </c>
      <c r="K64" s="390">
        <f t="shared" si="3"/>
        <v>6.65</v>
      </c>
      <c r="L64" s="389" t="s">
        <v>19</v>
      </c>
      <c r="M64" s="465"/>
      <c r="N64" s="465"/>
    </row>
    <row r="65" spans="1:14" ht="18" customHeight="1" x14ac:dyDescent="0.25">
      <c r="A65" s="465"/>
      <c r="B65" s="465"/>
      <c r="C65" s="421" t="s">
        <v>40</v>
      </c>
      <c r="D65" s="449">
        <v>4</v>
      </c>
      <c r="E65" s="393" t="s">
        <v>13</v>
      </c>
      <c r="F65" s="390">
        <v>11.2</v>
      </c>
      <c r="G65" s="437"/>
      <c r="H65" s="437"/>
      <c r="I65" s="393" t="s">
        <v>13</v>
      </c>
      <c r="J65" s="390">
        <v>0.95</v>
      </c>
      <c r="K65" s="390">
        <f t="shared" si="3"/>
        <v>42.56</v>
      </c>
      <c r="L65" s="389" t="s">
        <v>19</v>
      </c>
      <c r="M65" s="465"/>
      <c r="N65" s="465"/>
    </row>
    <row r="66" spans="1:14" ht="18" customHeight="1" x14ac:dyDescent="0.25">
      <c r="A66" s="465"/>
      <c r="B66" s="465"/>
      <c r="C66" s="421" t="s">
        <v>55</v>
      </c>
      <c r="D66" s="449">
        <v>2</v>
      </c>
      <c r="E66" s="393" t="s">
        <v>13</v>
      </c>
      <c r="F66" s="390">
        <v>6.4</v>
      </c>
      <c r="G66" s="437"/>
      <c r="H66" s="437"/>
      <c r="I66" s="393" t="s">
        <v>13</v>
      </c>
      <c r="J66" s="390">
        <v>3.05</v>
      </c>
      <c r="K66" s="390">
        <f t="shared" si="3"/>
        <v>39.04</v>
      </c>
      <c r="L66" s="389" t="s">
        <v>19</v>
      </c>
      <c r="M66" s="465"/>
      <c r="N66" s="465"/>
    </row>
    <row r="67" spans="1:14" ht="18" customHeight="1" x14ac:dyDescent="0.25">
      <c r="A67" s="465"/>
      <c r="B67" s="465"/>
      <c r="C67" s="421" t="s">
        <v>55</v>
      </c>
      <c r="D67" s="449">
        <v>2</v>
      </c>
      <c r="E67" s="393" t="s">
        <v>13</v>
      </c>
      <c r="F67" s="390">
        <v>4.7</v>
      </c>
      <c r="G67" s="437"/>
      <c r="H67" s="437"/>
      <c r="I67" s="393" t="s">
        <v>13</v>
      </c>
      <c r="J67" s="390">
        <v>3.05</v>
      </c>
      <c r="K67" s="390">
        <f t="shared" si="3"/>
        <v>28.67</v>
      </c>
      <c r="L67" s="389" t="s">
        <v>19</v>
      </c>
      <c r="M67" s="465"/>
      <c r="N67" s="465"/>
    </row>
    <row r="68" spans="1:14" ht="18" customHeight="1" x14ac:dyDescent="0.25">
      <c r="A68" s="465"/>
      <c r="B68" s="465"/>
      <c r="C68" s="421" t="s">
        <v>55</v>
      </c>
      <c r="D68" s="449">
        <v>1</v>
      </c>
      <c r="E68" s="393" t="s">
        <v>13</v>
      </c>
      <c r="F68" s="390">
        <v>9.9600000000000009</v>
      </c>
      <c r="G68" s="437"/>
      <c r="H68" s="437"/>
      <c r="I68" s="393" t="s">
        <v>13</v>
      </c>
      <c r="J68" s="390">
        <v>3.05</v>
      </c>
      <c r="K68" s="390">
        <f t="shared" si="3"/>
        <v>30.38</v>
      </c>
      <c r="L68" s="389" t="s">
        <v>19</v>
      </c>
      <c r="M68" s="465"/>
      <c r="N68" s="465"/>
    </row>
    <row r="69" spans="1:14" ht="18" customHeight="1" x14ac:dyDescent="0.25">
      <c r="A69" s="465"/>
      <c r="B69" s="465"/>
      <c r="C69" s="421" t="s">
        <v>56</v>
      </c>
      <c r="D69" s="449">
        <v>2</v>
      </c>
      <c r="E69" s="393" t="s">
        <v>13</v>
      </c>
      <c r="F69" s="390">
        <v>8.25</v>
      </c>
      <c r="G69" s="437"/>
      <c r="H69" s="437"/>
      <c r="I69" s="393" t="s">
        <v>13</v>
      </c>
      <c r="J69" s="390">
        <v>3.05</v>
      </c>
      <c r="K69" s="390">
        <f t="shared" si="3"/>
        <v>50.33</v>
      </c>
      <c r="L69" s="389" t="s">
        <v>19</v>
      </c>
      <c r="M69" s="465"/>
      <c r="N69" s="465"/>
    </row>
    <row r="70" spans="1:14" ht="18" customHeight="1" x14ac:dyDescent="0.25">
      <c r="A70" s="465"/>
      <c r="B70" s="465"/>
      <c r="C70" s="421" t="s">
        <v>56</v>
      </c>
      <c r="D70" s="449">
        <v>2</v>
      </c>
      <c r="E70" s="393" t="s">
        <v>13</v>
      </c>
      <c r="F70" s="390">
        <v>5.2</v>
      </c>
      <c r="G70" s="437"/>
      <c r="H70" s="437"/>
      <c r="I70" s="393" t="s">
        <v>13</v>
      </c>
      <c r="J70" s="390">
        <v>3.05</v>
      </c>
      <c r="K70" s="390">
        <f t="shared" si="3"/>
        <v>31.72</v>
      </c>
      <c r="L70" s="389" t="s">
        <v>19</v>
      </c>
      <c r="M70" s="465"/>
      <c r="N70" s="465"/>
    </row>
    <row r="71" spans="1:14" ht="18" customHeight="1" x14ac:dyDescent="0.25">
      <c r="A71" s="465"/>
      <c r="B71" s="465"/>
      <c r="C71" s="421" t="s">
        <v>57</v>
      </c>
      <c r="D71" s="449">
        <v>2</v>
      </c>
      <c r="E71" s="393" t="s">
        <v>13</v>
      </c>
      <c r="F71" s="390">
        <v>4.0999999999999996</v>
      </c>
      <c r="G71" s="437"/>
      <c r="H71" s="437"/>
      <c r="I71" s="393" t="s">
        <v>13</v>
      </c>
      <c r="J71" s="390">
        <v>3.05</v>
      </c>
      <c r="K71" s="390">
        <f t="shared" si="3"/>
        <v>25.01</v>
      </c>
      <c r="L71" s="389" t="s">
        <v>19</v>
      </c>
      <c r="M71" s="465"/>
      <c r="N71" s="465"/>
    </row>
    <row r="72" spans="1:14" ht="18" customHeight="1" x14ac:dyDescent="0.25">
      <c r="A72" s="465"/>
      <c r="B72" s="465"/>
      <c r="C72" s="421" t="s">
        <v>57</v>
      </c>
      <c r="D72" s="449">
        <v>2</v>
      </c>
      <c r="E72" s="393" t="s">
        <v>13</v>
      </c>
      <c r="F72" s="390">
        <v>6.35</v>
      </c>
      <c r="G72" s="437"/>
      <c r="H72" s="437"/>
      <c r="I72" s="393" t="s">
        <v>13</v>
      </c>
      <c r="J72" s="390">
        <v>3.05</v>
      </c>
      <c r="K72" s="390">
        <f t="shared" si="3"/>
        <v>38.74</v>
      </c>
      <c r="L72" s="389" t="s">
        <v>19</v>
      </c>
      <c r="M72" s="465"/>
      <c r="N72" s="465"/>
    </row>
    <row r="73" spans="1:14" ht="18" customHeight="1" x14ac:dyDescent="0.25">
      <c r="A73" s="465"/>
      <c r="B73" s="465"/>
      <c r="C73" s="421" t="s">
        <v>58</v>
      </c>
      <c r="D73" s="449">
        <v>2</v>
      </c>
      <c r="E73" s="393" t="s">
        <v>13</v>
      </c>
      <c r="F73" s="390">
        <v>4.12</v>
      </c>
      <c r="G73" s="437"/>
      <c r="H73" s="437"/>
      <c r="I73" s="393" t="s">
        <v>13</v>
      </c>
      <c r="J73" s="390">
        <v>3.05</v>
      </c>
      <c r="K73" s="390">
        <f t="shared" si="3"/>
        <v>25.13</v>
      </c>
      <c r="L73" s="389" t="s">
        <v>19</v>
      </c>
      <c r="M73" s="465"/>
      <c r="N73" s="465"/>
    </row>
    <row r="74" spans="1:14" ht="18" customHeight="1" x14ac:dyDescent="0.25">
      <c r="A74" s="465"/>
      <c r="B74" s="465"/>
      <c r="C74" s="421" t="s">
        <v>58</v>
      </c>
      <c r="D74" s="449">
        <v>2</v>
      </c>
      <c r="E74" s="393" t="s">
        <v>13</v>
      </c>
      <c r="F74" s="390">
        <v>6.4</v>
      </c>
      <c r="G74" s="437"/>
      <c r="H74" s="437"/>
      <c r="I74" s="393" t="s">
        <v>13</v>
      </c>
      <c r="J74" s="390">
        <v>3.05</v>
      </c>
      <c r="K74" s="390">
        <f t="shared" si="3"/>
        <v>39.04</v>
      </c>
      <c r="L74" s="389" t="s">
        <v>19</v>
      </c>
      <c r="M74" s="466"/>
      <c r="N74" s="466"/>
    </row>
    <row r="75" spans="1:14" ht="18" customHeight="1" x14ac:dyDescent="0.25">
      <c r="A75" s="466"/>
      <c r="B75" s="466"/>
      <c r="C75" s="467" t="s">
        <v>15</v>
      </c>
      <c r="D75" s="462"/>
      <c r="E75" s="462"/>
      <c r="F75" s="462"/>
      <c r="G75" s="462"/>
      <c r="H75" s="462"/>
      <c r="I75" s="462"/>
      <c r="J75" s="463"/>
      <c r="K75" s="390">
        <f>ROUND(SUM(K57:K74), 2)</f>
        <v>559.9</v>
      </c>
      <c r="L75" s="389" t="s">
        <v>19</v>
      </c>
      <c r="M75" s="391">
        <v>214.3</v>
      </c>
      <c r="N75" s="392">
        <f>ROUND(K75*M75, 2)</f>
        <v>119986.57</v>
      </c>
    </row>
    <row r="76" spans="1:14" ht="64.05" customHeight="1" x14ac:dyDescent="0.25">
      <c r="A76" s="474">
        <v>10</v>
      </c>
      <c r="B76" s="468" t="s">
        <v>59</v>
      </c>
      <c r="C76" s="461" t="s">
        <v>60</v>
      </c>
      <c r="D76" s="462"/>
      <c r="E76" s="462"/>
      <c r="F76" s="462"/>
      <c r="G76" s="462"/>
      <c r="H76" s="462"/>
      <c r="I76" s="462"/>
      <c r="J76" s="462"/>
      <c r="K76" s="463"/>
      <c r="L76" s="382"/>
      <c r="M76" s="464"/>
      <c r="N76" s="464"/>
    </row>
    <row r="77" spans="1:14" ht="18" customHeight="1" x14ac:dyDescent="0.25">
      <c r="A77" s="465"/>
      <c r="B77" s="465"/>
      <c r="C77" s="421" t="s">
        <v>61</v>
      </c>
      <c r="D77" s="449">
        <v>1</v>
      </c>
      <c r="E77" s="437"/>
      <c r="F77" s="460">
        <v>1768</v>
      </c>
      <c r="G77" s="437"/>
      <c r="H77" s="437"/>
      <c r="I77" s="437"/>
      <c r="J77" s="437"/>
      <c r="K77" s="390">
        <f>D77*F77</f>
        <v>1768</v>
      </c>
      <c r="L77" s="389" t="s">
        <v>19</v>
      </c>
      <c r="M77" s="465"/>
      <c r="N77" s="465"/>
    </row>
    <row r="78" spans="1:14" ht="18" customHeight="1" x14ac:dyDescent="0.25">
      <c r="A78" s="465"/>
      <c r="B78" s="465"/>
      <c r="C78" s="421" t="s">
        <v>62</v>
      </c>
      <c r="D78" s="449">
        <v>1</v>
      </c>
      <c r="E78" s="437"/>
      <c r="F78" s="390">
        <v>631.79999999999995</v>
      </c>
      <c r="G78" s="437"/>
      <c r="H78" s="437"/>
      <c r="I78" s="437"/>
      <c r="J78" s="437"/>
      <c r="K78" s="390">
        <f>D78*F78</f>
        <v>631.79999999999995</v>
      </c>
      <c r="L78" s="389" t="s">
        <v>19</v>
      </c>
      <c r="M78" s="466"/>
      <c r="N78" s="466"/>
    </row>
    <row r="79" spans="1:14" ht="18" customHeight="1" x14ac:dyDescent="0.25">
      <c r="A79" s="466"/>
      <c r="B79" s="466"/>
      <c r="C79" s="467" t="s">
        <v>15</v>
      </c>
      <c r="D79" s="462"/>
      <c r="E79" s="462"/>
      <c r="F79" s="462"/>
      <c r="G79" s="462"/>
      <c r="H79" s="462"/>
      <c r="I79" s="462"/>
      <c r="J79" s="463"/>
      <c r="K79" s="390">
        <f>ROUND(SUM(K77:K78), 2)</f>
        <v>2399.8000000000002</v>
      </c>
      <c r="L79" s="389" t="s">
        <v>19</v>
      </c>
      <c r="M79" s="391">
        <v>64.45</v>
      </c>
      <c r="N79" s="392">
        <f>ROUND(K79*M79, 2)</f>
        <v>154667.10999999999</v>
      </c>
    </row>
    <row r="80" spans="1:14" ht="72.599999999999994" customHeight="1" x14ac:dyDescent="0.25">
      <c r="A80" s="474">
        <v>11</v>
      </c>
      <c r="B80" s="468" t="s">
        <v>63</v>
      </c>
      <c r="C80" s="461" t="s">
        <v>64</v>
      </c>
      <c r="D80" s="462"/>
      <c r="E80" s="462"/>
      <c r="F80" s="462"/>
      <c r="G80" s="462"/>
      <c r="H80" s="462"/>
      <c r="I80" s="462"/>
      <c r="J80" s="462"/>
      <c r="K80" s="463"/>
      <c r="L80" s="382"/>
      <c r="M80" s="382"/>
      <c r="N80" s="382"/>
    </row>
    <row r="81" spans="1:14" ht="46.2" customHeight="1" x14ac:dyDescent="0.25">
      <c r="A81" s="465"/>
      <c r="B81" s="465"/>
      <c r="C81" s="422" t="s">
        <v>65</v>
      </c>
      <c r="D81" s="450"/>
      <c r="E81" s="438"/>
      <c r="F81" s="438"/>
      <c r="G81" s="438"/>
      <c r="H81" s="438"/>
      <c r="I81" s="438"/>
      <c r="J81" s="438"/>
      <c r="K81" s="399"/>
      <c r="L81" s="399"/>
      <c r="M81" s="399"/>
      <c r="N81" s="399"/>
    </row>
    <row r="82" spans="1:14" ht="46.2" customHeight="1" x14ac:dyDescent="0.25">
      <c r="A82" s="465"/>
      <c r="B82" s="465"/>
      <c r="C82" s="423" t="s">
        <v>66</v>
      </c>
      <c r="D82" s="451">
        <v>1</v>
      </c>
      <c r="E82" s="439" t="s">
        <v>13</v>
      </c>
      <c r="F82" s="404">
        <v>22.3</v>
      </c>
      <c r="G82" s="438"/>
      <c r="H82" s="438"/>
      <c r="I82" s="439" t="s">
        <v>13</v>
      </c>
      <c r="J82" s="404">
        <v>3.05</v>
      </c>
      <c r="K82" s="404">
        <f>D82*F82*J82</f>
        <v>68.02</v>
      </c>
      <c r="L82" s="402" t="s">
        <v>67</v>
      </c>
      <c r="M82" s="399"/>
      <c r="N82" s="399"/>
    </row>
    <row r="83" spans="1:14" ht="46.2" customHeight="1" x14ac:dyDescent="0.25">
      <c r="A83" s="465"/>
      <c r="B83" s="465"/>
      <c r="C83" s="423" t="s">
        <v>68</v>
      </c>
      <c r="D83" s="451">
        <v>-1</v>
      </c>
      <c r="E83" s="439" t="s">
        <v>13</v>
      </c>
      <c r="F83" s="404">
        <v>1.2</v>
      </c>
      <c r="G83" s="438"/>
      <c r="H83" s="438"/>
      <c r="I83" s="439" t="s">
        <v>13</v>
      </c>
      <c r="J83" s="404">
        <v>2.1</v>
      </c>
      <c r="K83" s="404">
        <f>D83*F83*J83</f>
        <v>-2.52</v>
      </c>
      <c r="L83" s="402" t="s">
        <v>67</v>
      </c>
      <c r="M83" s="399"/>
      <c r="N83" s="399"/>
    </row>
    <row r="84" spans="1:14" ht="46.2" customHeight="1" x14ac:dyDescent="0.25">
      <c r="A84" s="465"/>
      <c r="B84" s="465"/>
      <c r="C84" s="423" t="s">
        <v>69</v>
      </c>
      <c r="D84" s="451">
        <v>-2</v>
      </c>
      <c r="E84" s="439" t="s">
        <v>13</v>
      </c>
      <c r="F84" s="404">
        <v>1.5</v>
      </c>
      <c r="G84" s="438"/>
      <c r="H84" s="438"/>
      <c r="I84" s="439" t="s">
        <v>13</v>
      </c>
      <c r="J84" s="404">
        <v>1.8</v>
      </c>
      <c r="K84" s="404">
        <f>D84*F84*J84</f>
        <v>-5.4</v>
      </c>
      <c r="L84" s="402" t="s">
        <v>67</v>
      </c>
      <c r="M84" s="399"/>
      <c r="N84" s="399"/>
    </row>
    <row r="85" spans="1:14" ht="46.2" customHeight="1" x14ac:dyDescent="0.25">
      <c r="A85" s="465"/>
      <c r="B85" s="465"/>
      <c r="C85" s="422" t="s">
        <v>70</v>
      </c>
      <c r="D85" s="450"/>
      <c r="E85" s="438"/>
      <c r="F85" s="438"/>
      <c r="G85" s="438"/>
      <c r="H85" s="438"/>
      <c r="I85" s="438"/>
      <c r="J85" s="438"/>
      <c r="K85" s="399"/>
      <c r="L85" s="399"/>
      <c r="M85" s="399"/>
      <c r="N85" s="399"/>
    </row>
    <row r="86" spans="1:14" ht="46.2" customHeight="1" x14ac:dyDescent="0.25">
      <c r="A86" s="465"/>
      <c r="B86" s="465"/>
      <c r="C86" s="423" t="s">
        <v>71</v>
      </c>
      <c r="D86" s="451">
        <v>1</v>
      </c>
      <c r="E86" s="439" t="s">
        <v>13</v>
      </c>
      <c r="F86" s="404">
        <v>24.02</v>
      </c>
      <c r="G86" s="438"/>
      <c r="H86" s="438"/>
      <c r="I86" s="439" t="s">
        <v>13</v>
      </c>
      <c r="J86" s="404">
        <v>3.05</v>
      </c>
      <c r="K86" s="404">
        <f>D86*F86*J86</f>
        <v>73.260000000000005</v>
      </c>
      <c r="L86" s="402" t="s">
        <v>67</v>
      </c>
      <c r="M86" s="399"/>
      <c r="N86" s="399"/>
    </row>
    <row r="87" spans="1:14" ht="46.2" customHeight="1" x14ac:dyDescent="0.25">
      <c r="A87" s="465"/>
      <c r="B87" s="465"/>
      <c r="C87" s="423" t="s">
        <v>68</v>
      </c>
      <c r="D87" s="451">
        <v>-1</v>
      </c>
      <c r="E87" s="439" t="s">
        <v>13</v>
      </c>
      <c r="F87" s="404">
        <v>1.2</v>
      </c>
      <c r="G87" s="438"/>
      <c r="H87" s="438"/>
      <c r="I87" s="439" t="s">
        <v>13</v>
      </c>
      <c r="J87" s="404">
        <v>2.1</v>
      </c>
      <c r="K87" s="404">
        <f>D87*F87*J87</f>
        <v>-2.52</v>
      </c>
      <c r="L87" s="402" t="s">
        <v>67</v>
      </c>
      <c r="M87" s="399"/>
      <c r="N87" s="399"/>
    </row>
    <row r="88" spans="1:14" ht="46.2" customHeight="1" x14ac:dyDescent="0.25">
      <c r="A88" s="465"/>
      <c r="B88" s="465"/>
      <c r="C88" s="423" t="s">
        <v>72</v>
      </c>
      <c r="D88" s="451">
        <v>-3</v>
      </c>
      <c r="E88" s="439" t="s">
        <v>13</v>
      </c>
      <c r="F88" s="404">
        <v>1.5</v>
      </c>
      <c r="G88" s="438"/>
      <c r="H88" s="438"/>
      <c r="I88" s="439" t="s">
        <v>13</v>
      </c>
      <c r="J88" s="404">
        <v>1.8</v>
      </c>
      <c r="K88" s="404">
        <f>D88*F88*J88</f>
        <v>-8.1</v>
      </c>
      <c r="L88" s="402" t="s">
        <v>67</v>
      </c>
      <c r="M88" s="399"/>
      <c r="N88" s="399"/>
    </row>
    <row r="89" spans="1:14" ht="46.2" customHeight="1" x14ac:dyDescent="0.25">
      <c r="A89" s="465"/>
      <c r="B89" s="465"/>
      <c r="C89" s="422" t="s">
        <v>73</v>
      </c>
      <c r="D89" s="450"/>
      <c r="E89" s="438"/>
      <c r="F89" s="438"/>
      <c r="G89" s="438"/>
      <c r="H89" s="438"/>
      <c r="I89" s="438"/>
      <c r="J89" s="438"/>
      <c r="K89" s="399"/>
      <c r="L89" s="399"/>
      <c r="M89" s="399"/>
      <c r="N89" s="399"/>
    </row>
    <row r="90" spans="1:14" ht="46.2" customHeight="1" x14ac:dyDescent="0.25">
      <c r="A90" s="465"/>
      <c r="B90" s="465"/>
      <c r="C90" s="423" t="s">
        <v>74</v>
      </c>
      <c r="D90" s="451">
        <v>1</v>
      </c>
      <c r="E90" s="439" t="s">
        <v>13</v>
      </c>
      <c r="F90" s="404">
        <v>20.309999999999999</v>
      </c>
      <c r="G90" s="438"/>
      <c r="H90" s="438"/>
      <c r="I90" s="439" t="s">
        <v>13</v>
      </c>
      <c r="J90" s="404">
        <v>3.05</v>
      </c>
      <c r="K90" s="404">
        <f>D90*F90*J90</f>
        <v>61.95</v>
      </c>
      <c r="L90" s="402" t="s">
        <v>67</v>
      </c>
      <c r="M90" s="399"/>
      <c r="N90" s="399"/>
    </row>
    <row r="91" spans="1:14" ht="46.2" customHeight="1" x14ac:dyDescent="0.25">
      <c r="A91" s="465"/>
      <c r="B91" s="465"/>
      <c r="C91" s="423" t="s">
        <v>68</v>
      </c>
      <c r="D91" s="451">
        <v>-1</v>
      </c>
      <c r="E91" s="439" t="s">
        <v>13</v>
      </c>
      <c r="F91" s="404">
        <v>1.2</v>
      </c>
      <c r="G91" s="438"/>
      <c r="H91" s="438"/>
      <c r="I91" s="439" t="s">
        <v>13</v>
      </c>
      <c r="J91" s="404">
        <v>2.1</v>
      </c>
      <c r="K91" s="404">
        <f>D91*F91*J91</f>
        <v>-2.52</v>
      </c>
      <c r="L91" s="402" t="s">
        <v>67</v>
      </c>
      <c r="M91" s="399"/>
      <c r="N91" s="399"/>
    </row>
    <row r="92" spans="1:14" ht="46.2" customHeight="1" x14ac:dyDescent="0.25">
      <c r="A92" s="465"/>
      <c r="B92" s="465"/>
      <c r="C92" s="423" t="s">
        <v>75</v>
      </c>
      <c r="D92" s="451">
        <v>-1</v>
      </c>
      <c r="E92" s="439" t="s">
        <v>13</v>
      </c>
      <c r="F92" s="404">
        <v>1.5</v>
      </c>
      <c r="G92" s="438"/>
      <c r="H92" s="438"/>
      <c r="I92" s="439" t="s">
        <v>13</v>
      </c>
      <c r="J92" s="404">
        <v>1.8</v>
      </c>
      <c r="K92" s="404">
        <f>D92*F92*J92</f>
        <v>-2.7</v>
      </c>
      <c r="L92" s="402" t="s">
        <v>67</v>
      </c>
      <c r="M92" s="399"/>
      <c r="N92" s="399"/>
    </row>
    <row r="93" spans="1:14" ht="46.2" customHeight="1" x14ac:dyDescent="0.25">
      <c r="A93" s="465"/>
      <c r="B93" s="465"/>
      <c r="C93" s="422" t="s">
        <v>76</v>
      </c>
      <c r="D93" s="450"/>
      <c r="E93" s="438"/>
      <c r="F93" s="438"/>
      <c r="G93" s="438"/>
      <c r="H93" s="438"/>
      <c r="I93" s="438"/>
      <c r="J93" s="438"/>
      <c r="K93" s="399"/>
      <c r="L93" s="399"/>
      <c r="M93" s="399"/>
      <c r="N93" s="399"/>
    </row>
    <row r="94" spans="1:14" ht="46.2" customHeight="1" x14ac:dyDescent="0.25">
      <c r="A94" s="465"/>
      <c r="B94" s="465"/>
      <c r="C94" s="423" t="s">
        <v>77</v>
      </c>
      <c r="D94" s="451">
        <v>1</v>
      </c>
      <c r="E94" s="439" t="s">
        <v>13</v>
      </c>
      <c r="F94" s="404">
        <v>19.11</v>
      </c>
      <c r="G94" s="438"/>
      <c r="H94" s="438"/>
      <c r="I94" s="439" t="s">
        <v>13</v>
      </c>
      <c r="J94" s="404">
        <v>3.05</v>
      </c>
      <c r="K94" s="404">
        <f>D94*F94*J94</f>
        <v>58.29</v>
      </c>
      <c r="L94" s="402" t="s">
        <v>67</v>
      </c>
      <c r="M94" s="399"/>
      <c r="N94" s="399"/>
    </row>
    <row r="95" spans="1:14" ht="46.2" customHeight="1" x14ac:dyDescent="0.25">
      <c r="A95" s="465"/>
      <c r="B95" s="465"/>
      <c r="C95" s="423" t="s">
        <v>68</v>
      </c>
      <c r="D95" s="451">
        <v>-1</v>
      </c>
      <c r="E95" s="439" t="s">
        <v>13</v>
      </c>
      <c r="F95" s="404">
        <v>1.2</v>
      </c>
      <c r="G95" s="438"/>
      <c r="H95" s="438"/>
      <c r="I95" s="439" t="s">
        <v>13</v>
      </c>
      <c r="J95" s="404">
        <v>2.1</v>
      </c>
      <c r="K95" s="404">
        <f>D95*F95*J95</f>
        <v>-2.52</v>
      </c>
      <c r="L95" s="402" t="s">
        <v>67</v>
      </c>
      <c r="M95" s="399"/>
      <c r="N95" s="399"/>
    </row>
    <row r="96" spans="1:14" ht="46.2" customHeight="1" x14ac:dyDescent="0.25">
      <c r="A96" s="465"/>
      <c r="B96" s="465"/>
      <c r="C96" s="423" t="s">
        <v>75</v>
      </c>
      <c r="D96" s="451">
        <v>-1</v>
      </c>
      <c r="E96" s="439" t="s">
        <v>13</v>
      </c>
      <c r="F96" s="404">
        <v>1.5</v>
      </c>
      <c r="G96" s="438"/>
      <c r="H96" s="438"/>
      <c r="I96" s="439" t="s">
        <v>13</v>
      </c>
      <c r="J96" s="404">
        <v>1.8</v>
      </c>
      <c r="K96" s="404">
        <f>D96*F96*J96</f>
        <v>-2.7</v>
      </c>
      <c r="L96" s="402" t="s">
        <v>67</v>
      </c>
      <c r="M96" s="399"/>
      <c r="N96" s="399"/>
    </row>
    <row r="97" spans="1:14" ht="46.2" customHeight="1" x14ac:dyDescent="0.25">
      <c r="A97" s="465"/>
      <c r="B97" s="465"/>
      <c r="C97" s="422" t="s">
        <v>78</v>
      </c>
      <c r="D97" s="450"/>
      <c r="E97" s="438"/>
      <c r="F97" s="438"/>
      <c r="G97" s="438"/>
      <c r="H97" s="438"/>
      <c r="I97" s="438"/>
      <c r="J97" s="438"/>
      <c r="K97" s="399"/>
      <c r="L97" s="399"/>
      <c r="M97" s="399"/>
      <c r="N97" s="399"/>
    </row>
    <row r="98" spans="1:14" ht="46.2" customHeight="1" x14ac:dyDescent="0.25">
      <c r="A98" s="465"/>
      <c r="B98" s="465"/>
      <c r="C98" s="423" t="s">
        <v>74</v>
      </c>
      <c r="D98" s="451">
        <v>1</v>
      </c>
      <c r="E98" s="439" t="s">
        <v>13</v>
      </c>
      <c r="F98" s="404">
        <v>20.309999999999999</v>
      </c>
      <c r="G98" s="438"/>
      <c r="H98" s="438"/>
      <c r="I98" s="439" t="s">
        <v>13</v>
      </c>
      <c r="J98" s="404">
        <v>3.05</v>
      </c>
      <c r="K98" s="404">
        <f>D98*F98*J98</f>
        <v>61.95</v>
      </c>
      <c r="L98" s="402" t="s">
        <v>67</v>
      </c>
      <c r="M98" s="399"/>
      <c r="N98" s="399"/>
    </row>
    <row r="99" spans="1:14" ht="46.2" customHeight="1" x14ac:dyDescent="0.25">
      <c r="A99" s="465"/>
      <c r="B99" s="465"/>
      <c r="C99" s="423" t="s">
        <v>68</v>
      </c>
      <c r="D99" s="451">
        <v>-1</v>
      </c>
      <c r="E99" s="439" t="s">
        <v>13</v>
      </c>
      <c r="F99" s="404">
        <v>1.2</v>
      </c>
      <c r="G99" s="438"/>
      <c r="H99" s="438"/>
      <c r="I99" s="439" t="s">
        <v>13</v>
      </c>
      <c r="J99" s="404">
        <v>2.1</v>
      </c>
      <c r="K99" s="404">
        <f>D99*F99*J99</f>
        <v>-2.52</v>
      </c>
      <c r="L99" s="402" t="s">
        <v>67</v>
      </c>
      <c r="M99" s="399"/>
      <c r="N99" s="399"/>
    </row>
    <row r="100" spans="1:14" ht="46.2" customHeight="1" x14ac:dyDescent="0.25">
      <c r="A100" s="465"/>
      <c r="B100" s="465"/>
      <c r="C100" s="423" t="s">
        <v>75</v>
      </c>
      <c r="D100" s="451">
        <v>-1</v>
      </c>
      <c r="E100" s="439" t="s">
        <v>13</v>
      </c>
      <c r="F100" s="404">
        <v>1.5</v>
      </c>
      <c r="G100" s="438"/>
      <c r="H100" s="438"/>
      <c r="I100" s="439" t="s">
        <v>13</v>
      </c>
      <c r="J100" s="404">
        <v>1.8</v>
      </c>
      <c r="K100" s="404">
        <f>D100*F100*J100</f>
        <v>-2.7</v>
      </c>
      <c r="L100" s="402" t="s">
        <v>67</v>
      </c>
      <c r="M100" s="399"/>
      <c r="N100" s="399"/>
    </row>
    <row r="101" spans="1:14" ht="46.2" customHeight="1" x14ac:dyDescent="0.25">
      <c r="A101" s="465"/>
      <c r="B101" s="465"/>
      <c r="C101" s="422" t="s">
        <v>79</v>
      </c>
      <c r="D101" s="450"/>
      <c r="E101" s="438"/>
      <c r="F101" s="438"/>
      <c r="G101" s="438"/>
      <c r="H101" s="438"/>
      <c r="I101" s="438"/>
      <c r="J101" s="438"/>
      <c r="K101" s="399"/>
      <c r="L101" s="399"/>
      <c r="M101" s="399"/>
      <c r="N101" s="399"/>
    </row>
    <row r="102" spans="1:14" ht="46.2" customHeight="1" x14ac:dyDescent="0.25">
      <c r="A102" s="465"/>
      <c r="B102" s="465"/>
      <c r="C102" s="423" t="s">
        <v>80</v>
      </c>
      <c r="D102" s="451">
        <v>1</v>
      </c>
      <c r="E102" s="439" t="s">
        <v>13</v>
      </c>
      <c r="F102" s="404">
        <v>21.78</v>
      </c>
      <c r="G102" s="438"/>
      <c r="H102" s="438"/>
      <c r="I102" s="439" t="s">
        <v>13</v>
      </c>
      <c r="J102" s="404">
        <v>3.05</v>
      </c>
      <c r="K102" s="404">
        <f>D102*F102*J102</f>
        <v>66.430000000000007</v>
      </c>
      <c r="L102" s="402" t="s">
        <v>67</v>
      </c>
      <c r="M102" s="399"/>
      <c r="N102" s="399"/>
    </row>
    <row r="103" spans="1:14" ht="46.2" customHeight="1" x14ac:dyDescent="0.25">
      <c r="A103" s="465"/>
      <c r="B103" s="465"/>
      <c r="C103" s="423" t="s">
        <v>81</v>
      </c>
      <c r="D103" s="451">
        <v>-1</v>
      </c>
      <c r="E103" s="439" t="s">
        <v>13</v>
      </c>
      <c r="F103" s="404">
        <v>1.5</v>
      </c>
      <c r="G103" s="438"/>
      <c r="H103" s="438"/>
      <c r="I103" s="439" t="s">
        <v>13</v>
      </c>
      <c r="J103" s="404">
        <v>2.1</v>
      </c>
      <c r="K103" s="404">
        <f>D103*F103*J103</f>
        <v>-3.15</v>
      </c>
      <c r="L103" s="402" t="s">
        <v>67</v>
      </c>
      <c r="M103" s="399"/>
      <c r="N103" s="399"/>
    </row>
    <row r="104" spans="1:14" ht="46.2" customHeight="1" x14ac:dyDescent="0.25">
      <c r="A104" s="465"/>
      <c r="B104" s="465"/>
      <c r="C104" s="423" t="s">
        <v>82</v>
      </c>
      <c r="D104" s="451">
        <v>-1</v>
      </c>
      <c r="E104" s="439" t="s">
        <v>13</v>
      </c>
      <c r="F104" s="404">
        <v>1.5</v>
      </c>
      <c r="G104" s="438"/>
      <c r="H104" s="438"/>
      <c r="I104" s="439" t="s">
        <v>13</v>
      </c>
      <c r="J104" s="404">
        <v>1.8</v>
      </c>
      <c r="K104" s="404">
        <f>D104*F104*J104</f>
        <v>-2.7</v>
      </c>
      <c r="L104" s="402" t="s">
        <v>67</v>
      </c>
      <c r="M104" s="399"/>
      <c r="N104" s="399"/>
    </row>
    <row r="105" spans="1:14" ht="46.2" customHeight="1" x14ac:dyDescent="0.25">
      <c r="A105" s="465"/>
      <c r="B105" s="465"/>
      <c r="C105" s="422" t="s">
        <v>83</v>
      </c>
      <c r="D105" s="450"/>
      <c r="E105" s="438"/>
      <c r="F105" s="438"/>
      <c r="G105" s="438"/>
      <c r="H105" s="438"/>
      <c r="I105" s="438"/>
      <c r="J105" s="438"/>
      <c r="K105" s="399"/>
      <c r="L105" s="399"/>
      <c r="M105" s="399"/>
      <c r="N105" s="399"/>
    </row>
    <row r="106" spans="1:14" ht="46.2" customHeight="1" x14ac:dyDescent="0.25">
      <c r="A106" s="465"/>
      <c r="B106" s="465"/>
      <c r="C106" s="423" t="s">
        <v>84</v>
      </c>
      <c r="D106" s="451">
        <v>1</v>
      </c>
      <c r="E106" s="439" t="s">
        <v>13</v>
      </c>
      <c r="F106" s="404">
        <v>11.06</v>
      </c>
      <c r="G106" s="438"/>
      <c r="H106" s="438"/>
      <c r="I106" s="439" t="s">
        <v>13</v>
      </c>
      <c r="J106" s="404">
        <v>3.05</v>
      </c>
      <c r="K106" s="404">
        <f>D106*F106*J106</f>
        <v>33.729999999999997</v>
      </c>
      <c r="L106" s="402" t="s">
        <v>67</v>
      </c>
      <c r="M106" s="399"/>
      <c r="N106" s="399"/>
    </row>
    <row r="107" spans="1:14" ht="46.2" customHeight="1" x14ac:dyDescent="0.25">
      <c r="A107" s="465"/>
      <c r="B107" s="465"/>
      <c r="C107" s="423" t="s">
        <v>85</v>
      </c>
      <c r="D107" s="451">
        <v>-1</v>
      </c>
      <c r="E107" s="439" t="s">
        <v>13</v>
      </c>
      <c r="F107" s="404">
        <v>0.9</v>
      </c>
      <c r="G107" s="438"/>
      <c r="H107" s="438"/>
      <c r="I107" s="439" t="s">
        <v>13</v>
      </c>
      <c r="J107" s="404">
        <v>2.1</v>
      </c>
      <c r="K107" s="404">
        <f>D107*F107*J107</f>
        <v>-1.89</v>
      </c>
      <c r="L107" s="402" t="s">
        <v>67</v>
      </c>
      <c r="M107" s="399"/>
      <c r="N107" s="399"/>
    </row>
    <row r="108" spans="1:14" ht="46.2" customHeight="1" x14ac:dyDescent="0.25">
      <c r="A108" s="465"/>
      <c r="B108" s="465"/>
      <c r="C108" s="423" t="s">
        <v>86</v>
      </c>
      <c r="D108" s="451">
        <v>-1</v>
      </c>
      <c r="E108" s="439" t="s">
        <v>13</v>
      </c>
      <c r="F108" s="404">
        <v>0.6</v>
      </c>
      <c r="G108" s="438"/>
      <c r="H108" s="438"/>
      <c r="I108" s="439" t="s">
        <v>13</v>
      </c>
      <c r="J108" s="404">
        <v>0.6</v>
      </c>
      <c r="K108" s="404">
        <f>D108*F108*J108</f>
        <v>-0.36</v>
      </c>
      <c r="L108" s="402" t="s">
        <v>67</v>
      </c>
      <c r="M108" s="399"/>
      <c r="N108" s="399"/>
    </row>
    <row r="109" spans="1:14" ht="46.2" customHeight="1" x14ac:dyDescent="0.25">
      <c r="A109" s="465"/>
      <c r="B109" s="465"/>
      <c r="C109" s="422" t="s">
        <v>87</v>
      </c>
      <c r="D109" s="450"/>
      <c r="E109" s="438"/>
      <c r="F109" s="438"/>
      <c r="G109" s="438"/>
      <c r="H109" s="438"/>
      <c r="I109" s="438"/>
      <c r="J109" s="438"/>
      <c r="K109" s="399"/>
      <c r="L109" s="399"/>
      <c r="M109" s="399"/>
      <c r="N109" s="399"/>
    </row>
    <row r="110" spans="1:14" ht="46.2" customHeight="1" x14ac:dyDescent="0.25">
      <c r="A110" s="465"/>
      <c r="B110" s="465"/>
      <c r="C110" s="423" t="s">
        <v>88</v>
      </c>
      <c r="D110" s="451">
        <v>1</v>
      </c>
      <c r="E110" s="439" t="s">
        <v>13</v>
      </c>
      <c r="F110" s="404">
        <v>19.48</v>
      </c>
      <c r="G110" s="438"/>
      <c r="H110" s="438"/>
      <c r="I110" s="439" t="s">
        <v>13</v>
      </c>
      <c r="J110" s="404">
        <v>3.05</v>
      </c>
      <c r="K110" s="404">
        <f>D110*F110*J110</f>
        <v>59.41</v>
      </c>
      <c r="L110" s="402" t="s">
        <v>67</v>
      </c>
      <c r="M110" s="399"/>
      <c r="N110" s="399"/>
    </row>
    <row r="111" spans="1:14" ht="46.2" customHeight="1" x14ac:dyDescent="0.25">
      <c r="A111" s="465"/>
      <c r="B111" s="465"/>
      <c r="C111" s="423" t="s">
        <v>89</v>
      </c>
      <c r="D111" s="451">
        <v>2</v>
      </c>
      <c r="E111" s="439" t="s">
        <v>13</v>
      </c>
      <c r="F111" s="404">
        <v>3</v>
      </c>
      <c r="G111" s="438"/>
      <c r="H111" s="438"/>
      <c r="I111" s="439" t="s">
        <v>13</v>
      </c>
      <c r="J111" s="404">
        <v>3.05</v>
      </c>
      <c r="K111" s="404">
        <f>D111*F111*J111</f>
        <v>18.3</v>
      </c>
      <c r="L111" s="402" t="s">
        <v>67</v>
      </c>
      <c r="M111" s="399"/>
      <c r="N111" s="399"/>
    </row>
    <row r="112" spans="1:14" ht="46.2" customHeight="1" x14ac:dyDescent="0.25">
      <c r="A112" s="465"/>
      <c r="B112" s="465"/>
      <c r="C112" s="423" t="s">
        <v>90</v>
      </c>
      <c r="D112" s="451">
        <v>-1</v>
      </c>
      <c r="E112" s="439" t="s">
        <v>13</v>
      </c>
      <c r="F112" s="404">
        <v>1.2</v>
      </c>
      <c r="G112" s="438"/>
      <c r="H112" s="438"/>
      <c r="I112" s="439" t="s">
        <v>13</v>
      </c>
      <c r="J112" s="404">
        <v>2.1</v>
      </c>
      <c r="K112" s="404">
        <f>D112*F112*J112</f>
        <v>-2.52</v>
      </c>
      <c r="L112" s="402" t="s">
        <v>67</v>
      </c>
      <c r="M112" s="399"/>
      <c r="N112" s="399"/>
    </row>
    <row r="113" spans="1:14" ht="46.2" customHeight="1" x14ac:dyDescent="0.25">
      <c r="A113" s="465"/>
      <c r="B113" s="465"/>
      <c r="C113" s="423" t="s">
        <v>91</v>
      </c>
      <c r="D113" s="451">
        <v>-1</v>
      </c>
      <c r="E113" s="439" t="s">
        <v>13</v>
      </c>
      <c r="F113" s="404">
        <v>0.9</v>
      </c>
      <c r="G113" s="438"/>
      <c r="H113" s="438"/>
      <c r="I113" s="439" t="s">
        <v>13</v>
      </c>
      <c r="J113" s="404">
        <v>2.1</v>
      </c>
      <c r="K113" s="404">
        <f>D113*F113*J113</f>
        <v>-1.89</v>
      </c>
      <c r="L113" s="402" t="s">
        <v>67</v>
      </c>
      <c r="M113" s="399"/>
      <c r="N113" s="399"/>
    </row>
    <row r="114" spans="1:14" ht="46.2" customHeight="1" x14ac:dyDescent="0.25">
      <c r="A114" s="465"/>
      <c r="B114" s="465"/>
      <c r="C114" s="423" t="s">
        <v>69</v>
      </c>
      <c r="D114" s="451">
        <v>-2</v>
      </c>
      <c r="E114" s="439" t="s">
        <v>13</v>
      </c>
      <c r="F114" s="404">
        <v>1.5</v>
      </c>
      <c r="G114" s="438"/>
      <c r="H114" s="438"/>
      <c r="I114" s="439" t="s">
        <v>13</v>
      </c>
      <c r="J114" s="404">
        <v>1.8</v>
      </c>
      <c r="K114" s="404">
        <f>D114*F114*J114</f>
        <v>-5.4</v>
      </c>
      <c r="L114" s="402" t="s">
        <v>67</v>
      </c>
      <c r="M114" s="399"/>
      <c r="N114" s="399"/>
    </row>
    <row r="115" spans="1:14" ht="46.2" customHeight="1" x14ac:dyDescent="0.25">
      <c r="A115" s="465"/>
      <c r="B115" s="465"/>
      <c r="C115" s="422" t="s">
        <v>92</v>
      </c>
      <c r="D115" s="450"/>
      <c r="E115" s="438"/>
      <c r="F115" s="438"/>
      <c r="G115" s="438"/>
      <c r="H115" s="438"/>
      <c r="I115" s="438"/>
      <c r="J115" s="438"/>
      <c r="K115" s="399"/>
      <c r="L115" s="399"/>
      <c r="M115" s="399"/>
      <c r="N115" s="399"/>
    </row>
    <row r="116" spans="1:14" ht="46.2" customHeight="1" x14ac:dyDescent="0.25">
      <c r="A116" s="465"/>
      <c r="B116" s="465"/>
      <c r="C116" s="423" t="s">
        <v>93</v>
      </c>
      <c r="D116" s="451">
        <v>1</v>
      </c>
      <c r="E116" s="439" t="s">
        <v>13</v>
      </c>
      <c r="F116" s="404">
        <v>16.579999999999998</v>
      </c>
      <c r="G116" s="438"/>
      <c r="H116" s="438"/>
      <c r="I116" s="439" t="s">
        <v>13</v>
      </c>
      <c r="J116" s="404">
        <v>3.05</v>
      </c>
      <c r="K116" s="404">
        <f>D116*F116*J116</f>
        <v>50.57</v>
      </c>
      <c r="L116" s="402" t="s">
        <v>67</v>
      </c>
      <c r="M116" s="399"/>
      <c r="N116" s="399"/>
    </row>
    <row r="117" spans="1:14" ht="46.2" customHeight="1" x14ac:dyDescent="0.25">
      <c r="A117" s="465"/>
      <c r="B117" s="465"/>
      <c r="C117" s="423" t="s">
        <v>90</v>
      </c>
      <c r="D117" s="451">
        <v>-1</v>
      </c>
      <c r="E117" s="439" t="s">
        <v>13</v>
      </c>
      <c r="F117" s="404">
        <v>1.2</v>
      </c>
      <c r="G117" s="438"/>
      <c r="H117" s="438"/>
      <c r="I117" s="439" t="s">
        <v>13</v>
      </c>
      <c r="J117" s="404">
        <v>2.1</v>
      </c>
      <c r="K117" s="404">
        <f>D117*F117*J117</f>
        <v>-2.52</v>
      </c>
      <c r="L117" s="402" t="s">
        <v>67</v>
      </c>
      <c r="M117" s="399"/>
      <c r="N117" s="399"/>
    </row>
    <row r="118" spans="1:14" ht="46.2" customHeight="1" x14ac:dyDescent="0.25">
      <c r="A118" s="465"/>
      <c r="B118" s="465"/>
      <c r="C118" s="423" t="s">
        <v>94</v>
      </c>
      <c r="D118" s="451">
        <v>-1</v>
      </c>
      <c r="E118" s="439" t="s">
        <v>13</v>
      </c>
      <c r="F118" s="404">
        <v>1.5</v>
      </c>
      <c r="G118" s="438"/>
      <c r="H118" s="438"/>
      <c r="I118" s="439" t="s">
        <v>13</v>
      </c>
      <c r="J118" s="404">
        <v>1.8</v>
      </c>
      <c r="K118" s="404">
        <f>D118*F118*J118</f>
        <v>-2.7</v>
      </c>
      <c r="L118" s="402" t="s">
        <v>67</v>
      </c>
      <c r="M118" s="399"/>
      <c r="N118" s="399"/>
    </row>
    <row r="119" spans="1:14" ht="46.2" customHeight="1" x14ac:dyDescent="0.25">
      <c r="A119" s="465"/>
      <c r="B119" s="465"/>
      <c r="C119" s="422" t="s">
        <v>95</v>
      </c>
      <c r="D119" s="450"/>
      <c r="E119" s="438"/>
      <c r="F119" s="438"/>
      <c r="G119" s="438"/>
      <c r="H119" s="438"/>
      <c r="I119" s="438"/>
      <c r="J119" s="438"/>
      <c r="K119" s="399"/>
      <c r="L119" s="399"/>
      <c r="M119" s="399"/>
      <c r="N119" s="399"/>
    </row>
    <row r="120" spans="1:14" ht="46.2" customHeight="1" x14ac:dyDescent="0.25">
      <c r="A120" s="465"/>
      <c r="B120" s="465"/>
      <c r="C120" s="423" t="s">
        <v>96</v>
      </c>
      <c r="D120" s="451">
        <v>1</v>
      </c>
      <c r="E120" s="439" t="s">
        <v>13</v>
      </c>
      <c r="F120" s="404">
        <v>12.56</v>
      </c>
      <c r="G120" s="438"/>
      <c r="H120" s="438"/>
      <c r="I120" s="439" t="s">
        <v>13</v>
      </c>
      <c r="J120" s="404">
        <v>3.05</v>
      </c>
      <c r="K120" s="404">
        <f>D120*F120*J120</f>
        <v>38.31</v>
      </c>
      <c r="L120" s="402" t="s">
        <v>67</v>
      </c>
      <c r="M120" s="399"/>
      <c r="N120" s="399"/>
    </row>
    <row r="121" spans="1:14" ht="46.2" customHeight="1" x14ac:dyDescent="0.25">
      <c r="A121" s="465"/>
      <c r="B121" s="465"/>
      <c r="C121" s="423" t="s">
        <v>81</v>
      </c>
      <c r="D121" s="451">
        <v>-1</v>
      </c>
      <c r="E121" s="439" t="s">
        <v>13</v>
      </c>
      <c r="F121" s="404">
        <v>1.5</v>
      </c>
      <c r="G121" s="438"/>
      <c r="H121" s="438"/>
      <c r="I121" s="439" t="s">
        <v>13</v>
      </c>
      <c r="J121" s="404">
        <v>2.1</v>
      </c>
      <c r="K121" s="404">
        <f>D121*F121*J121</f>
        <v>-3.15</v>
      </c>
      <c r="L121" s="402" t="s">
        <v>67</v>
      </c>
      <c r="M121" s="399"/>
      <c r="N121" s="399"/>
    </row>
    <row r="122" spans="1:14" ht="46.2" customHeight="1" x14ac:dyDescent="0.25">
      <c r="A122" s="465"/>
      <c r="B122" s="465"/>
      <c r="C122" s="423" t="s">
        <v>94</v>
      </c>
      <c r="D122" s="451">
        <v>-1</v>
      </c>
      <c r="E122" s="439" t="s">
        <v>13</v>
      </c>
      <c r="F122" s="404">
        <v>1.5</v>
      </c>
      <c r="G122" s="438"/>
      <c r="H122" s="438"/>
      <c r="I122" s="439" t="s">
        <v>13</v>
      </c>
      <c r="J122" s="404">
        <v>1.8</v>
      </c>
      <c r="K122" s="404">
        <f>D122*F122*J122</f>
        <v>-2.7</v>
      </c>
      <c r="L122" s="402" t="s">
        <v>67</v>
      </c>
      <c r="M122" s="399"/>
      <c r="N122" s="399"/>
    </row>
    <row r="123" spans="1:14" ht="46.2" customHeight="1" x14ac:dyDescent="0.25">
      <c r="A123" s="465"/>
      <c r="B123" s="465"/>
      <c r="C123" s="422" t="s">
        <v>97</v>
      </c>
      <c r="D123" s="450"/>
      <c r="E123" s="438"/>
      <c r="F123" s="438"/>
      <c r="G123" s="438"/>
      <c r="H123" s="438"/>
      <c r="I123" s="438"/>
      <c r="J123" s="438"/>
      <c r="K123" s="399"/>
      <c r="L123" s="399"/>
      <c r="M123" s="399"/>
      <c r="N123" s="399"/>
    </row>
    <row r="124" spans="1:14" ht="46.2" customHeight="1" x14ac:dyDescent="0.25">
      <c r="A124" s="465"/>
      <c r="B124" s="465"/>
      <c r="C124" s="423" t="s">
        <v>98</v>
      </c>
      <c r="D124" s="451">
        <v>1</v>
      </c>
      <c r="E124" s="439" t="s">
        <v>13</v>
      </c>
      <c r="F124" s="404">
        <v>17.739999999999998</v>
      </c>
      <c r="G124" s="438"/>
      <c r="H124" s="438"/>
      <c r="I124" s="439" t="s">
        <v>13</v>
      </c>
      <c r="J124" s="404">
        <v>3.05</v>
      </c>
      <c r="K124" s="404">
        <f>D124*F124*J124</f>
        <v>54.11</v>
      </c>
      <c r="L124" s="402" t="s">
        <v>67</v>
      </c>
      <c r="M124" s="399"/>
      <c r="N124" s="399"/>
    </row>
    <row r="125" spans="1:14" ht="46.2" customHeight="1" x14ac:dyDescent="0.25">
      <c r="A125" s="465"/>
      <c r="B125" s="465"/>
      <c r="C125" s="423" t="s">
        <v>99</v>
      </c>
      <c r="D125" s="451">
        <v>-1</v>
      </c>
      <c r="E125" s="439" t="s">
        <v>13</v>
      </c>
      <c r="F125" s="404">
        <v>1.5</v>
      </c>
      <c r="G125" s="438"/>
      <c r="H125" s="438"/>
      <c r="I125" s="439" t="s">
        <v>13</v>
      </c>
      <c r="J125" s="404">
        <v>1.8</v>
      </c>
      <c r="K125" s="404">
        <f>D125*F125*J125</f>
        <v>-2.7</v>
      </c>
      <c r="L125" s="402" t="s">
        <v>67</v>
      </c>
      <c r="M125" s="399"/>
      <c r="N125" s="399"/>
    </row>
    <row r="126" spans="1:14" ht="46.2" customHeight="1" x14ac:dyDescent="0.25">
      <c r="A126" s="465"/>
      <c r="B126" s="465"/>
      <c r="C126" s="422" t="s">
        <v>100</v>
      </c>
      <c r="D126" s="450"/>
      <c r="E126" s="438"/>
      <c r="F126" s="438"/>
      <c r="G126" s="438"/>
      <c r="H126" s="438"/>
      <c r="I126" s="438"/>
      <c r="J126" s="438"/>
      <c r="K126" s="399"/>
      <c r="L126" s="399"/>
      <c r="M126" s="399"/>
      <c r="N126" s="399"/>
    </row>
    <row r="127" spans="1:14" ht="46.2" customHeight="1" x14ac:dyDescent="0.25">
      <c r="A127" s="465"/>
      <c r="B127" s="465"/>
      <c r="C127" s="423" t="s">
        <v>101</v>
      </c>
      <c r="D127" s="451">
        <v>1</v>
      </c>
      <c r="E127" s="439" t="s">
        <v>13</v>
      </c>
      <c r="F127" s="404">
        <v>45.23</v>
      </c>
      <c r="G127" s="438"/>
      <c r="H127" s="438"/>
      <c r="I127" s="439" t="s">
        <v>13</v>
      </c>
      <c r="J127" s="404">
        <v>3.05</v>
      </c>
      <c r="K127" s="404">
        <f t="shared" ref="K127:K135" si="4">D127*F127*J127</f>
        <v>137.94999999999999</v>
      </c>
      <c r="L127" s="402" t="s">
        <v>67</v>
      </c>
      <c r="M127" s="399"/>
      <c r="N127" s="399"/>
    </row>
    <row r="128" spans="1:14" ht="46.2" customHeight="1" x14ac:dyDescent="0.25">
      <c r="A128" s="465"/>
      <c r="B128" s="465"/>
      <c r="C128" s="423" t="s">
        <v>102</v>
      </c>
      <c r="D128" s="451">
        <v>-6</v>
      </c>
      <c r="E128" s="439" t="s">
        <v>13</v>
      </c>
      <c r="F128" s="404">
        <v>1.2</v>
      </c>
      <c r="G128" s="438"/>
      <c r="H128" s="438"/>
      <c r="I128" s="439" t="s">
        <v>13</v>
      </c>
      <c r="J128" s="404">
        <v>2.1</v>
      </c>
      <c r="K128" s="404">
        <f t="shared" si="4"/>
        <v>-15.12</v>
      </c>
      <c r="L128" s="402" t="s">
        <v>67</v>
      </c>
      <c r="M128" s="399"/>
      <c r="N128" s="399"/>
    </row>
    <row r="129" spans="1:14" ht="46.2" customHeight="1" x14ac:dyDescent="0.25">
      <c r="A129" s="465"/>
      <c r="B129" s="465"/>
      <c r="C129" s="423" t="s">
        <v>103</v>
      </c>
      <c r="D129" s="451">
        <v>-2</v>
      </c>
      <c r="E129" s="439" t="s">
        <v>13</v>
      </c>
      <c r="F129" s="404">
        <v>1.5</v>
      </c>
      <c r="G129" s="438"/>
      <c r="H129" s="438"/>
      <c r="I129" s="439" t="s">
        <v>13</v>
      </c>
      <c r="J129" s="404">
        <v>2.1</v>
      </c>
      <c r="K129" s="404">
        <f t="shared" si="4"/>
        <v>-6.3</v>
      </c>
      <c r="L129" s="402" t="s">
        <v>67</v>
      </c>
      <c r="M129" s="399"/>
      <c r="N129" s="399"/>
    </row>
    <row r="130" spans="1:14" ht="46.2" customHeight="1" x14ac:dyDescent="0.25">
      <c r="A130" s="465"/>
      <c r="B130" s="465"/>
      <c r="C130" s="423" t="s">
        <v>104</v>
      </c>
      <c r="D130" s="451">
        <v>5</v>
      </c>
      <c r="E130" s="439" t="s">
        <v>13</v>
      </c>
      <c r="F130" s="404">
        <v>5.64</v>
      </c>
      <c r="G130" s="438"/>
      <c r="H130" s="438"/>
      <c r="I130" s="439" t="s">
        <v>13</v>
      </c>
      <c r="J130" s="404">
        <v>0.73</v>
      </c>
      <c r="K130" s="404">
        <f t="shared" si="4"/>
        <v>20.59</v>
      </c>
      <c r="L130" s="402" t="s">
        <v>67</v>
      </c>
      <c r="M130" s="399"/>
      <c r="N130" s="399"/>
    </row>
    <row r="131" spans="1:14" ht="46.2" customHeight="1" x14ac:dyDescent="0.25">
      <c r="A131" s="465"/>
      <c r="B131" s="465"/>
      <c r="C131" s="423" t="s">
        <v>105</v>
      </c>
      <c r="D131" s="451">
        <v>1</v>
      </c>
      <c r="E131" s="439" t="s">
        <v>13</v>
      </c>
      <c r="F131" s="404">
        <v>6.5</v>
      </c>
      <c r="G131" s="438"/>
      <c r="H131" s="438"/>
      <c r="I131" s="439" t="s">
        <v>13</v>
      </c>
      <c r="J131" s="404">
        <v>0.73</v>
      </c>
      <c r="K131" s="404">
        <f t="shared" si="4"/>
        <v>4.75</v>
      </c>
      <c r="L131" s="402" t="s">
        <v>67</v>
      </c>
      <c r="M131" s="399"/>
      <c r="N131" s="399"/>
    </row>
    <row r="132" spans="1:14" ht="46.2" customHeight="1" x14ac:dyDescent="0.25">
      <c r="A132" s="465"/>
      <c r="B132" s="465"/>
      <c r="C132" s="423" t="s">
        <v>106</v>
      </c>
      <c r="D132" s="451">
        <v>6</v>
      </c>
      <c r="E132" s="439" t="s">
        <v>13</v>
      </c>
      <c r="F132" s="404">
        <v>3.06</v>
      </c>
      <c r="G132" s="438"/>
      <c r="H132" s="438"/>
      <c r="I132" s="439" t="s">
        <v>13</v>
      </c>
      <c r="J132" s="404">
        <v>0.73</v>
      </c>
      <c r="K132" s="404">
        <f t="shared" si="4"/>
        <v>13.4</v>
      </c>
      <c r="L132" s="402" t="s">
        <v>67</v>
      </c>
      <c r="M132" s="399"/>
      <c r="N132" s="399"/>
    </row>
    <row r="133" spans="1:14" ht="46.2" customHeight="1" x14ac:dyDescent="0.25">
      <c r="A133" s="465"/>
      <c r="B133" s="465"/>
      <c r="C133" s="423" t="s">
        <v>107</v>
      </c>
      <c r="D133" s="451">
        <v>1</v>
      </c>
      <c r="E133" s="439" t="s">
        <v>13</v>
      </c>
      <c r="F133" s="404">
        <v>21.09</v>
      </c>
      <c r="G133" s="438"/>
      <c r="H133" s="438"/>
      <c r="I133" s="439" t="s">
        <v>13</v>
      </c>
      <c r="J133" s="404">
        <v>0.25</v>
      </c>
      <c r="K133" s="404">
        <f t="shared" si="4"/>
        <v>5.27</v>
      </c>
      <c r="L133" s="402" t="s">
        <v>67</v>
      </c>
      <c r="M133" s="399"/>
      <c r="N133" s="399"/>
    </row>
    <row r="134" spans="1:14" ht="46.2" customHeight="1" x14ac:dyDescent="0.25">
      <c r="A134" s="465"/>
      <c r="B134" s="465"/>
      <c r="C134" s="423" t="s">
        <v>108</v>
      </c>
      <c r="D134" s="451">
        <v>2</v>
      </c>
      <c r="E134" s="439" t="s">
        <v>13</v>
      </c>
      <c r="F134" s="404">
        <v>5.13</v>
      </c>
      <c r="G134" s="438"/>
      <c r="H134" s="438"/>
      <c r="I134" s="439" t="s">
        <v>13</v>
      </c>
      <c r="J134" s="404">
        <v>0.73</v>
      </c>
      <c r="K134" s="404">
        <f t="shared" si="4"/>
        <v>7.49</v>
      </c>
      <c r="L134" s="402" t="s">
        <v>67</v>
      </c>
      <c r="M134" s="399"/>
      <c r="N134" s="399"/>
    </row>
    <row r="135" spans="1:14" ht="46.2" customHeight="1" x14ac:dyDescent="0.25">
      <c r="A135" s="465"/>
      <c r="B135" s="465"/>
      <c r="C135" s="423" t="s">
        <v>109</v>
      </c>
      <c r="D135" s="451">
        <v>2</v>
      </c>
      <c r="E135" s="439" t="s">
        <v>13</v>
      </c>
      <c r="F135" s="404">
        <v>3.23</v>
      </c>
      <c r="G135" s="438"/>
      <c r="H135" s="438"/>
      <c r="I135" s="439" t="s">
        <v>13</v>
      </c>
      <c r="J135" s="404">
        <v>0.73</v>
      </c>
      <c r="K135" s="404">
        <f t="shared" si="4"/>
        <v>4.72</v>
      </c>
      <c r="L135" s="402" t="s">
        <v>67</v>
      </c>
      <c r="M135" s="399"/>
      <c r="N135" s="399"/>
    </row>
    <row r="136" spans="1:14" ht="18" customHeight="1" x14ac:dyDescent="0.25">
      <c r="A136" s="465"/>
      <c r="B136" s="465"/>
      <c r="C136" s="770" t="s">
        <v>695</v>
      </c>
      <c r="D136" s="462"/>
      <c r="E136" s="462"/>
      <c r="F136" s="462"/>
      <c r="G136" s="462"/>
      <c r="H136" s="462"/>
      <c r="I136" s="462"/>
      <c r="J136" s="463"/>
      <c r="K136" s="405">
        <f>ROUND(SUM(K81:K135), 2)</f>
        <v>751.2</v>
      </c>
      <c r="L136" s="406" t="s">
        <v>67</v>
      </c>
      <c r="M136" s="399"/>
      <c r="N136" s="399"/>
    </row>
    <row r="137" spans="1:14" ht="18" customHeight="1" x14ac:dyDescent="0.25">
      <c r="A137" s="465"/>
      <c r="B137" s="465"/>
      <c r="C137" s="477" t="s">
        <v>111</v>
      </c>
      <c r="D137" s="478"/>
      <c r="E137" s="478"/>
      <c r="F137" s="478"/>
      <c r="G137" s="478"/>
      <c r="H137" s="478"/>
      <c r="I137" s="478"/>
      <c r="J137" s="479"/>
      <c r="K137" s="405">
        <f>K136</f>
        <v>751.2</v>
      </c>
      <c r="L137" s="406" t="s">
        <v>67</v>
      </c>
      <c r="M137" s="399"/>
      <c r="N137" s="399"/>
    </row>
    <row r="138" spans="1:14" ht="24" customHeight="1" x14ac:dyDescent="0.25">
      <c r="A138" s="465"/>
      <c r="B138" s="465"/>
      <c r="C138" s="398" t="s">
        <v>41</v>
      </c>
      <c r="D138" s="450"/>
      <c r="E138" s="438"/>
      <c r="F138" s="438"/>
      <c r="G138" s="438"/>
      <c r="H138" s="438"/>
      <c r="I138" s="438"/>
      <c r="J138" s="438"/>
      <c r="K138" s="399"/>
      <c r="L138" s="399"/>
      <c r="M138" s="399"/>
      <c r="N138" s="399"/>
    </row>
    <row r="139" spans="1:14" ht="18" customHeight="1" x14ac:dyDescent="0.25">
      <c r="A139" s="465"/>
      <c r="B139" s="465"/>
      <c r="C139" s="400" t="s">
        <v>112</v>
      </c>
      <c r="D139" s="450"/>
      <c r="E139" s="438"/>
      <c r="F139" s="438"/>
      <c r="G139" s="438"/>
      <c r="H139" s="438"/>
      <c r="I139" s="438"/>
      <c r="J139" s="438"/>
      <c r="K139" s="399"/>
      <c r="L139" s="399"/>
      <c r="M139" s="399"/>
      <c r="N139" s="399"/>
    </row>
    <row r="140" spans="1:14" ht="40.200000000000003" customHeight="1" x14ac:dyDescent="0.25">
      <c r="A140" s="465"/>
      <c r="B140" s="465"/>
      <c r="C140" s="423" t="s">
        <v>113</v>
      </c>
      <c r="D140" s="451">
        <v>1</v>
      </c>
      <c r="E140" s="439" t="s">
        <v>13</v>
      </c>
      <c r="F140" s="404">
        <v>30.78</v>
      </c>
      <c r="G140" s="438"/>
      <c r="H140" s="438"/>
      <c r="I140" s="439" t="s">
        <v>13</v>
      </c>
      <c r="J140" s="404">
        <v>3.05</v>
      </c>
      <c r="K140" s="404">
        <f t="shared" ref="K140:K145" si="5">D140*F140*J140</f>
        <v>93.88</v>
      </c>
      <c r="L140" s="402" t="s">
        <v>67</v>
      </c>
      <c r="M140" s="399"/>
      <c r="N140" s="399"/>
    </row>
    <row r="141" spans="1:14" ht="40.200000000000003" customHeight="1" x14ac:dyDescent="0.25">
      <c r="A141" s="465"/>
      <c r="B141" s="465"/>
      <c r="C141" s="423" t="s">
        <v>114</v>
      </c>
      <c r="D141" s="451">
        <v>-2</v>
      </c>
      <c r="E141" s="439" t="s">
        <v>13</v>
      </c>
      <c r="F141" s="404">
        <v>1.8</v>
      </c>
      <c r="G141" s="438"/>
      <c r="H141" s="438"/>
      <c r="I141" s="439" t="s">
        <v>13</v>
      </c>
      <c r="J141" s="404">
        <v>1.35</v>
      </c>
      <c r="K141" s="404">
        <f t="shared" si="5"/>
        <v>-4.8600000000000003</v>
      </c>
      <c r="L141" s="402" t="s">
        <v>67</v>
      </c>
      <c r="M141" s="399"/>
      <c r="N141" s="399"/>
    </row>
    <row r="142" spans="1:14" ht="40.200000000000003" customHeight="1" x14ac:dyDescent="0.25">
      <c r="A142" s="465"/>
      <c r="B142" s="465"/>
      <c r="C142" s="423" t="s">
        <v>115</v>
      </c>
      <c r="D142" s="451">
        <v>-2</v>
      </c>
      <c r="E142" s="439" t="s">
        <v>13</v>
      </c>
      <c r="F142" s="404">
        <v>1.8</v>
      </c>
      <c r="G142" s="438"/>
      <c r="H142" s="438"/>
      <c r="I142" s="439" t="s">
        <v>13</v>
      </c>
      <c r="J142" s="404">
        <v>1.35</v>
      </c>
      <c r="K142" s="404">
        <f t="shared" si="5"/>
        <v>-4.8600000000000003</v>
      </c>
      <c r="L142" s="402" t="s">
        <v>67</v>
      </c>
      <c r="M142" s="399"/>
      <c r="N142" s="399"/>
    </row>
    <row r="143" spans="1:14" ht="40.200000000000003" customHeight="1" x14ac:dyDescent="0.25">
      <c r="A143" s="465"/>
      <c r="B143" s="465"/>
      <c r="C143" s="423" t="s">
        <v>116</v>
      </c>
      <c r="D143" s="451">
        <v>-1</v>
      </c>
      <c r="E143" s="439" t="s">
        <v>13</v>
      </c>
      <c r="F143" s="404">
        <v>1.2</v>
      </c>
      <c r="G143" s="438"/>
      <c r="H143" s="438"/>
      <c r="I143" s="439" t="s">
        <v>13</v>
      </c>
      <c r="J143" s="404">
        <v>2.1</v>
      </c>
      <c r="K143" s="404">
        <f t="shared" si="5"/>
        <v>-2.52</v>
      </c>
      <c r="L143" s="402" t="s">
        <v>67</v>
      </c>
      <c r="M143" s="399"/>
      <c r="N143" s="399"/>
    </row>
    <row r="144" spans="1:14" ht="40.200000000000003" customHeight="1" x14ac:dyDescent="0.25">
      <c r="A144" s="465"/>
      <c r="B144" s="465"/>
      <c r="C144" s="423" t="s">
        <v>117</v>
      </c>
      <c r="D144" s="451">
        <v>-1</v>
      </c>
      <c r="E144" s="439" t="s">
        <v>13</v>
      </c>
      <c r="F144" s="404">
        <v>1.2</v>
      </c>
      <c r="G144" s="438"/>
      <c r="H144" s="438"/>
      <c r="I144" s="439" t="s">
        <v>13</v>
      </c>
      <c r="J144" s="404">
        <v>1.35</v>
      </c>
      <c r="K144" s="404">
        <f t="shared" si="5"/>
        <v>-1.62</v>
      </c>
      <c r="L144" s="402" t="s">
        <v>67</v>
      </c>
      <c r="M144" s="399"/>
      <c r="N144" s="399"/>
    </row>
    <row r="145" spans="1:14" ht="40.200000000000003" customHeight="1" x14ac:dyDescent="0.25">
      <c r="A145" s="465"/>
      <c r="B145" s="465"/>
      <c r="C145" s="423" t="s">
        <v>118</v>
      </c>
      <c r="D145" s="451">
        <v>-1</v>
      </c>
      <c r="E145" s="439" t="s">
        <v>13</v>
      </c>
      <c r="F145" s="404">
        <v>1.05</v>
      </c>
      <c r="G145" s="438"/>
      <c r="H145" s="438"/>
      <c r="I145" s="439" t="s">
        <v>13</v>
      </c>
      <c r="J145" s="404">
        <v>2.1</v>
      </c>
      <c r="K145" s="404">
        <f t="shared" si="5"/>
        <v>-2.21</v>
      </c>
      <c r="L145" s="402" t="s">
        <v>67</v>
      </c>
      <c r="M145" s="399"/>
      <c r="N145" s="399"/>
    </row>
    <row r="146" spans="1:14" ht="18" customHeight="1" x14ac:dyDescent="0.25">
      <c r="A146" s="465"/>
      <c r="B146" s="465"/>
      <c r="C146" s="400" t="s">
        <v>119</v>
      </c>
      <c r="D146" s="450"/>
      <c r="E146" s="438"/>
      <c r="F146" s="438"/>
      <c r="G146" s="438"/>
      <c r="H146" s="438"/>
      <c r="I146" s="438"/>
      <c r="J146" s="438"/>
      <c r="K146" s="399"/>
      <c r="L146" s="399"/>
      <c r="M146" s="399"/>
      <c r="N146" s="399"/>
    </row>
    <row r="147" spans="1:14" ht="31.8" customHeight="1" x14ac:dyDescent="0.25">
      <c r="A147" s="465"/>
      <c r="B147" s="465"/>
      <c r="C147" s="423" t="s">
        <v>120</v>
      </c>
      <c r="D147" s="451">
        <v>4</v>
      </c>
      <c r="E147" s="439" t="s">
        <v>13</v>
      </c>
      <c r="F147" s="404">
        <v>6.64</v>
      </c>
      <c r="G147" s="438"/>
      <c r="H147" s="438"/>
      <c r="I147" s="439" t="s">
        <v>13</v>
      </c>
      <c r="J147" s="404">
        <v>0.95</v>
      </c>
      <c r="K147" s="404">
        <f>D147*F147*J147</f>
        <v>25.23</v>
      </c>
      <c r="L147" s="402" t="s">
        <v>67</v>
      </c>
      <c r="M147" s="399"/>
      <c r="N147" s="399"/>
    </row>
    <row r="148" spans="1:14" ht="31.8" customHeight="1" x14ac:dyDescent="0.25">
      <c r="A148" s="465"/>
      <c r="B148" s="465"/>
      <c r="C148" s="423" t="s">
        <v>121</v>
      </c>
      <c r="D148" s="451">
        <v>4</v>
      </c>
      <c r="E148" s="439" t="s">
        <v>13</v>
      </c>
      <c r="F148" s="404">
        <v>1.5</v>
      </c>
      <c r="G148" s="438"/>
      <c r="H148" s="438"/>
      <c r="I148" s="439" t="s">
        <v>13</v>
      </c>
      <c r="J148" s="404">
        <v>0.95</v>
      </c>
      <c r="K148" s="404">
        <f>D148*F148*J148</f>
        <v>5.7</v>
      </c>
      <c r="L148" s="402" t="s">
        <v>67</v>
      </c>
      <c r="M148" s="399"/>
      <c r="N148" s="399"/>
    </row>
    <row r="149" spans="1:14" ht="31.8" customHeight="1" x14ac:dyDescent="0.25">
      <c r="A149" s="465"/>
      <c r="B149" s="465"/>
      <c r="C149" s="423" t="s">
        <v>122</v>
      </c>
      <c r="D149" s="451">
        <v>-4</v>
      </c>
      <c r="E149" s="439" t="s">
        <v>13</v>
      </c>
      <c r="F149" s="404">
        <v>0.6</v>
      </c>
      <c r="G149" s="438"/>
      <c r="H149" s="438"/>
      <c r="I149" s="439" t="s">
        <v>13</v>
      </c>
      <c r="J149" s="404">
        <v>0.6</v>
      </c>
      <c r="K149" s="404">
        <f>D149*F149*J149</f>
        <v>-1.44</v>
      </c>
      <c r="L149" s="402" t="s">
        <v>67</v>
      </c>
      <c r="M149" s="399"/>
      <c r="N149" s="399"/>
    </row>
    <row r="150" spans="1:14" ht="18" customHeight="1" x14ac:dyDescent="0.25">
      <c r="A150" s="465"/>
      <c r="B150" s="465"/>
      <c r="C150" s="400" t="s">
        <v>123</v>
      </c>
      <c r="D150" s="450"/>
      <c r="E150" s="438"/>
      <c r="F150" s="438"/>
      <c r="G150" s="438"/>
      <c r="H150" s="438"/>
      <c r="I150" s="438"/>
      <c r="J150" s="438"/>
      <c r="K150" s="399"/>
      <c r="L150" s="399"/>
      <c r="M150" s="399"/>
      <c r="N150" s="399"/>
    </row>
    <row r="151" spans="1:14" ht="25.8" customHeight="1" x14ac:dyDescent="0.25">
      <c r="A151" s="465"/>
      <c r="B151" s="465"/>
      <c r="C151" s="401" t="s">
        <v>124</v>
      </c>
      <c r="D151" s="451">
        <v>1</v>
      </c>
      <c r="E151" s="439" t="s">
        <v>13</v>
      </c>
      <c r="F151" s="404">
        <v>9.68</v>
      </c>
      <c r="G151" s="438"/>
      <c r="H151" s="438"/>
      <c r="I151" s="439" t="s">
        <v>13</v>
      </c>
      <c r="J151" s="404">
        <v>3.05</v>
      </c>
      <c r="K151" s="404">
        <f>D151*F151*J151</f>
        <v>29.52</v>
      </c>
      <c r="L151" s="402" t="s">
        <v>67</v>
      </c>
      <c r="M151" s="399"/>
      <c r="N151" s="399"/>
    </row>
    <row r="152" spans="1:14" ht="25.8" customHeight="1" x14ac:dyDescent="0.25">
      <c r="A152" s="465"/>
      <c r="B152" s="465"/>
      <c r="C152" s="401" t="s">
        <v>125</v>
      </c>
      <c r="D152" s="451">
        <v>-4</v>
      </c>
      <c r="E152" s="439" t="s">
        <v>13</v>
      </c>
      <c r="F152" s="404">
        <v>0.75</v>
      </c>
      <c r="G152" s="438"/>
      <c r="H152" s="438"/>
      <c r="I152" s="439" t="s">
        <v>13</v>
      </c>
      <c r="J152" s="404">
        <v>2.1</v>
      </c>
      <c r="K152" s="404">
        <f>D152*F152*J152</f>
        <v>-6.3</v>
      </c>
      <c r="L152" s="402" t="s">
        <v>67</v>
      </c>
      <c r="M152" s="399"/>
      <c r="N152" s="399"/>
    </row>
    <row r="153" spans="1:14" ht="18" customHeight="1" x14ac:dyDescent="0.25">
      <c r="A153" s="465"/>
      <c r="B153" s="465"/>
      <c r="C153" s="400" t="s">
        <v>126</v>
      </c>
      <c r="D153" s="450"/>
      <c r="E153" s="438"/>
      <c r="F153" s="438"/>
      <c r="G153" s="438"/>
      <c r="H153" s="438"/>
      <c r="I153" s="438"/>
      <c r="J153" s="438"/>
      <c r="K153" s="399"/>
      <c r="L153" s="399"/>
      <c r="M153" s="399"/>
      <c r="N153" s="399"/>
    </row>
    <row r="154" spans="1:14" ht="25.2" customHeight="1" x14ac:dyDescent="0.25">
      <c r="A154" s="465"/>
      <c r="B154" s="465"/>
      <c r="C154" s="401" t="s">
        <v>127</v>
      </c>
      <c r="D154" s="451">
        <v>1</v>
      </c>
      <c r="E154" s="439" t="s">
        <v>13</v>
      </c>
      <c r="F154" s="404">
        <v>6.1</v>
      </c>
      <c r="G154" s="438"/>
      <c r="H154" s="438"/>
      <c r="I154" s="439" t="s">
        <v>13</v>
      </c>
      <c r="J154" s="404">
        <v>3.05</v>
      </c>
      <c r="K154" s="404">
        <f>D154*F154*J154</f>
        <v>18.61</v>
      </c>
      <c r="L154" s="402" t="s">
        <v>67</v>
      </c>
      <c r="M154" s="399"/>
      <c r="N154" s="399"/>
    </row>
    <row r="155" spans="1:14" ht="25.2" customHeight="1" x14ac:dyDescent="0.25">
      <c r="A155" s="465"/>
      <c r="B155" s="465"/>
      <c r="C155" s="401" t="s">
        <v>128</v>
      </c>
      <c r="D155" s="451">
        <v>-1</v>
      </c>
      <c r="E155" s="439" t="s">
        <v>13</v>
      </c>
      <c r="F155" s="404">
        <v>1.2</v>
      </c>
      <c r="G155" s="438"/>
      <c r="H155" s="438"/>
      <c r="I155" s="439" t="s">
        <v>13</v>
      </c>
      <c r="J155" s="404">
        <v>2.1</v>
      </c>
      <c r="K155" s="404">
        <f>D155*F155*J155</f>
        <v>-2.52</v>
      </c>
      <c r="L155" s="402" t="s">
        <v>67</v>
      </c>
      <c r="M155" s="399"/>
      <c r="N155" s="399"/>
    </row>
    <row r="156" spans="1:14" ht="25.2" customHeight="1" x14ac:dyDescent="0.25">
      <c r="A156" s="465"/>
      <c r="B156" s="465"/>
      <c r="C156" s="401" t="s">
        <v>129</v>
      </c>
      <c r="D156" s="451">
        <v>-1</v>
      </c>
      <c r="E156" s="439" t="s">
        <v>13</v>
      </c>
      <c r="F156" s="404">
        <v>1.2</v>
      </c>
      <c r="G156" s="438"/>
      <c r="H156" s="438"/>
      <c r="I156" s="439" t="s">
        <v>13</v>
      </c>
      <c r="J156" s="404">
        <v>1.35</v>
      </c>
      <c r="K156" s="404">
        <f>D156*F156*J156</f>
        <v>-1.62</v>
      </c>
      <c r="L156" s="402" t="s">
        <v>67</v>
      </c>
      <c r="M156" s="399"/>
      <c r="N156" s="399"/>
    </row>
    <row r="157" spans="1:14" ht="18" customHeight="1" x14ac:dyDescent="0.25">
      <c r="A157" s="465"/>
      <c r="B157" s="465"/>
      <c r="C157" s="400" t="s">
        <v>130</v>
      </c>
      <c r="D157" s="450"/>
      <c r="E157" s="438"/>
      <c r="F157" s="438"/>
      <c r="G157" s="438"/>
      <c r="H157" s="438"/>
      <c r="I157" s="438"/>
      <c r="J157" s="438"/>
      <c r="K157" s="399"/>
      <c r="L157" s="399"/>
      <c r="M157" s="399"/>
      <c r="N157" s="399"/>
    </row>
    <row r="158" spans="1:14" s="420" customFormat="1" ht="25.8" customHeight="1" x14ac:dyDescent="0.25">
      <c r="A158" s="465"/>
      <c r="B158" s="465"/>
      <c r="C158" s="423" t="s">
        <v>131</v>
      </c>
      <c r="D158" s="452">
        <v>2</v>
      </c>
      <c r="E158" s="440" t="s">
        <v>13</v>
      </c>
      <c r="F158" s="426">
        <v>6.1</v>
      </c>
      <c r="G158" s="441"/>
      <c r="H158" s="441"/>
      <c r="I158" s="440" t="s">
        <v>13</v>
      </c>
      <c r="J158" s="426">
        <v>0.73</v>
      </c>
      <c r="K158" s="426">
        <f>D158*F158*J158</f>
        <v>8.91</v>
      </c>
      <c r="L158" s="424" t="s">
        <v>67</v>
      </c>
      <c r="M158" s="425"/>
      <c r="N158" s="425"/>
    </row>
    <row r="159" spans="1:14" s="420" customFormat="1" ht="25.8" customHeight="1" x14ac:dyDescent="0.25">
      <c r="A159" s="465"/>
      <c r="B159" s="465"/>
      <c r="C159" s="423" t="s">
        <v>132</v>
      </c>
      <c r="D159" s="452">
        <v>1</v>
      </c>
      <c r="E159" s="440" t="s">
        <v>13</v>
      </c>
      <c r="F159" s="426">
        <v>9.2899999999999991</v>
      </c>
      <c r="G159" s="441"/>
      <c r="H159" s="441"/>
      <c r="I159" s="440" t="s">
        <v>13</v>
      </c>
      <c r="J159" s="426">
        <v>0.73</v>
      </c>
      <c r="K159" s="426">
        <f>D159*F159*J159</f>
        <v>6.78</v>
      </c>
      <c r="L159" s="424" t="s">
        <v>67</v>
      </c>
      <c r="M159" s="425"/>
      <c r="N159" s="425"/>
    </row>
    <row r="160" spans="1:14" s="420" customFormat="1" ht="25.8" customHeight="1" x14ac:dyDescent="0.25">
      <c r="A160" s="465"/>
      <c r="B160" s="465"/>
      <c r="C160" s="423" t="s">
        <v>133</v>
      </c>
      <c r="D160" s="452">
        <v>2</v>
      </c>
      <c r="E160" s="440" t="s">
        <v>13</v>
      </c>
      <c r="F160" s="426">
        <v>3.64</v>
      </c>
      <c r="G160" s="441"/>
      <c r="H160" s="441"/>
      <c r="I160" s="440" t="s">
        <v>13</v>
      </c>
      <c r="J160" s="426">
        <v>0.73</v>
      </c>
      <c r="K160" s="426">
        <f>D160*F160*J160</f>
        <v>5.31</v>
      </c>
      <c r="L160" s="424" t="s">
        <v>67</v>
      </c>
      <c r="M160" s="425"/>
      <c r="N160" s="425"/>
    </row>
    <row r="161" spans="1:14" ht="37.200000000000003" customHeight="1" x14ac:dyDescent="0.25">
      <c r="A161" s="465"/>
      <c r="B161" s="465"/>
      <c r="C161" s="398" t="s">
        <v>134</v>
      </c>
      <c r="D161" s="450"/>
      <c r="E161" s="438"/>
      <c r="F161" s="438"/>
      <c r="G161" s="438"/>
      <c r="H161" s="438"/>
      <c r="I161" s="438"/>
      <c r="J161" s="438"/>
      <c r="K161" s="399"/>
      <c r="L161" s="399"/>
      <c r="M161" s="399"/>
      <c r="N161" s="399"/>
    </row>
    <row r="162" spans="1:14" ht="18" customHeight="1" x14ac:dyDescent="0.25">
      <c r="A162" s="465"/>
      <c r="B162" s="465"/>
      <c r="C162" s="400" t="s">
        <v>135</v>
      </c>
      <c r="D162" s="450"/>
      <c r="E162" s="438"/>
      <c r="F162" s="438"/>
      <c r="G162" s="438"/>
      <c r="H162" s="438"/>
      <c r="I162" s="438"/>
      <c r="J162" s="438"/>
      <c r="K162" s="399"/>
      <c r="L162" s="399"/>
      <c r="M162" s="399"/>
      <c r="N162" s="399"/>
    </row>
    <row r="163" spans="1:14" ht="18" customHeight="1" x14ac:dyDescent="0.25">
      <c r="A163" s="465"/>
      <c r="B163" s="465"/>
      <c r="C163" s="401" t="s">
        <v>136</v>
      </c>
      <c r="D163" s="451">
        <v>1</v>
      </c>
      <c r="E163" s="439" t="s">
        <v>13</v>
      </c>
      <c r="F163" s="404">
        <v>25.22</v>
      </c>
      <c r="G163" s="438"/>
      <c r="H163" s="438"/>
      <c r="I163" s="439" t="s">
        <v>13</v>
      </c>
      <c r="J163" s="404">
        <v>3.05</v>
      </c>
      <c r="K163" s="404">
        <f>D163*F163*J163</f>
        <v>76.92</v>
      </c>
      <c r="L163" s="402" t="s">
        <v>67</v>
      </c>
      <c r="M163" s="399"/>
      <c r="N163" s="399"/>
    </row>
    <row r="164" spans="1:14" ht="18" customHeight="1" x14ac:dyDescent="0.25">
      <c r="A164" s="465"/>
      <c r="B164" s="465"/>
      <c r="C164" s="401" t="s">
        <v>137</v>
      </c>
      <c r="D164" s="451">
        <v>-1</v>
      </c>
      <c r="E164" s="439" t="s">
        <v>13</v>
      </c>
      <c r="F164" s="404">
        <v>1.2</v>
      </c>
      <c r="G164" s="438"/>
      <c r="H164" s="438"/>
      <c r="I164" s="439" t="s">
        <v>13</v>
      </c>
      <c r="J164" s="404">
        <v>2.1</v>
      </c>
      <c r="K164" s="404">
        <f>D164*F164*J164</f>
        <v>-2.52</v>
      </c>
      <c r="L164" s="402" t="s">
        <v>67</v>
      </c>
      <c r="M164" s="399"/>
      <c r="N164" s="399"/>
    </row>
    <row r="165" spans="1:14" ht="18" customHeight="1" x14ac:dyDescent="0.25">
      <c r="A165" s="465"/>
      <c r="B165" s="465"/>
      <c r="C165" s="401" t="s">
        <v>138</v>
      </c>
      <c r="D165" s="451">
        <v>-4</v>
      </c>
      <c r="E165" s="439" t="s">
        <v>13</v>
      </c>
      <c r="F165" s="404">
        <v>1.5</v>
      </c>
      <c r="G165" s="438"/>
      <c r="H165" s="438"/>
      <c r="I165" s="439" t="s">
        <v>13</v>
      </c>
      <c r="J165" s="404">
        <v>1.8</v>
      </c>
      <c r="K165" s="404">
        <f>D165*F165*J165</f>
        <v>-10.8</v>
      </c>
      <c r="L165" s="402" t="s">
        <v>67</v>
      </c>
      <c r="M165" s="399"/>
      <c r="N165" s="399"/>
    </row>
    <row r="166" spans="1:14" ht="18" customHeight="1" x14ac:dyDescent="0.25">
      <c r="A166" s="465"/>
      <c r="B166" s="465"/>
      <c r="C166" s="401" t="s">
        <v>139</v>
      </c>
      <c r="D166" s="451">
        <v>-2</v>
      </c>
      <c r="E166" s="439" t="s">
        <v>13</v>
      </c>
      <c r="F166" s="404">
        <v>1.2</v>
      </c>
      <c r="G166" s="438"/>
      <c r="H166" s="438"/>
      <c r="I166" s="439" t="s">
        <v>13</v>
      </c>
      <c r="J166" s="404">
        <v>1.8</v>
      </c>
      <c r="K166" s="404">
        <f>D166*F166*J166</f>
        <v>-4.32</v>
      </c>
      <c r="L166" s="402" t="s">
        <v>67</v>
      </c>
      <c r="M166" s="399"/>
      <c r="N166" s="399"/>
    </row>
    <row r="167" spans="1:14" ht="18" customHeight="1" x14ac:dyDescent="0.25">
      <c r="A167" s="465"/>
      <c r="B167" s="465"/>
      <c r="C167" s="401" t="s">
        <v>140</v>
      </c>
      <c r="D167" s="451">
        <v>-1</v>
      </c>
      <c r="E167" s="439" t="s">
        <v>13</v>
      </c>
      <c r="F167" s="404">
        <v>1.05</v>
      </c>
      <c r="G167" s="438"/>
      <c r="H167" s="438"/>
      <c r="I167" s="439" t="s">
        <v>13</v>
      </c>
      <c r="J167" s="404">
        <v>2.1</v>
      </c>
      <c r="K167" s="404">
        <f>D167*F167*J167</f>
        <v>-2.21</v>
      </c>
      <c r="L167" s="402" t="s">
        <v>67</v>
      </c>
      <c r="M167" s="399"/>
      <c r="N167" s="399"/>
    </row>
    <row r="168" spans="1:14" ht="18" customHeight="1" x14ac:dyDescent="0.25">
      <c r="A168" s="465"/>
      <c r="B168" s="465"/>
      <c r="C168" s="400" t="s">
        <v>141</v>
      </c>
      <c r="D168" s="450"/>
      <c r="E168" s="438"/>
      <c r="F168" s="438"/>
      <c r="G168" s="438"/>
      <c r="H168" s="438"/>
      <c r="I168" s="438"/>
      <c r="J168" s="438"/>
      <c r="K168" s="399"/>
      <c r="L168" s="399"/>
      <c r="M168" s="399"/>
      <c r="N168" s="399"/>
    </row>
    <row r="169" spans="1:14" ht="18" customHeight="1" x14ac:dyDescent="0.25">
      <c r="A169" s="465"/>
      <c r="B169" s="465"/>
      <c r="C169" s="401" t="s">
        <v>142</v>
      </c>
      <c r="D169" s="451">
        <v>1</v>
      </c>
      <c r="E169" s="439" t="s">
        <v>13</v>
      </c>
      <c r="F169" s="404">
        <v>9.06</v>
      </c>
      <c r="G169" s="438"/>
      <c r="H169" s="438"/>
      <c r="I169" s="439" t="s">
        <v>13</v>
      </c>
      <c r="J169" s="404">
        <v>3.05</v>
      </c>
      <c r="K169" s="404">
        <f>D169*F169*J169</f>
        <v>27.63</v>
      </c>
      <c r="L169" s="402" t="s">
        <v>67</v>
      </c>
      <c r="M169" s="399"/>
      <c r="N169" s="399"/>
    </row>
    <row r="170" spans="1:14" ht="18" customHeight="1" x14ac:dyDescent="0.25">
      <c r="A170" s="465"/>
      <c r="B170" s="465"/>
      <c r="C170" s="401" t="s">
        <v>85</v>
      </c>
      <c r="D170" s="451">
        <v>-1</v>
      </c>
      <c r="E170" s="439" t="s">
        <v>13</v>
      </c>
      <c r="F170" s="404">
        <v>0.9</v>
      </c>
      <c r="G170" s="438"/>
      <c r="H170" s="438"/>
      <c r="I170" s="439" t="s">
        <v>13</v>
      </c>
      <c r="J170" s="404">
        <v>2.1</v>
      </c>
      <c r="K170" s="404">
        <f>D170*F170*J170</f>
        <v>-1.89</v>
      </c>
      <c r="L170" s="402" t="s">
        <v>67</v>
      </c>
      <c r="M170" s="399"/>
      <c r="N170" s="399"/>
    </row>
    <row r="171" spans="1:14" ht="18" customHeight="1" x14ac:dyDescent="0.25">
      <c r="A171" s="465"/>
      <c r="B171" s="465"/>
      <c r="C171" s="401" t="s">
        <v>86</v>
      </c>
      <c r="D171" s="451">
        <v>-1</v>
      </c>
      <c r="E171" s="439" t="s">
        <v>13</v>
      </c>
      <c r="F171" s="404">
        <v>0.6</v>
      </c>
      <c r="G171" s="438"/>
      <c r="H171" s="438"/>
      <c r="I171" s="439" t="s">
        <v>13</v>
      </c>
      <c r="J171" s="404">
        <v>0.6</v>
      </c>
      <c r="K171" s="404">
        <f>D171*F171*J171</f>
        <v>-0.36</v>
      </c>
      <c r="L171" s="402" t="s">
        <v>67</v>
      </c>
      <c r="M171" s="399"/>
      <c r="N171" s="399"/>
    </row>
    <row r="172" spans="1:14" ht="18" customHeight="1" x14ac:dyDescent="0.25">
      <c r="A172" s="465"/>
      <c r="B172" s="465"/>
      <c r="C172" s="400" t="s">
        <v>143</v>
      </c>
      <c r="D172" s="450"/>
      <c r="E172" s="438"/>
      <c r="F172" s="438"/>
      <c r="G172" s="438"/>
      <c r="H172" s="438"/>
      <c r="I172" s="438"/>
      <c r="J172" s="438"/>
      <c r="K172" s="399"/>
      <c r="L172" s="399"/>
      <c r="M172" s="399"/>
      <c r="N172" s="399"/>
    </row>
    <row r="173" spans="1:14" ht="18" customHeight="1" x14ac:dyDescent="0.25">
      <c r="A173" s="465"/>
      <c r="B173" s="465"/>
      <c r="C173" s="401" t="s">
        <v>144</v>
      </c>
      <c r="D173" s="451">
        <v>1</v>
      </c>
      <c r="E173" s="439" t="s">
        <v>13</v>
      </c>
      <c r="F173" s="404">
        <v>6.6</v>
      </c>
      <c r="G173" s="438"/>
      <c r="H173" s="438"/>
      <c r="I173" s="439" t="s">
        <v>13</v>
      </c>
      <c r="J173" s="404">
        <v>3.05</v>
      </c>
      <c r="K173" s="404">
        <f>D173*F173*J173</f>
        <v>20.13</v>
      </c>
      <c r="L173" s="402" t="s">
        <v>67</v>
      </c>
      <c r="M173" s="399"/>
      <c r="N173" s="399"/>
    </row>
    <row r="174" spans="1:14" ht="18" customHeight="1" x14ac:dyDescent="0.25">
      <c r="A174" s="465"/>
      <c r="B174" s="465"/>
      <c r="C174" s="401" t="s">
        <v>128</v>
      </c>
      <c r="D174" s="451">
        <v>-1</v>
      </c>
      <c r="E174" s="439" t="s">
        <v>13</v>
      </c>
      <c r="F174" s="404">
        <v>1.2</v>
      </c>
      <c r="G174" s="438"/>
      <c r="H174" s="438"/>
      <c r="I174" s="439" t="s">
        <v>13</v>
      </c>
      <c r="J174" s="404">
        <v>2.1</v>
      </c>
      <c r="K174" s="404">
        <f>D174*F174*J174</f>
        <v>-2.52</v>
      </c>
      <c r="L174" s="402" t="s">
        <v>67</v>
      </c>
      <c r="M174" s="399"/>
      <c r="N174" s="399"/>
    </row>
    <row r="175" spans="1:14" ht="18" customHeight="1" x14ac:dyDescent="0.25">
      <c r="A175" s="465"/>
      <c r="B175" s="465"/>
      <c r="C175" s="401" t="s">
        <v>145</v>
      </c>
      <c r="D175" s="451">
        <v>-2</v>
      </c>
      <c r="E175" s="439" t="s">
        <v>13</v>
      </c>
      <c r="F175" s="404">
        <v>1.2</v>
      </c>
      <c r="G175" s="438"/>
      <c r="H175" s="438"/>
      <c r="I175" s="439" t="s">
        <v>13</v>
      </c>
      <c r="J175" s="404">
        <v>1.8</v>
      </c>
      <c r="K175" s="404">
        <f>D175*F175*J175</f>
        <v>-4.32</v>
      </c>
      <c r="L175" s="402" t="s">
        <v>67</v>
      </c>
      <c r="M175" s="399"/>
      <c r="N175" s="399"/>
    </row>
    <row r="176" spans="1:14" ht="18" customHeight="1" x14ac:dyDescent="0.25">
      <c r="A176" s="465"/>
      <c r="B176" s="465"/>
      <c r="C176" s="400" t="s">
        <v>146</v>
      </c>
      <c r="D176" s="450"/>
      <c r="E176" s="438"/>
      <c r="F176" s="438"/>
      <c r="G176" s="438"/>
      <c r="H176" s="438"/>
      <c r="I176" s="438"/>
      <c r="J176" s="438"/>
      <c r="K176" s="399"/>
      <c r="L176" s="399"/>
      <c r="M176" s="399"/>
      <c r="N176" s="399"/>
    </row>
    <row r="177" spans="1:14" ht="18" customHeight="1" x14ac:dyDescent="0.25">
      <c r="A177" s="465"/>
      <c r="B177" s="465"/>
      <c r="C177" s="401" t="s">
        <v>147</v>
      </c>
      <c r="D177" s="451">
        <v>1</v>
      </c>
      <c r="E177" s="439" t="s">
        <v>13</v>
      </c>
      <c r="F177" s="404">
        <v>6.6</v>
      </c>
      <c r="G177" s="438"/>
      <c r="H177" s="438"/>
      <c r="I177" s="439" t="s">
        <v>13</v>
      </c>
      <c r="J177" s="404">
        <v>0.73</v>
      </c>
      <c r="K177" s="404">
        <f>D177*F177*J177</f>
        <v>4.82</v>
      </c>
      <c r="L177" s="402" t="s">
        <v>67</v>
      </c>
      <c r="M177" s="399"/>
      <c r="N177" s="399"/>
    </row>
    <row r="178" spans="1:14" ht="18" customHeight="1" x14ac:dyDescent="0.25">
      <c r="A178" s="465"/>
      <c r="B178" s="465"/>
      <c r="C178" s="401" t="s">
        <v>148</v>
      </c>
      <c r="D178" s="451">
        <v>1</v>
      </c>
      <c r="E178" s="439" t="s">
        <v>13</v>
      </c>
      <c r="F178" s="404">
        <v>6.01</v>
      </c>
      <c r="G178" s="438"/>
      <c r="H178" s="438"/>
      <c r="I178" s="439" t="s">
        <v>13</v>
      </c>
      <c r="J178" s="404">
        <v>0.73</v>
      </c>
      <c r="K178" s="404">
        <f>D178*F178*J178</f>
        <v>4.3899999999999997</v>
      </c>
      <c r="L178" s="402" t="s">
        <v>67</v>
      </c>
      <c r="M178" s="399"/>
      <c r="N178" s="399"/>
    </row>
    <row r="179" spans="1:14" ht="18" customHeight="1" x14ac:dyDescent="0.25">
      <c r="A179" s="465"/>
      <c r="B179" s="465"/>
      <c r="C179" s="427" t="s">
        <v>149</v>
      </c>
      <c r="D179" s="453">
        <v>1</v>
      </c>
      <c r="E179" s="442" t="s">
        <v>13</v>
      </c>
      <c r="F179" s="429">
        <v>2.2999999999999998</v>
      </c>
      <c r="G179" s="443"/>
      <c r="H179" s="443"/>
      <c r="I179" s="442" t="s">
        <v>13</v>
      </c>
      <c r="J179" s="429">
        <v>0.73</v>
      </c>
      <c r="K179" s="429">
        <f>D179*F179*J179</f>
        <v>1.68</v>
      </c>
      <c r="L179" s="428" t="s">
        <v>67</v>
      </c>
      <c r="M179" s="399"/>
      <c r="N179" s="399"/>
    </row>
    <row r="180" spans="1:14" ht="22.05" customHeight="1" x14ac:dyDescent="0.25">
      <c r="A180" s="465"/>
      <c r="B180" s="465"/>
      <c r="C180" s="433" t="s">
        <v>150</v>
      </c>
      <c r="D180" s="454"/>
      <c r="E180" s="444"/>
      <c r="F180" s="435"/>
      <c r="G180" s="445"/>
      <c r="H180" s="445"/>
      <c r="I180" s="444"/>
      <c r="J180" s="435"/>
      <c r="K180" s="435"/>
      <c r="L180" s="434"/>
      <c r="M180" s="419"/>
      <c r="N180" s="399"/>
    </row>
    <row r="181" spans="1:14" ht="18" customHeight="1" x14ac:dyDescent="0.25">
      <c r="A181" s="465"/>
      <c r="B181" s="465"/>
      <c r="C181" s="430"/>
      <c r="D181" s="455">
        <v>1</v>
      </c>
      <c r="E181" s="446" t="s">
        <v>13</v>
      </c>
      <c r="F181" s="432">
        <v>5.64</v>
      </c>
      <c r="G181" s="446" t="s">
        <v>13</v>
      </c>
      <c r="H181" s="432">
        <v>5.51</v>
      </c>
      <c r="I181" s="447"/>
      <c r="J181" s="447"/>
      <c r="K181" s="432">
        <f t="shared" ref="K181:K199" si="6">D181*F181*H181</f>
        <v>31.08</v>
      </c>
      <c r="L181" s="431" t="s">
        <v>67</v>
      </c>
      <c r="M181" s="399"/>
      <c r="N181" s="399"/>
    </row>
    <row r="182" spans="1:14" ht="18" customHeight="1" x14ac:dyDescent="0.25">
      <c r="A182" s="465"/>
      <c r="B182" s="465"/>
      <c r="C182" s="401"/>
      <c r="D182" s="451">
        <v>1</v>
      </c>
      <c r="E182" s="439" t="s">
        <v>13</v>
      </c>
      <c r="F182" s="404">
        <v>6.5</v>
      </c>
      <c r="G182" s="439" t="s">
        <v>13</v>
      </c>
      <c r="H182" s="404">
        <v>5.51</v>
      </c>
      <c r="I182" s="438"/>
      <c r="J182" s="438"/>
      <c r="K182" s="404">
        <f t="shared" si="6"/>
        <v>35.82</v>
      </c>
      <c r="L182" s="402" t="s">
        <v>67</v>
      </c>
      <c r="M182" s="399"/>
      <c r="N182" s="399"/>
    </row>
    <row r="183" spans="1:14" ht="18" customHeight="1" x14ac:dyDescent="0.25">
      <c r="A183" s="465"/>
      <c r="B183" s="465"/>
      <c r="C183" s="401"/>
      <c r="D183" s="451">
        <v>1</v>
      </c>
      <c r="E183" s="439" t="s">
        <v>13</v>
      </c>
      <c r="F183" s="404">
        <v>5.64</v>
      </c>
      <c r="G183" s="439" t="s">
        <v>13</v>
      </c>
      <c r="H183" s="404">
        <v>4.51</v>
      </c>
      <c r="I183" s="438"/>
      <c r="J183" s="438"/>
      <c r="K183" s="404">
        <f t="shared" si="6"/>
        <v>25.44</v>
      </c>
      <c r="L183" s="402" t="s">
        <v>67</v>
      </c>
      <c r="M183" s="399"/>
      <c r="N183" s="399"/>
    </row>
    <row r="184" spans="1:14" ht="18" customHeight="1" x14ac:dyDescent="0.25">
      <c r="A184" s="465"/>
      <c r="B184" s="465"/>
      <c r="C184" s="401"/>
      <c r="D184" s="451">
        <v>1</v>
      </c>
      <c r="E184" s="439" t="s">
        <v>13</v>
      </c>
      <c r="F184" s="404">
        <v>5.64</v>
      </c>
      <c r="G184" s="439" t="s">
        <v>13</v>
      </c>
      <c r="H184" s="404">
        <v>3.91</v>
      </c>
      <c r="I184" s="438"/>
      <c r="J184" s="438"/>
      <c r="K184" s="404">
        <f t="shared" si="6"/>
        <v>22.05</v>
      </c>
      <c r="L184" s="402" t="s">
        <v>67</v>
      </c>
      <c r="M184" s="399"/>
      <c r="N184" s="399"/>
    </row>
    <row r="185" spans="1:14" ht="18" customHeight="1" x14ac:dyDescent="0.25">
      <c r="A185" s="465"/>
      <c r="B185" s="465"/>
      <c r="C185" s="401"/>
      <c r="D185" s="451">
        <v>1</v>
      </c>
      <c r="E185" s="439" t="s">
        <v>13</v>
      </c>
      <c r="F185" s="404">
        <v>5.64</v>
      </c>
      <c r="G185" s="439" t="s">
        <v>13</v>
      </c>
      <c r="H185" s="404">
        <v>4.51</v>
      </c>
      <c r="I185" s="438"/>
      <c r="J185" s="438"/>
      <c r="K185" s="404">
        <f t="shared" si="6"/>
        <v>25.44</v>
      </c>
      <c r="L185" s="402" t="s">
        <v>67</v>
      </c>
      <c r="M185" s="399"/>
      <c r="N185" s="399"/>
    </row>
    <row r="186" spans="1:14" ht="18" customHeight="1" x14ac:dyDescent="0.25">
      <c r="A186" s="465"/>
      <c r="B186" s="465"/>
      <c r="C186" s="401"/>
      <c r="D186" s="451">
        <v>1</v>
      </c>
      <c r="E186" s="439" t="s">
        <v>13</v>
      </c>
      <c r="F186" s="404">
        <v>7.94</v>
      </c>
      <c r="G186" s="439" t="s">
        <v>13</v>
      </c>
      <c r="H186" s="404">
        <v>2.94</v>
      </c>
      <c r="I186" s="438"/>
      <c r="J186" s="438"/>
      <c r="K186" s="404">
        <f t="shared" si="6"/>
        <v>23.34</v>
      </c>
      <c r="L186" s="402" t="s">
        <v>67</v>
      </c>
      <c r="M186" s="399"/>
      <c r="N186" s="399"/>
    </row>
    <row r="187" spans="1:14" ht="18" customHeight="1" x14ac:dyDescent="0.25">
      <c r="A187" s="465"/>
      <c r="B187" s="465"/>
      <c r="C187" s="401"/>
      <c r="D187" s="451">
        <v>1</v>
      </c>
      <c r="E187" s="439" t="s">
        <v>13</v>
      </c>
      <c r="F187" s="404">
        <v>2.2999999999999998</v>
      </c>
      <c r="G187" s="439" t="s">
        <v>13</v>
      </c>
      <c r="H187" s="404">
        <v>3.23</v>
      </c>
      <c r="I187" s="438"/>
      <c r="J187" s="438"/>
      <c r="K187" s="404">
        <f t="shared" si="6"/>
        <v>7.43</v>
      </c>
      <c r="L187" s="402" t="s">
        <v>67</v>
      </c>
      <c r="M187" s="399"/>
      <c r="N187" s="399"/>
    </row>
    <row r="188" spans="1:14" ht="18" customHeight="1" x14ac:dyDescent="0.25">
      <c r="A188" s="465"/>
      <c r="B188" s="465"/>
      <c r="C188" s="401"/>
      <c r="D188" s="451">
        <v>1</v>
      </c>
      <c r="E188" s="439" t="s">
        <v>13</v>
      </c>
      <c r="F188" s="404">
        <v>5.13</v>
      </c>
      <c r="G188" s="439" t="s">
        <v>13</v>
      </c>
      <c r="H188" s="404">
        <v>4.6100000000000003</v>
      </c>
      <c r="I188" s="438"/>
      <c r="J188" s="438"/>
      <c r="K188" s="404">
        <f t="shared" si="6"/>
        <v>23.65</v>
      </c>
      <c r="L188" s="402" t="s">
        <v>67</v>
      </c>
      <c r="M188" s="399"/>
      <c r="N188" s="399"/>
    </row>
    <row r="189" spans="1:14" ht="18" customHeight="1" x14ac:dyDescent="0.25">
      <c r="A189" s="465"/>
      <c r="B189" s="465"/>
      <c r="C189" s="401"/>
      <c r="D189" s="451">
        <v>1</v>
      </c>
      <c r="E189" s="439" t="s">
        <v>13</v>
      </c>
      <c r="F189" s="404">
        <v>5.13</v>
      </c>
      <c r="G189" s="439" t="s">
        <v>13</v>
      </c>
      <c r="H189" s="404">
        <v>3.16</v>
      </c>
      <c r="I189" s="438"/>
      <c r="J189" s="438"/>
      <c r="K189" s="404">
        <f t="shared" si="6"/>
        <v>16.21</v>
      </c>
      <c r="L189" s="402" t="s">
        <v>67</v>
      </c>
      <c r="M189" s="399"/>
      <c r="N189" s="399"/>
    </row>
    <row r="190" spans="1:14" ht="18" customHeight="1" x14ac:dyDescent="0.25">
      <c r="A190" s="465"/>
      <c r="B190" s="465"/>
      <c r="C190" s="401"/>
      <c r="D190" s="451">
        <v>1</v>
      </c>
      <c r="E190" s="439" t="s">
        <v>13</v>
      </c>
      <c r="F190" s="404">
        <v>3.13</v>
      </c>
      <c r="G190" s="439" t="s">
        <v>13</v>
      </c>
      <c r="H190" s="404">
        <v>3.15</v>
      </c>
      <c r="I190" s="438"/>
      <c r="J190" s="438"/>
      <c r="K190" s="404">
        <f t="shared" si="6"/>
        <v>9.86</v>
      </c>
      <c r="L190" s="402" t="s">
        <v>67</v>
      </c>
      <c r="M190" s="399"/>
      <c r="N190" s="399"/>
    </row>
    <row r="191" spans="1:14" ht="18" customHeight="1" x14ac:dyDescent="0.25">
      <c r="A191" s="465"/>
      <c r="B191" s="465"/>
      <c r="C191" s="401"/>
      <c r="D191" s="451">
        <v>1</v>
      </c>
      <c r="E191" s="439" t="s">
        <v>13</v>
      </c>
      <c r="F191" s="404">
        <v>5.64</v>
      </c>
      <c r="G191" s="439" t="s">
        <v>13</v>
      </c>
      <c r="H191" s="404">
        <v>3.23</v>
      </c>
      <c r="I191" s="438"/>
      <c r="J191" s="438"/>
      <c r="K191" s="404">
        <f t="shared" si="6"/>
        <v>18.22</v>
      </c>
      <c r="L191" s="402" t="s">
        <v>67</v>
      </c>
      <c r="M191" s="399"/>
      <c r="N191" s="399"/>
    </row>
    <row r="192" spans="1:14" ht="18" customHeight="1" x14ac:dyDescent="0.25">
      <c r="A192" s="465"/>
      <c r="B192" s="465"/>
      <c r="C192" s="401"/>
      <c r="D192" s="451">
        <v>1</v>
      </c>
      <c r="E192" s="439" t="s">
        <v>13</v>
      </c>
      <c r="F192" s="404">
        <v>3.06</v>
      </c>
      <c r="G192" s="439" t="s">
        <v>13</v>
      </c>
      <c r="H192" s="404">
        <v>21.09</v>
      </c>
      <c r="I192" s="438"/>
      <c r="J192" s="438"/>
      <c r="K192" s="404">
        <f t="shared" si="6"/>
        <v>64.540000000000006</v>
      </c>
      <c r="L192" s="402" t="s">
        <v>67</v>
      </c>
      <c r="M192" s="399"/>
      <c r="N192" s="399"/>
    </row>
    <row r="193" spans="1:17" ht="18" customHeight="1" x14ac:dyDescent="0.25">
      <c r="A193" s="465"/>
      <c r="B193" s="465"/>
      <c r="C193" s="401"/>
      <c r="D193" s="451">
        <v>1</v>
      </c>
      <c r="E193" s="439" t="s">
        <v>13</v>
      </c>
      <c r="F193" s="404">
        <v>9.2899999999999991</v>
      </c>
      <c r="G193" s="439" t="s">
        <v>13</v>
      </c>
      <c r="H193" s="404">
        <v>6.1</v>
      </c>
      <c r="I193" s="438"/>
      <c r="J193" s="438"/>
      <c r="K193" s="404">
        <f t="shared" si="6"/>
        <v>56.67</v>
      </c>
      <c r="L193" s="402" t="s">
        <v>67</v>
      </c>
      <c r="M193" s="399"/>
      <c r="N193" s="399"/>
    </row>
    <row r="194" spans="1:17" ht="18" customHeight="1" x14ac:dyDescent="0.25">
      <c r="A194" s="465"/>
      <c r="B194" s="465"/>
      <c r="C194" s="401"/>
      <c r="D194" s="451">
        <v>4</v>
      </c>
      <c r="E194" s="439" t="s">
        <v>13</v>
      </c>
      <c r="F194" s="404">
        <v>1.82</v>
      </c>
      <c r="G194" s="439" t="s">
        <v>13</v>
      </c>
      <c r="H194" s="404">
        <v>1.5</v>
      </c>
      <c r="I194" s="438"/>
      <c r="J194" s="438"/>
      <c r="K194" s="404">
        <f t="shared" si="6"/>
        <v>10.92</v>
      </c>
      <c r="L194" s="402" t="s">
        <v>67</v>
      </c>
      <c r="M194" s="399"/>
      <c r="N194" s="399"/>
    </row>
    <row r="195" spans="1:17" ht="18" customHeight="1" x14ac:dyDescent="0.25">
      <c r="A195" s="465"/>
      <c r="B195" s="465"/>
      <c r="C195" s="401"/>
      <c r="D195" s="451">
        <v>1</v>
      </c>
      <c r="E195" s="439" t="s">
        <v>13</v>
      </c>
      <c r="F195" s="404">
        <v>3.64</v>
      </c>
      <c r="G195" s="439" t="s">
        <v>13</v>
      </c>
      <c r="H195" s="404">
        <v>1.2</v>
      </c>
      <c r="I195" s="438"/>
      <c r="J195" s="438"/>
      <c r="K195" s="404">
        <f t="shared" si="6"/>
        <v>4.37</v>
      </c>
      <c r="L195" s="402" t="s">
        <v>67</v>
      </c>
      <c r="M195" s="399"/>
      <c r="N195" s="399"/>
    </row>
    <row r="196" spans="1:17" ht="18" customHeight="1" x14ac:dyDescent="0.25">
      <c r="A196" s="465"/>
      <c r="B196" s="465"/>
      <c r="C196" s="401"/>
      <c r="D196" s="451">
        <v>1</v>
      </c>
      <c r="E196" s="439" t="s">
        <v>13</v>
      </c>
      <c r="F196" s="404">
        <v>6.1</v>
      </c>
      <c r="G196" s="439" t="s">
        <v>13</v>
      </c>
      <c r="H196" s="404">
        <v>1.7</v>
      </c>
      <c r="I196" s="438"/>
      <c r="J196" s="438"/>
      <c r="K196" s="404">
        <f t="shared" si="6"/>
        <v>10.37</v>
      </c>
      <c r="L196" s="402" t="s">
        <v>67</v>
      </c>
      <c r="M196" s="399"/>
      <c r="N196" s="399"/>
    </row>
    <row r="197" spans="1:17" ht="18" customHeight="1" x14ac:dyDescent="0.25">
      <c r="A197" s="465"/>
      <c r="B197" s="465"/>
      <c r="C197" s="401"/>
      <c r="D197" s="451">
        <v>1</v>
      </c>
      <c r="E197" s="439" t="s">
        <v>13</v>
      </c>
      <c r="F197" s="404">
        <v>6.01</v>
      </c>
      <c r="G197" s="439" t="s">
        <v>13</v>
      </c>
      <c r="H197" s="404">
        <v>6.6</v>
      </c>
      <c r="I197" s="438"/>
      <c r="J197" s="438"/>
      <c r="K197" s="404">
        <f t="shared" si="6"/>
        <v>39.67</v>
      </c>
      <c r="L197" s="402" t="s">
        <v>67</v>
      </c>
      <c r="M197" s="399"/>
      <c r="N197" s="399"/>
    </row>
    <row r="198" spans="1:17" ht="18" customHeight="1" x14ac:dyDescent="0.25">
      <c r="A198" s="465"/>
      <c r="B198" s="465"/>
      <c r="C198" s="401"/>
      <c r="D198" s="451">
        <v>1</v>
      </c>
      <c r="E198" s="439" t="s">
        <v>13</v>
      </c>
      <c r="F198" s="404">
        <v>2.2999999999999998</v>
      </c>
      <c r="G198" s="439" t="s">
        <v>13</v>
      </c>
      <c r="H198" s="404">
        <v>2.23</v>
      </c>
      <c r="I198" s="438"/>
      <c r="J198" s="438"/>
      <c r="K198" s="404">
        <f t="shared" si="6"/>
        <v>5.13</v>
      </c>
      <c r="L198" s="402" t="s">
        <v>67</v>
      </c>
      <c r="M198" s="399"/>
      <c r="N198" s="399"/>
    </row>
    <row r="199" spans="1:17" ht="18" customHeight="1" x14ac:dyDescent="0.25">
      <c r="A199" s="465"/>
      <c r="B199" s="465"/>
      <c r="C199" s="401"/>
      <c r="D199" s="451">
        <v>1</v>
      </c>
      <c r="E199" s="439" t="s">
        <v>13</v>
      </c>
      <c r="F199" s="404">
        <v>6.6</v>
      </c>
      <c r="G199" s="439" t="s">
        <v>13</v>
      </c>
      <c r="H199" s="404">
        <v>1.87</v>
      </c>
      <c r="I199" s="438"/>
      <c r="J199" s="438"/>
      <c r="K199" s="404">
        <f t="shared" si="6"/>
        <v>12.34</v>
      </c>
      <c r="L199" s="402" t="s">
        <v>67</v>
      </c>
      <c r="M199" s="399"/>
      <c r="N199" s="399"/>
    </row>
    <row r="200" spans="1:17" ht="18" customHeight="1" x14ac:dyDescent="0.25">
      <c r="A200" s="466"/>
      <c r="B200" s="466"/>
      <c r="C200" s="467" t="s">
        <v>15</v>
      </c>
      <c r="D200" s="462"/>
      <c r="E200" s="462"/>
      <c r="F200" s="462"/>
      <c r="G200" s="462"/>
      <c r="H200" s="462"/>
      <c r="I200" s="462"/>
      <c r="J200" s="463"/>
      <c r="K200" s="390">
        <f>SUM(K136:K199)</f>
        <v>2217.5700000000002</v>
      </c>
      <c r="L200" s="389" t="s">
        <v>19</v>
      </c>
      <c r="M200" s="391">
        <v>121.55</v>
      </c>
      <c r="N200" s="392">
        <f>ROUND(K200*M200, 2)</f>
        <v>269545.63</v>
      </c>
      <c r="O200" s="458"/>
      <c r="Q200" s="459"/>
    </row>
    <row r="201" spans="1:17" ht="103.2" customHeight="1" x14ac:dyDescent="0.25">
      <c r="A201" s="474">
        <v>12</v>
      </c>
      <c r="B201" s="468" t="s">
        <v>151</v>
      </c>
      <c r="C201" s="461" t="s">
        <v>152</v>
      </c>
      <c r="D201" s="462"/>
      <c r="E201" s="462"/>
      <c r="F201" s="462"/>
      <c r="G201" s="462"/>
      <c r="H201" s="462"/>
      <c r="I201" s="462"/>
      <c r="J201" s="462"/>
      <c r="K201" s="463"/>
      <c r="L201" s="382"/>
      <c r="M201" s="464"/>
      <c r="N201" s="464"/>
    </row>
    <row r="202" spans="1:17" ht="18" customHeight="1" x14ac:dyDescent="0.25">
      <c r="A202" s="465"/>
      <c r="B202" s="465"/>
      <c r="C202" s="421" t="s">
        <v>153</v>
      </c>
      <c r="D202" s="449">
        <v>3</v>
      </c>
      <c r="E202" s="393" t="s">
        <v>13</v>
      </c>
      <c r="F202" s="390">
        <v>3.6</v>
      </c>
      <c r="G202" s="437"/>
      <c r="H202" s="437"/>
      <c r="I202" s="393" t="s">
        <v>13</v>
      </c>
      <c r="J202" s="390">
        <v>2.95</v>
      </c>
      <c r="K202" s="390">
        <f t="shared" ref="K202:K219" si="7">D202*F202*J202</f>
        <v>31.86</v>
      </c>
      <c r="L202" s="389" t="s">
        <v>19</v>
      </c>
      <c r="M202" s="465"/>
      <c r="N202" s="465"/>
    </row>
    <row r="203" spans="1:17" ht="18" customHeight="1" x14ac:dyDescent="0.25">
      <c r="A203" s="465"/>
      <c r="B203" s="465"/>
      <c r="C203" s="421" t="s">
        <v>153</v>
      </c>
      <c r="D203" s="449">
        <v>4</v>
      </c>
      <c r="E203" s="393" t="s">
        <v>13</v>
      </c>
      <c r="F203" s="390">
        <v>6</v>
      </c>
      <c r="G203" s="437"/>
      <c r="H203" s="437"/>
      <c r="I203" s="393" t="s">
        <v>13</v>
      </c>
      <c r="J203" s="390">
        <v>2.95</v>
      </c>
      <c r="K203" s="390">
        <f t="shared" si="7"/>
        <v>70.8</v>
      </c>
      <c r="L203" s="389" t="s">
        <v>19</v>
      </c>
      <c r="M203" s="465"/>
      <c r="N203" s="465"/>
    </row>
    <row r="204" spans="1:17" ht="18" customHeight="1" x14ac:dyDescent="0.25">
      <c r="A204" s="465"/>
      <c r="B204" s="465"/>
      <c r="C204" s="421" t="s">
        <v>37</v>
      </c>
      <c r="D204" s="449">
        <v>3</v>
      </c>
      <c r="E204" s="393" t="s">
        <v>13</v>
      </c>
      <c r="F204" s="390">
        <v>3.6</v>
      </c>
      <c r="G204" s="437"/>
      <c r="H204" s="437"/>
      <c r="I204" s="393" t="s">
        <v>13</v>
      </c>
      <c r="J204" s="390">
        <v>2.95</v>
      </c>
      <c r="K204" s="390">
        <f t="shared" si="7"/>
        <v>31.86</v>
      </c>
      <c r="L204" s="389" t="s">
        <v>19</v>
      </c>
      <c r="M204" s="465"/>
      <c r="N204" s="465"/>
    </row>
    <row r="205" spans="1:17" ht="18" customHeight="1" x14ac:dyDescent="0.25">
      <c r="A205" s="465"/>
      <c r="B205" s="465"/>
      <c r="C205" s="421" t="s">
        <v>37</v>
      </c>
      <c r="D205" s="449">
        <v>4</v>
      </c>
      <c r="E205" s="393" t="s">
        <v>13</v>
      </c>
      <c r="F205" s="390">
        <v>2.95</v>
      </c>
      <c r="G205" s="437"/>
      <c r="H205" s="437"/>
      <c r="I205" s="393" t="s">
        <v>13</v>
      </c>
      <c r="J205" s="390">
        <v>2.95</v>
      </c>
      <c r="K205" s="390">
        <f t="shared" si="7"/>
        <v>34.81</v>
      </c>
      <c r="L205" s="389" t="s">
        <v>19</v>
      </c>
      <c r="M205" s="465"/>
      <c r="N205" s="465"/>
    </row>
    <row r="206" spans="1:17" ht="18" customHeight="1" x14ac:dyDescent="0.25">
      <c r="A206" s="465"/>
      <c r="B206" s="465"/>
      <c r="C206" s="421" t="s">
        <v>52</v>
      </c>
      <c r="D206" s="449">
        <v>-2</v>
      </c>
      <c r="E206" s="393" t="s">
        <v>13</v>
      </c>
      <c r="F206" s="390">
        <v>2.1</v>
      </c>
      <c r="G206" s="437"/>
      <c r="H206" s="437"/>
      <c r="I206" s="393" t="s">
        <v>13</v>
      </c>
      <c r="J206" s="390">
        <v>1.3</v>
      </c>
      <c r="K206" s="390">
        <f t="shared" si="7"/>
        <v>-5.46</v>
      </c>
      <c r="L206" s="389" t="s">
        <v>19</v>
      </c>
      <c r="M206" s="465"/>
      <c r="N206" s="465"/>
    </row>
    <row r="207" spans="1:17" ht="18" customHeight="1" x14ac:dyDescent="0.25">
      <c r="A207" s="465"/>
      <c r="B207" s="465"/>
      <c r="C207" s="421" t="s">
        <v>53</v>
      </c>
      <c r="D207" s="449">
        <v>-2</v>
      </c>
      <c r="E207" s="393" t="s">
        <v>13</v>
      </c>
      <c r="F207" s="390">
        <v>1.1000000000000001</v>
      </c>
      <c r="G207" s="437"/>
      <c r="H207" s="437"/>
      <c r="I207" s="393" t="s">
        <v>13</v>
      </c>
      <c r="J207" s="390">
        <v>1.2</v>
      </c>
      <c r="K207" s="390">
        <f t="shared" si="7"/>
        <v>-2.64</v>
      </c>
      <c r="L207" s="389" t="s">
        <v>19</v>
      </c>
      <c r="M207" s="465"/>
      <c r="N207" s="465"/>
    </row>
    <row r="208" spans="1:17" ht="18" customHeight="1" x14ac:dyDescent="0.25">
      <c r="A208" s="465"/>
      <c r="B208" s="465"/>
      <c r="C208" s="421" t="s">
        <v>54</v>
      </c>
      <c r="D208" s="449">
        <v>3</v>
      </c>
      <c r="E208" s="393" t="s">
        <v>13</v>
      </c>
      <c r="F208" s="390">
        <v>9.1999999999999993</v>
      </c>
      <c r="G208" s="437"/>
      <c r="H208" s="437"/>
      <c r="I208" s="393" t="s">
        <v>13</v>
      </c>
      <c r="J208" s="390">
        <v>1.5</v>
      </c>
      <c r="K208" s="390">
        <f t="shared" si="7"/>
        <v>41.4</v>
      </c>
      <c r="L208" s="389" t="s">
        <v>19</v>
      </c>
      <c r="M208" s="465"/>
      <c r="N208" s="465"/>
    </row>
    <row r="209" spans="1:14" ht="18" customHeight="1" x14ac:dyDescent="0.25">
      <c r="A209" s="465"/>
      <c r="B209" s="465"/>
      <c r="C209" s="421" t="s">
        <v>54</v>
      </c>
      <c r="D209" s="449">
        <v>1</v>
      </c>
      <c r="E209" s="393" t="s">
        <v>13</v>
      </c>
      <c r="F209" s="390">
        <v>7</v>
      </c>
      <c r="G209" s="437"/>
      <c r="H209" s="437"/>
      <c r="I209" s="393" t="s">
        <v>13</v>
      </c>
      <c r="J209" s="390">
        <v>0.95</v>
      </c>
      <c r="K209" s="390">
        <f t="shared" si="7"/>
        <v>6.65</v>
      </c>
      <c r="L209" s="389" t="s">
        <v>19</v>
      </c>
      <c r="M209" s="465"/>
      <c r="N209" s="465"/>
    </row>
    <row r="210" spans="1:14" ht="18" customHeight="1" x14ac:dyDescent="0.25">
      <c r="A210" s="465"/>
      <c r="B210" s="465"/>
      <c r="C210" s="421" t="s">
        <v>40</v>
      </c>
      <c r="D210" s="449">
        <v>4</v>
      </c>
      <c r="E210" s="393" t="s">
        <v>13</v>
      </c>
      <c r="F210" s="390">
        <v>11.2</v>
      </c>
      <c r="G210" s="437"/>
      <c r="H210" s="437"/>
      <c r="I210" s="393" t="s">
        <v>13</v>
      </c>
      <c r="J210" s="390">
        <v>0.95</v>
      </c>
      <c r="K210" s="390">
        <f t="shared" si="7"/>
        <v>42.56</v>
      </c>
      <c r="L210" s="389" t="s">
        <v>19</v>
      </c>
      <c r="M210" s="465"/>
      <c r="N210" s="465"/>
    </row>
    <row r="211" spans="1:14" ht="18" customHeight="1" x14ac:dyDescent="0.25">
      <c r="A211" s="465"/>
      <c r="B211" s="465"/>
      <c r="C211" s="421" t="s">
        <v>55</v>
      </c>
      <c r="D211" s="449">
        <v>2</v>
      </c>
      <c r="E211" s="393" t="s">
        <v>13</v>
      </c>
      <c r="F211" s="390">
        <v>6.4</v>
      </c>
      <c r="G211" s="437"/>
      <c r="H211" s="437"/>
      <c r="I211" s="393" t="s">
        <v>13</v>
      </c>
      <c r="J211" s="390">
        <v>3.05</v>
      </c>
      <c r="K211" s="390">
        <f t="shared" si="7"/>
        <v>39.04</v>
      </c>
      <c r="L211" s="389" t="s">
        <v>19</v>
      </c>
      <c r="M211" s="465"/>
      <c r="N211" s="465"/>
    </row>
    <row r="212" spans="1:14" ht="18" customHeight="1" x14ac:dyDescent="0.25">
      <c r="A212" s="465"/>
      <c r="B212" s="465"/>
      <c r="C212" s="421" t="s">
        <v>55</v>
      </c>
      <c r="D212" s="449">
        <v>2</v>
      </c>
      <c r="E212" s="393" t="s">
        <v>13</v>
      </c>
      <c r="F212" s="390">
        <v>4.7</v>
      </c>
      <c r="G212" s="437"/>
      <c r="H212" s="437"/>
      <c r="I212" s="393" t="s">
        <v>13</v>
      </c>
      <c r="J212" s="390">
        <v>3.05</v>
      </c>
      <c r="K212" s="390">
        <f t="shared" si="7"/>
        <v>28.67</v>
      </c>
      <c r="L212" s="389" t="s">
        <v>19</v>
      </c>
      <c r="M212" s="465"/>
      <c r="N212" s="465"/>
    </row>
    <row r="213" spans="1:14" ht="18" customHeight="1" x14ac:dyDescent="0.25">
      <c r="A213" s="465"/>
      <c r="B213" s="465"/>
      <c r="C213" s="421" t="s">
        <v>55</v>
      </c>
      <c r="D213" s="449">
        <v>1</v>
      </c>
      <c r="E213" s="393" t="s">
        <v>13</v>
      </c>
      <c r="F213" s="390">
        <v>9.9600000000000009</v>
      </c>
      <c r="G213" s="437"/>
      <c r="H213" s="437"/>
      <c r="I213" s="393" t="s">
        <v>13</v>
      </c>
      <c r="J213" s="390">
        <v>3.05</v>
      </c>
      <c r="K213" s="390">
        <f t="shared" si="7"/>
        <v>30.38</v>
      </c>
      <c r="L213" s="389" t="s">
        <v>19</v>
      </c>
      <c r="M213" s="465"/>
      <c r="N213" s="465"/>
    </row>
    <row r="214" spans="1:14" ht="18" customHeight="1" x14ac:dyDescent="0.25">
      <c r="A214" s="465"/>
      <c r="B214" s="465"/>
      <c r="C214" s="421" t="s">
        <v>56</v>
      </c>
      <c r="D214" s="449">
        <v>2</v>
      </c>
      <c r="E214" s="393" t="s">
        <v>13</v>
      </c>
      <c r="F214" s="390">
        <v>8.25</v>
      </c>
      <c r="G214" s="437"/>
      <c r="H214" s="437"/>
      <c r="I214" s="393" t="s">
        <v>13</v>
      </c>
      <c r="J214" s="390">
        <v>3.05</v>
      </c>
      <c r="K214" s="390">
        <f t="shared" si="7"/>
        <v>50.33</v>
      </c>
      <c r="L214" s="389" t="s">
        <v>19</v>
      </c>
      <c r="M214" s="465"/>
      <c r="N214" s="465"/>
    </row>
    <row r="215" spans="1:14" ht="18" customHeight="1" x14ac:dyDescent="0.25">
      <c r="A215" s="465"/>
      <c r="B215" s="465"/>
      <c r="C215" s="421" t="s">
        <v>56</v>
      </c>
      <c r="D215" s="449">
        <v>2</v>
      </c>
      <c r="E215" s="393" t="s">
        <v>13</v>
      </c>
      <c r="F215" s="390">
        <v>5.2</v>
      </c>
      <c r="G215" s="437"/>
      <c r="H215" s="437"/>
      <c r="I215" s="393" t="s">
        <v>13</v>
      </c>
      <c r="J215" s="390">
        <v>3.05</v>
      </c>
      <c r="K215" s="390">
        <f t="shared" si="7"/>
        <v>31.72</v>
      </c>
      <c r="L215" s="389" t="s">
        <v>19</v>
      </c>
      <c r="M215" s="465"/>
      <c r="N215" s="465"/>
    </row>
    <row r="216" spans="1:14" ht="18" customHeight="1" x14ac:dyDescent="0.25">
      <c r="A216" s="465"/>
      <c r="B216" s="465"/>
      <c r="C216" s="421" t="s">
        <v>57</v>
      </c>
      <c r="D216" s="449">
        <v>2</v>
      </c>
      <c r="E216" s="393" t="s">
        <v>13</v>
      </c>
      <c r="F216" s="390">
        <v>4.0999999999999996</v>
      </c>
      <c r="G216" s="437"/>
      <c r="H216" s="437"/>
      <c r="I216" s="393" t="s">
        <v>13</v>
      </c>
      <c r="J216" s="390">
        <v>3.05</v>
      </c>
      <c r="K216" s="390">
        <f t="shared" si="7"/>
        <v>25.01</v>
      </c>
      <c r="L216" s="389" t="s">
        <v>19</v>
      </c>
      <c r="M216" s="465"/>
      <c r="N216" s="465"/>
    </row>
    <row r="217" spans="1:14" ht="18" customHeight="1" x14ac:dyDescent="0.25">
      <c r="A217" s="465"/>
      <c r="B217" s="465"/>
      <c r="C217" s="421" t="s">
        <v>57</v>
      </c>
      <c r="D217" s="449">
        <v>2</v>
      </c>
      <c r="E217" s="393" t="s">
        <v>13</v>
      </c>
      <c r="F217" s="390">
        <v>6.35</v>
      </c>
      <c r="G217" s="437"/>
      <c r="H217" s="437"/>
      <c r="I217" s="393" t="s">
        <v>13</v>
      </c>
      <c r="J217" s="390">
        <v>3.05</v>
      </c>
      <c r="K217" s="390">
        <f t="shared" si="7"/>
        <v>38.74</v>
      </c>
      <c r="L217" s="389" t="s">
        <v>19</v>
      </c>
      <c r="M217" s="465"/>
      <c r="N217" s="465"/>
    </row>
    <row r="218" spans="1:14" ht="18" customHeight="1" x14ac:dyDescent="0.25">
      <c r="A218" s="465"/>
      <c r="B218" s="465"/>
      <c r="C218" s="421" t="s">
        <v>58</v>
      </c>
      <c r="D218" s="449">
        <v>2</v>
      </c>
      <c r="E218" s="393" t="s">
        <v>13</v>
      </c>
      <c r="F218" s="390">
        <v>4.12</v>
      </c>
      <c r="G218" s="437"/>
      <c r="H218" s="437"/>
      <c r="I218" s="393" t="s">
        <v>13</v>
      </c>
      <c r="J218" s="390">
        <v>3.05</v>
      </c>
      <c r="K218" s="390">
        <f t="shared" si="7"/>
        <v>25.13</v>
      </c>
      <c r="L218" s="389" t="s">
        <v>19</v>
      </c>
      <c r="M218" s="465"/>
      <c r="N218" s="465"/>
    </row>
    <row r="219" spans="1:14" ht="18" customHeight="1" x14ac:dyDescent="0.25">
      <c r="A219" s="465"/>
      <c r="B219" s="465"/>
      <c r="C219" s="421" t="s">
        <v>58</v>
      </c>
      <c r="D219" s="449">
        <v>2</v>
      </c>
      <c r="E219" s="393" t="s">
        <v>13</v>
      </c>
      <c r="F219" s="390">
        <v>6.4</v>
      </c>
      <c r="G219" s="437"/>
      <c r="H219" s="437"/>
      <c r="I219" s="393" t="s">
        <v>13</v>
      </c>
      <c r="J219" s="390">
        <v>3.05</v>
      </c>
      <c r="K219" s="390">
        <f t="shared" si="7"/>
        <v>39.04</v>
      </c>
      <c r="L219" s="389" t="s">
        <v>19</v>
      </c>
      <c r="M219" s="465"/>
      <c r="N219" s="465"/>
    </row>
    <row r="220" spans="1:14" ht="18" customHeight="1" x14ac:dyDescent="0.25">
      <c r="A220" s="466"/>
      <c r="B220" s="466"/>
      <c r="C220" s="467" t="s">
        <v>15</v>
      </c>
      <c r="D220" s="462"/>
      <c r="E220" s="462"/>
      <c r="F220" s="462"/>
      <c r="G220" s="462"/>
      <c r="H220" s="462"/>
      <c r="I220" s="462"/>
      <c r="J220" s="463"/>
      <c r="K220" s="390">
        <f>ROUND(SUM(K202:K219), 2)</f>
        <v>559.9</v>
      </c>
      <c r="L220" s="389" t="s">
        <v>19</v>
      </c>
      <c r="M220" s="391">
        <v>154.44999999999999</v>
      </c>
      <c r="N220" s="392">
        <f>ROUND(K220*M220, 2)</f>
        <v>86476.56</v>
      </c>
    </row>
    <row r="221" spans="1:14" ht="79.95" customHeight="1" x14ac:dyDescent="0.25">
      <c r="A221" s="474">
        <v>13</v>
      </c>
      <c r="B221" s="468" t="s">
        <v>154</v>
      </c>
      <c r="C221" s="461" t="s">
        <v>155</v>
      </c>
      <c r="D221" s="462"/>
      <c r="E221" s="462"/>
      <c r="F221" s="462"/>
      <c r="G221" s="462"/>
      <c r="H221" s="462"/>
      <c r="I221" s="462"/>
      <c r="J221" s="462"/>
      <c r="K221" s="463"/>
      <c r="L221" s="382"/>
      <c r="M221" s="464"/>
      <c r="N221" s="464"/>
    </row>
    <row r="222" spans="1:14" ht="18" customHeight="1" x14ac:dyDescent="0.25">
      <c r="A222" s="465"/>
      <c r="B222" s="465"/>
      <c r="C222" s="421" t="s">
        <v>156</v>
      </c>
      <c r="D222" s="449">
        <v>2</v>
      </c>
      <c r="E222" s="437"/>
      <c r="F222" s="437"/>
      <c r="G222" s="437"/>
      <c r="H222" s="437"/>
      <c r="I222" s="437"/>
      <c r="J222" s="437"/>
      <c r="K222" s="393">
        <f>D222</f>
        <v>2</v>
      </c>
      <c r="L222" s="389" t="s">
        <v>157</v>
      </c>
      <c r="M222" s="465"/>
      <c r="N222" s="465"/>
    </row>
    <row r="223" spans="1:14" ht="18" customHeight="1" x14ac:dyDescent="0.25">
      <c r="A223" s="465"/>
      <c r="B223" s="465"/>
      <c r="C223" s="421" t="s">
        <v>158</v>
      </c>
      <c r="D223" s="449">
        <v>4</v>
      </c>
      <c r="E223" s="437"/>
      <c r="F223" s="437"/>
      <c r="G223" s="437"/>
      <c r="H223" s="437"/>
      <c r="I223" s="437"/>
      <c r="J223" s="437"/>
      <c r="K223" s="393">
        <f>D223</f>
        <v>4</v>
      </c>
      <c r="L223" s="389" t="s">
        <v>157</v>
      </c>
      <c r="M223" s="465"/>
      <c r="N223" s="465"/>
    </row>
    <row r="224" spans="1:14" ht="18" customHeight="1" x14ac:dyDescent="0.25">
      <c r="A224" s="465"/>
      <c r="B224" s="465"/>
      <c r="C224" s="421" t="s">
        <v>159</v>
      </c>
      <c r="D224" s="449">
        <v>5</v>
      </c>
      <c r="E224" s="437"/>
      <c r="F224" s="437"/>
      <c r="G224" s="437"/>
      <c r="H224" s="437"/>
      <c r="I224" s="437"/>
      <c r="J224" s="437"/>
      <c r="K224" s="393">
        <f>D224</f>
        <v>5</v>
      </c>
      <c r="L224" s="389" t="s">
        <v>157</v>
      </c>
      <c r="M224" s="466"/>
      <c r="N224" s="466"/>
    </row>
    <row r="225" spans="1:14" ht="18" customHeight="1" x14ac:dyDescent="0.25">
      <c r="A225" s="466"/>
      <c r="B225" s="466"/>
      <c r="C225" s="467" t="s">
        <v>15</v>
      </c>
      <c r="D225" s="462"/>
      <c r="E225" s="462"/>
      <c r="F225" s="462"/>
      <c r="G225" s="462"/>
      <c r="H225" s="462"/>
      <c r="I225" s="462"/>
      <c r="J225" s="463"/>
      <c r="K225" s="390">
        <f>ROUND(SUM(K222:K224), 2)</f>
        <v>11</v>
      </c>
      <c r="L225" s="389" t="s">
        <v>157</v>
      </c>
      <c r="M225" s="391">
        <v>302.7</v>
      </c>
      <c r="N225" s="392">
        <f>ROUND(K225*M225, 2)</f>
        <v>3329.7</v>
      </c>
    </row>
    <row r="226" spans="1:14" ht="112.05" customHeight="1" x14ac:dyDescent="0.25">
      <c r="A226" s="474">
        <v>14</v>
      </c>
      <c r="B226" s="468" t="s">
        <v>160</v>
      </c>
      <c r="C226" s="461" t="s">
        <v>161</v>
      </c>
      <c r="D226" s="462"/>
      <c r="E226" s="462"/>
      <c r="F226" s="462"/>
      <c r="G226" s="462"/>
      <c r="H226" s="462"/>
      <c r="I226" s="462"/>
      <c r="J226" s="462"/>
      <c r="K226" s="463"/>
      <c r="L226" s="382"/>
      <c r="M226" s="464"/>
      <c r="N226" s="464"/>
    </row>
    <row r="227" spans="1:14" ht="18" customHeight="1" x14ac:dyDescent="0.25">
      <c r="A227" s="465"/>
      <c r="B227" s="465"/>
      <c r="C227" s="421" t="s">
        <v>162</v>
      </c>
      <c r="D227" s="449">
        <v>1</v>
      </c>
      <c r="E227" s="393" t="s">
        <v>13</v>
      </c>
      <c r="F227" s="390">
        <v>5.4</v>
      </c>
      <c r="G227" s="393" t="s">
        <v>13</v>
      </c>
      <c r="H227" s="390">
        <v>0.08</v>
      </c>
      <c r="I227" s="393" t="s">
        <v>13</v>
      </c>
      <c r="J227" s="390">
        <v>0.1</v>
      </c>
      <c r="K227" s="394">
        <f>D227*F227*H227*J227</f>
        <v>4.2999999999999997E-2</v>
      </c>
      <c r="L227" s="389" t="s">
        <v>163</v>
      </c>
      <c r="M227" s="465"/>
      <c r="N227" s="465"/>
    </row>
    <row r="228" spans="1:14" ht="18" customHeight="1" x14ac:dyDescent="0.25">
      <c r="A228" s="465"/>
      <c r="B228" s="465"/>
      <c r="C228" s="421" t="s">
        <v>164</v>
      </c>
      <c r="D228" s="449">
        <v>4</v>
      </c>
      <c r="E228" s="393" t="s">
        <v>13</v>
      </c>
      <c r="F228" s="390">
        <v>6.6</v>
      </c>
      <c r="G228" s="393" t="s">
        <v>13</v>
      </c>
      <c r="H228" s="390">
        <v>0.08</v>
      </c>
      <c r="I228" s="393" t="s">
        <v>13</v>
      </c>
      <c r="J228" s="390">
        <v>0.1</v>
      </c>
      <c r="K228" s="394">
        <f>D228*F228*H228*J228</f>
        <v>0.21099999999999999</v>
      </c>
      <c r="L228" s="389" t="s">
        <v>163</v>
      </c>
      <c r="M228" s="465"/>
      <c r="N228" s="465"/>
    </row>
    <row r="229" spans="1:14" ht="18" customHeight="1" x14ac:dyDescent="0.25">
      <c r="A229" s="465"/>
      <c r="B229" s="465"/>
      <c r="C229" s="421" t="s">
        <v>165</v>
      </c>
      <c r="D229" s="449">
        <v>5</v>
      </c>
      <c r="E229" s="393" t="s">
        <v>13</v>
      </c>
      <c r="F229" s="390">
        <v>2.7</v>
      </c>
      <c r="G229" s="393" t="s">
        <v>13</v>
      </c>
      <c r="H229" s="390">
        <v>0.08</v>
      </c>
      <c r="I229" s="393" t="s">
        <v>13</v>
      </c>
      <c r="J229" s="390">
        <v>0.1</v>
      </c>
      <c r="K229" s="394">
        <f>D229*F229*H229*J229</f>
        <v>0.108</v>
      </c>
      <c r="L229" s="389" t="s">
        <v>163</v>
      </c>
      <c r="M229" s="466"/>
      <c r="N229" s="466"/>
    </row>
    <row r="230" spans="1:14" ht="18" customHeight="1" x14ac:dyDescent="0.25">
      <c r="A230" s="466"/>
      <c r="B230" s="466"/>
      <c r="C230" s="467" t="s">
        <v>15</v>
      </c>
      <c r="D230" s="462"/>
      <c r="E230" s="462"/>
      <c r="F230" s="462"/>
      <c r="G230" s="462"/>
      <c r="H230" s="462"/>
      <c r="I230" s="462"/>
      <c r="J230" s="463"/>
      <c r="K230" s="390">
        <f>ROUND(SUM(K227:K229), 2)</f>
        <v>0.36</v>
      </c>
      <c r="L230" s="389" t="s">
        <v>163</v>
      </c>
      <c r="M230" s="391">
        <v>74199.7</v>
      </c>
      <c r="N230" s="392">
        <f>ROUND(K230*M230, 2)</f>
        <v>26711.89</v>
      </c>
    </row>
    <row r="231" spans="1:14" ht="120" customHeight="1" x14ac:dyDescent="0.25">
      <c r="A231" s="474">
        <v>15</v>
      </c>
      <c r="B231" s="468" t="s">
        <v>166</v>
      </c>
      <c r="C231" s="461" t="s">
        <v>167</v>
      </c>
      <c r="D231" s="462"/>
      <c r="E231" s="462"/>
      <c r="F231" s="462"/>
      <c r="G231" s="462"/>
      <c r="H231" s="462"/>
      <c r="I231" s="462"/>
      <c r="J231" s="462"/>
      <c r="K231" s="463"/>
      <c r="L231" s="382"/>
      <c r="M231" s="464"/>
      <c r="N231" s="464"/>
    </row>
    <row r="232" spans="1:14" ht="18" customHeight="1" x14ac:dyDescent="0.25">
      <c r="A232" s="465"/>
      <c r="B232" s="465"/>
      <c r="C232" s="421" t="s">
        <v>162</v>
      </c>
      <c r="D232" s="449">
        <v>1</v>
      </c>
      <c r="E232" s="393" t="s">
        <v>13</v>
      </c>
      <c r="F232" s="390">
        <v>1.2</v>
      </c>
      <c r="G232" s="437"/>
      <c r="H232" s="437"/>
      <c r="I232" s="393" t="s">
        <v>13</v>
      </c>
      <c r="J232" s="390">
        <v>2.1</v>
      </c>
      <c r="K232" s="390">
        <f>D232*F232*J232</f>
        <v>2.52</v>
      </c>
      <c r="L232" s="389" t="s">
        <v>67</v>
      </c>
      <c r="M232" s="465"/>
      <c r="N232" s="465"/>
    </row>
    <row r="233" spans="1:14" ht="18" customHeight="1" x14ac:dyDescent="0.25">
      <c r="A233" s="465"/>
      <c r="B233" s="465"/>
      <c r="C233" s="421" t="s">
        <v>164</v>
      </c>
      <c r="D233" s="449">
        <v>4</v>
      </c>
      <c r="E233" s="393" t="s">
        <v>13</v>
      </c>
      <c r="F233" s="390">
        <v>1.5</v>
      </c>
      <c r="G233" s="437"/>
      <c r="H233" s="437"/>
      <c r="I233" s="393" t="s">
        <v>13</v>
      </c>
      <c r="J233" s="390">
        <v>1.8</v>
      </c>
      <c r="K233" s="390">
        <f>D233*F233*J233</f>
        <v>10.8</v>
      </c>
      <c r="L233" s="389" t="s">
        <v>67</v>
      </c>
      <c r="M233" s="465"/>
      <c r="N233" s="465"/>
    </row>
    <row r="234" spans="1:14" ht="18" customHeight="1" x14ac:dyDescent="0.25">
      <c r="A234" s="465"/>
      <c r="B234" s="465"/>
      <c r="C234" s="421" t="s">
        <v>165</v>
      </c>
      <c r="D234" s="449">
        <v>5</v>
      </c>
      <c r="E234" s="393" t="s">
        <v>13</v>
      </c>
      <c r="F234" s="390">
        <v>1.5</v>
      </c>
      <c r="G234" s="437"/>
      <c r="H234" s="437"/>
      <c r="I234" s="393" t="s">
        <v>13</v>
      </c>
      <c r="J234" s="390">
        <v>0.45</v>
      </c>
      <c r="K234" s="390">
        <f>D234*F234*J234</f>
        <v>3.38</v>
      </c>
      <c r="L234" s="389" t="s">
        <v>67</v>
      </c>
      <c r="M234" s="466"/>
      <c r="N234" s="466"/>
    </row>
    <row r="235" spans="1:14" ht="18" customHeight="1" x14ac:dyDescent="0.25">
      <c r="A235" s="466"/>
      <c r="B235" s="466"/>
      <c r="C235" s="467" t="s">
        <v>15</v>
      </c>
      <c r="D235" s="462"/>
      <c r="E235" s="462"/>
      <c r="F235" s="462"/>
      <c r="G235" s="462"/>
      <c r="H235" s="462"/>
      <c r="I235" s="462"/>
      <c r="J235" s="463"/>
      <c r="K235" s="390">
        <f>ROUND(SUM(K232:K234), 2)</f>
        <v>16.7</v>
      </c>
      <c r="L235" s="389" t="s">
        <v>19</v>
      </c>
      <c r="M235" s="391">
        <v>2511.9499999999998</v>
      </c>
      <c r="N235" s="392">
        <f>ROUND(K235*M235, 2)</f>
        <v>41949.57</v>
      </c>
    </row>
    <row r="236" spans="1:14" ht="64.05" customHeight="1" x14ac:dyDescent="0.25">
      <c r="A236" s="474">
        <v>16</v>
      </c>
      <c r="B236" s="468" t="s">
        <v>168</v>
      </c>
      <c r="C236" s="461" t="s">
        <v>169</v>
      </c>
      <c r="D236" s="462"/>
      <c r="E236" s="462"/>
      <c r="F236" s="462"/>
      <c r="G236" s="462"/>
      <c r="H236" s="462"/>
      <c r="I236" s="462"/>
      <c r="J236" s="462"/>
      <c r="K236" s="463"/>
      <c r="L236" s="382"/>
      <c r="M236" s="464"/>
      <c r="N236" s="464"/>
    </row>
    <row r="237" spans="1:14" ht="18" customHeight="1" x14ac:dyDescent="0.25">
      <c r="A237" s="465"/>
      <c r="B237" s="465"/>
      <c r="C237" s="421" t="s">
        <v>170</v>
      </c>
      <c r="D237" s="449">
        <v>2</v>
      </c>
      <c r="E237" s="437"/>
      <c r="F237" s="437"/>
      <c r="G237" s="437"/>
      <c r="H237" s="437"/>
      <c r="I237" s="437"/>
      <c r="J237" s="437"/>
      <c r="K237" s="393">
        <f>D237</f>
        <v>2</v>
      </c>
      <c r="L237" s="389" t="s">
        <v>171</v>
      </c>
      <c r="M237" s="466"/>
      <c r="N237" s="466"/>
    </row>
    <row r="238" spans="1:14" ht="18" customHeight="1" x14ac:dyDescent="0.25">
      <c r="A238" s="466"/>
      <c r="B238" s="466"/>
      <c r="C238" s="467" t="s">
        <v>15</v>
      </c>
      <c r="D238" s="462"/>
      <c r="E238" s="462"/>
      <c r="F238" s="462"/>
      <c r="G238" s="462"/>
      <c r="H238" s="462"/>
      <c r="I238" s="462"/>
      <c r="J238" s="463"/>
      <c r="K238" s="390">
        <f>ROUND(SUM(K237:K237), 2)</f>
        <v>2</v>
      </c>
      <c r="L238" s="389" t="s">
        <v>171</v>
      </c>
      <c r="M238" s="391">
        <v>185.95</v>
      </c>
      <c r="N238" s="392">
        <f>ROUND(K238*M238, 2)</f>
        <v>371.9</v>
      </c>
    </row>
    <row r="239" spans="1:14" ht="120" customHeight="1" x14ac:dyDescent="0.25">
      <c r="A239" s="474">
        <v>17</v>
      </c>
      <c r="B239" s="468" t="s">
        <v>172</v>
      </c>
      <c r="C239" s="461" t="s">
        <v>173</v>
      </c>
      <c r="D239" s="462"/>
      <c r="E239" s="462"/>
      <c r="F239" s="462"/>
      <c r="G239" s="462"/>
      <c r="H239" s="462"/>
      <c r="I239" s="462"/>
      <c r="J239" s="462"/>
      <c r="K239" s="463"/>
      <c r="L239" s="382"/>
      <c r="M239" s="464"/>
      <c r="N239" s="464"/>
    </row>
    <row r="240" spans="1:14" ht="18" customHeight="1" x14ac:dyDescent="0.25">
      <c r="A240" s="465"/>
      <c r="B240" s="465"/>
      <c r="C240" s="421" t="s">
        <v>174</v>
      </c>
      <c r="D240" s="449">
        <v>1</v>
      </c>
      <c r="E240" s="437"/>
      <c r="F240" s="390">
        <v>10.5</v>
      </c>
      <c r="G240" s="437"/>
      <c r="H240" s="437"/>
      <c r="I240" s="437"/>
      <c r="J240" s="437"/>
      <c r="K240" s="390">
        <f>D240*F240</f>
        <v>10.5</v>
      </c>
      <c r="L240" s="389" t="s">
        <v>175</v>
      </c>
      <c r="M240" s="466"/>
      <c r="N240" s="466"/>
    </row>
    <row r="241" spans="1:14" ht="18" customHeight="1" x14ac:dyDescent="0.25">
      <c r="A241" s="466"/>
      <c r="B241" s="466"/>
      <c r="C241" s="467" t="s">
        <v>15</v>
      </c>
      <c r="D241" s="462"/>
      <c r="E241" s="462"/>
      <c r="F241" s="462"/>
      <c r="G241" s="462"/>
      <c r="H241" s="462"/>
      <c r="I241" s="462"/>
      <c r="J241" s="463"/>
      <c r="K241" s="390">
        <f>ROUND(SUM(K240:K240), 2)</f>
        <v>10.5</v>
      </c>
      <c r="L241" s="389" t="s">
        <v>175</v>
      </c>
      <c r="M241" s="391">
        <v>444.5</v>
      </c>
      <c r="N241" s="392">
        <f>ROUND(K241*M241, 2)</f>
        <v>4667.25</v>
      </c>
    </row>
    <row r="242" spans="1:14" ht="120" customHeight="1" x14ac:dyDescent="0.25">
      <c r="A242" s="474">
        <v>18</v>
      </c>
      <c r="B242" s="468" t="s">
        <v>176</v>
      </c>
      <c r="C242" s="461" t="s">
        <v>177</v>
      </c>
      <c r="D242" s="462"/>
      <c r="E242" s="462"/>
      <c r="F242" s="462"/>
      <c r="G242" s="462"/>
      <c r="H242" s="462"/>
      <c r="I242" s="462"/>
      <c r="J242" s="462"/>
      <c r="K242" s="463"/>
      <c r="L242" s="382"/>
      <c r="M242" s="464"/>
      <c r="N242" s="464"/>
    </row>
    <row r="243" spans="1:14" ht="18" customHeight="1" x14ac:dyDescent="0.25">
      <c r="A243" s="465"/>
      <c r="B243" s="465"/>
      <c r="C243" s="421" t="s">
        <v>178</v>
      </c>
      <c r="D243" s="449">
        <v>2</v>
      </c>
      <c r="E243" s="393" t="s">
        <v>13</v>
      </c>
      <c r="F243" s="390">
        <v>2.1</v>
      </c>
      <c r="G243" s="437"/>
      <c r="H243" s="437"/>
      <c r="I243" s="393" t="s">
        <v>13</v>
      </c>
      <c r="J243" s="390">
        <v>1</v>
      </c>
      <c r="K243" s="390">
        <f>D243*F243*J243</f>
        <v>4.2</v>
      </c>
      <c r="L243" s="389" t="s">
        <v>19</v>
      </c>
      <c r="M243" s="466"/>
      <c r="N243" s="466"/>
    </row>
    <row r="244" spans="1:14" ht="18" customHeight="1" x14ac:dyDescent="0.25">
      <c r="A244" s="466"/>
      <c r="B244" s="466"/>
      <c r="C244" s="467" t="s">
        <v>15</v>
      </c>
      <c r="D244" s="462"/>
      <c r="E244" s="462"/>
      <c r="F244" s="462"/>
      <c r="G244" s="462"/>
      <c r="H244" s="462"/>
      <c r="I244" s="462"/>
      <c r="J244" s="463"/>
      <c r="K244" s="390">
        <f>ROUND(SUM(K243:K243), 2)</f>
        <v>4.2</v>
      </c>
      <c r="L244" s="389" t="s">
        <v>19</v>
      </c>
      <c r="M244" s="391">
        <v>3086.1</v>
      </c>
      <c r="N244" s="392">
        <f>ROUND(K244*M244, 2)</f>
        <v>12961.62</v>
      </c>
    </row>
    <row r="245" spans="1:14" ht="64.05" customHeight="1" x14ac:dyDescent="0.25">
      <c r="A245" s="474">
        <v>19</v>
      </c>
      <c r="B245" s="468" t="s">
        <v>179</v>
      </c>
      <c r="C245" s="461" t="s">
        <v>180</v>
      </c>
      <c r="D245" s="462"/>
      <c r="E245" s="462"/>
      <c r="F245" s="462"/>
      <c r="G245" s="462"/>
      <c r="H245" s="462"/>
      <c r="I245" s="462"/>
      <c r="J245" s="462"/>
      <c r="K245" s="463"/>
      <c r="L245" s="382"/>
      <c r="M245" s="464"/>
      <c r="N245" s="464"/>
    </row>
    <row r="246" spans="1:14" ht="18" customHeight="1" x14ac:dyDescent="0.25">
      <c r="A246" s="465"/>
      <c r="B246" s="465"/>
      <c r="C246" s="421" t="s">
        <v>181</v>
      </c>
      <c r="D246" s="449">
        <v>4</v>
      </c>
      <c r="E246" s="437"/>
      <c r="F246" s="437"/>
      <c r="G246" s="437"/>
      <c r="H246" s="437"/>
      <c r="I246" s="437"/>
      <c r="J246" s="437"/>
      <c r="K246" s="393">
        <f>D246</f>
        <v>4</v>
      </c>
      <c r="L246" s="389" t="s">
        <v>171</v>
      </c>
      <c r="M246" s="466"/>
      <c r="N246" s="466"/>
    </row>
    <row r="247" spans="1:14" ht="18" customHeight="1" x14ac:dyDescent="0.25">
      <c r="A247" s="466"/>
      <c r="B247" s="466"/>
      <c r="C247" s="467" t="s">
        <v>15</v>
      </c>
      <c r="D247" s="462"/>
      <c r="E247" s="462"/>
      <c r="F247" s="462"/>
      <c r="G247" s="462"/>
      <c r="H247" s="462"/>
      <c r="I247" s="462"/>
      <c r="J247" s="463"/>
      <c r="K247" s="390">
        <f>ROUND(SUM(K246:K246), 2)</f>
        <v>4</v>
      </c>
      <c r="L247" s="389" t="s">
        <v>171</v>
      </c>
      <c r="M247" s="391">
        <v>260.3</v>
      </c>
      <c r="N247" s="392">
        <f>ROUND(K247*M247, 2)</f>
        <v>1041.2</v>
      </c>
    </row>
    <row r="248" spans="1:14" ht="79.95" customHeight="1" x14ac:dyDescent="0.25">
      <c r="A248" s="474">
        <v>20</v>
      </c>
      <c r="B248" s="468" t="s">
        <v>182</v>
      </c>
      <c r="C248" s="461" t="s">
        <v>183</v>
      </c>
      <c r="D248" s="462"/>
      <c r="E248" s="462"/>
      <c r="F248" s="462"/>
      <c r="G248" s="462"/>
      <c r="H248" s="462"/>
      <c r="I248" s="462"/>
      <c r="J248" s="462"/>
      <c r="K248" s="463"/>
      <c r="L248" s="382"/>
      <c r="M248" s="464"/>
      <c r="N248" s="464"/>
    </row>
    <row r="249" spans="1:14" ht="18" customHeight="1" x14ac:dyDescent="0.25">
      <c r="A249" s="465"/>
      <c r="B249" s="465"/>
      <c r="C249" s="421" t="s">
        <v>184</v>
      </c>
      <c r="D249" s="449">
        <v>2</v>
      </c>
      <c r="E249" s="437"/>
      <c r="F249" s="437"/>
      <c r="G249" s="437"/>
      <c r="H249" s="437"/>
      <c r="I249" s="437"/>
      <c r="J249" s="437"/>
      <c r="K249" s="393">
        <f>D249</f>
        <v>2</v>
      </c>
      <c r="L249" s="389" t="s">
        <v>171</v>
      </c>
      <c r="M249" s="466"/>
      <c r="N249" s="466"/>
    </row>
    <row r="250" spans="1:14" ht="18" customHeight="1" x14ac:dyDescent="0.25">
      <c r="A250" s="466"/>
      <c r="B250" s="466"/>
      <c r="C250" s="467" t="s">
        <v>15</v>
      </c>
      <c r="D250" s="462"/>
      <c r="E250" s="462"/>
      <c r="F250" s="462"/>
      <c r="G250" s="462"/>
      <c r="H250" s="462"/>
      <c r="I250" s="462"/>
      <c r="J250" s="463"/>
      <c r="K250" s="390">
        <f>ROUND(SUM(K249:K249), 2)</f>
        <v>2</v>
      </c>
      <c r="L250" s="389" t="s">
        <v>171</v>
      </c>
      <c r="M250" s="391">
        <v>117.65</v>
      </c>
      <c r="N250" s="392">
        <f>ROUND(K250*M250, 2)</f>
        <v>235.3</v>
      </c>
    </row>
    <row r="251" spans="1:14" ht="79.95" customHeight="1" x14ac:dyDescent="0.25">
      <c r="A251" s="474">
        <v>21</v>
      </c>
      <c r="B251" s="468" t="s">
        <v>160</v>
      </c>
      <c r="C251" s="461" t="s">
        <v>185</v>
      </c>
      <c r="D251" s="462"/>
      <c r="E251" s="462"/>
      <c r="F251" s="462"/>
      <c r="G251" s="462"/>
      <c r="H251" s="462"/>
      <c r="I251" s="462"/>
      <c r="J251" s="462"/>
      <c r="K251" s="463"/>
      <c r="L251" s="382"/>
      <c r="M251" s="464"/>
      <c r="N251" s="464"/>
    </row>
    <row r="252" spans="1:14" ht="18" customHeight="1" x14ac:dyDescent="0.25">
      <c r="A252" s="465"/>
      <c r="B252" s="465"/>
      <c r="C252" s="421" t="s">
        <v>186</v>
      </c>
      <c r="D252" s="449">
        <v>2</v>
      </c>
      <c r="E252" s="437"/>
      <c r="F252" s="437"/>
      <c r="G252" s="437"/>
      <c r="H252" s="437"/>
      <c r="I252" s="437"/>
      <c r="J252" s="437"/>
      <c r="K252" s="393">
        <f>D252</f>
        <v>2</v>
      </c>
      <c r="L252" s="389" t="s">
        <v>171</v>
      </c>
      <c r="M252" s="466"/>
      <c r="N252" s="466"/>
    </row>
    <row r="253" spans="1:14" ht="18" customHeight="1" x14ac:dyDescent="0.25">
      <c r="A253" s="466"/>
      <c r="B253" s="466"/>
      <c r="C253" s="467" t="s">
        <v>15</v>
      </c>
      <c r="D253" s="462"/>
      <c r="E253" s="462"/>
      <c r="F253" s="462"/>
      <c r="G253" s="462"/>
      <c r="H253" s="462"/>
      <c r="I253" s="462"/>
      <c r="J253" s="463"/>
      <c r="K253" s="390">
        <f>ROUND(SUM(K252:K252), 2)</f>
        <v>2</v>
      </c>
      <c r="L253" s="389" t="s">
        <v>171</v>
      </c>
      <c r="M253" s="391">
        <v>60.05</v>
      </c>
      <c r="N253" s="392">
        <f>ROUND(K253*M253, 2)</f>
        <v>120.1</v>
      </c>
    </row>
    <row r="254" spans="1:14" ht="120" customHeight="1" x14ac:dyDescent="0.25">
      <c r="A254" s="474">
        <v>22</v>
      </c>
      <c r="B254" s="468" t="s">
        <v>187</v>
      </c>
      <c r="C254" s="461" t="s">
        <v>188</v>
      </c>
      <c r="D254" s="462"/>
      <c r="E254" s="462"/>
      <c r="F254" s="462"/>
      <c r="G254" s="462"/>
      <c r="H254" s="462"/>
      <c r="I254" s="462"/>
      <c r="J254" s="462"/>
      <c r="K254" s="463"/>
      <c r="L254" s="382"/>
      <c r="M254" s="464"/>
      <c r="N254" s="464"/>
    </row>
    <row r="255" spans="1:14" ht="18" customHeight="1" x14ac:dyDescent="0.25">
      <c r="A255" s="465"/>
      <c r="B255" s="465"/>
      <c r="C255" s="421" t="s">
        <v>189</v>
      </c>
      <c r="D255" s="449">
        <v>8</v>
      </c>
      <c r="E255" s="393" t="s">
        <v>13</v>
      </c>
      <c r="F255" s="390">
        <v>4.95</v>
      </c>
      <c r="G255" s="437"/>
      <c r="H255" s="437"/>
      <c r="I255" s="437"/>
      <c r="J255" s="437"/>
      <c r="K255" s="390">
        <f>D255*F255</f>
        <v>39.6</v>
      </c>
      <c r="L255" s="389" t="s">
        <v>190</v>
      </c>
      <c r="M255" s="465"/>
      <c r="N255" s="465"/>
    </row>
    <row r="256" spans="1:14" ht="18" customHeight="1" x14ac:dyDescent="0.25">
      <c r="A256" s="465"/>
      <c r="B256" s="465"/>
      <c r="C256" s="421" t="s">
        <v>191</v>
      </c>
      <c r="D256" s="449">
        <v>4</v>
      </c>
      <c r="E256" s="393" t="s">
        <v>13</v>
      </c>
      <c r="F256" s="390">
        <v>4.95</v>
      </c>
      <c r="G256" s="437"/>
      <c r="H256" s="437"/>
      <c r="I256" s="437"/>
      <c r="J256" s="437"/>
      <c r="K256" s="390">
        <f>D256*F256</f>
        <v>19.8</v>
      </c>
      <c r="L256" s="389" t="s">
        <v>190</v>
      </c>
      <c r="M256" s="465"/>
      <c r="N256" s="465"/>
    </row>
    <row r="257" spans="1:14" ht="18" customHeight="1" x14ac:dyDescent="0.25">
      <c r="A257" s="465"/>
      <c r="B257" s="465"/>
      <c r="C257" s="421" t="s">
        <v>192</v>
      </c>
      <c r="D257" s="449">
        <v>2</v>
      </c>
      <c r="E257" s="393" t="s">
        <v>13</v>
      </c>
      <c r="F257" s="390">
        <v>4.95</v>
      </c>
      <c r="G257" s="437"/>
      <c r="H257" s="437"/>
      <c r="I257" s="437"/>
      <c r="J257" s="437"/>
      <c r="K257" s="390">
        <f>D257*F257</f>
        <v>9.9</v>
      </c>
      <c r="L257" s="389" t="s">
        <v>190</v>
      </c>
      <c r="M257" s="466"/>
      <c r="N257" s="466"/>
    </row>
    <row r="258" spans="1:14" ht="18" customHeight="1" x14ac:dyDescent="0.25">
      <c r="A258" s="466"/>
      <c r="B258" s="466"/>
      <c r="C258" s="467" t="s">
        <v>15</v>
      </c>
      <c r="D258" s="462"/>
      <c r="E258" s="462"/>
      <c r="F258" s="462"/>
      <c r="G258" s="462"/>
      <c r="H258" s="462"/>
      <c r="I258" s="462"/>
      <c r="J258" s="463"/>
      <c r="K258" s="390">
        <f>ROUND(SUM(K255:K257), 2)</f>
        <v>69.3</v>
      </c>
      <c r="L258" s="389" t="s">
        <v>190</v>
      </c>
      <c r="M258" s="391">
        <v>408.25</v>
      </c>
      <c r="N258" s="392">
        <f>ROUND(K258*M258, 2)</f>
        <v>28291.73</v>
      </c>
    </row>
    <row r="259" spans="1:14" ht="120" customHeight="1" x14ac:dyDescent="0.25">
      <c r="A259" s="474">
        <v>23</v>
      </c>
      <c r="B259" s="468" t="s">
        <v>193</v>
      </c>
      <c r="C259" s="461" t="s">
        <v>194</v>
      </c>
      <c r="D259" s="462"/>
      <c r="E259" s="462"/>
      <c r="F259" s="462"/>
      <c r="G259" s="462"/>
      <c r="H259" s="462"/>
      <c r="I259" s="462"/>
      <c r="J259" s="462"/>
      <c r="K259" s="463"/>
      <c r="L259" s="382"/>
      <c r="M259" s="464"/>
      <c r="N259" s="464"/>
    </row>
    <row r="260" spans="1:14" ht="18" customHeight="1" x14ac:dyDescent="0.25">
      <c r="A260" s="465"/>
      <c r="B260" s="465"/>
      <c r="C260" s="421" t="s">
        <v>189</v>
      </c>
      <c r="D260" s="449">
        <v>8</v>
      </c>
      <c r="E260" s="393" t="s">
        <v>13</v>
      </c>
      <c r="F260" s="390">
        <v>2.1</v>
      </c>
      <c r="G260" s="437"/>
      <c r="H260" s="437"/>
      <c r="I260" s="393" t="s">
        <v>13</v>
      </c>
      <c r="J260" s="390">
        <v>0.75</v>
      </c>
      <c r="K260" s="390">
        <f>D260*F260*J260</f>
        <v>12.6</v>
      </c>
      <c r="L260" s="389" t="s">
        <v>19</v>
      </c>
      <c r="M260" s="465"/>
      <c r="N260" s="465"/>
    </row>
    <row r="261" spans="1:14" ht="18" customHeight="1" x14ac:dyDescent="0.25">
      <c r="A261" s="465"/>
      <c r="B261" s="465"/>
      <c r="C261" s="421" t="s">
        <v>191</v>
      </c>
      <c r="D261" s="449">
        <v>4</v>
      </c>
      <c r="E261" s="393" t="s">
        <v>13</v>
      </c>
      <c r="F261" s="390">
        <v>2.1</v>
      </c>
      <c r="G261" s="437"/>
      <c r="H261" s="437"/>
      <c r="I261" s="393" t="s">
        <v>13</v>
      </c>
      <c r="J261" s="390">
        <v>0.75</v>
      </c>
      <c r="K261" s="390">
        <f>D261*F261*J261</f>
        <v>6.3</v>
      </c>
      <c r="L261" s="389" t="s">
        <v>19</v>
      </c>
      <c r="M261" s="465"/>
      <c r="N261" s="465"/>
    </row>
    <row r="262" spans="1:14" ht="18" customHeight="1" x14ac:dyDescent="0.25">
      <c r="A262" s="465"/>
      <c r="B262" s="465"/>
      <c r="C262" s="421" t="s">
        <v>192</v>
      </c>
      <c r="D262" s="449">
        <v>2</v>
      </c>
      <c r="E262" s="393" t="s">
        <v>13</v>
      </c>
      <c r="F262" s="390">
        <v>2.1</v>
      </c>
      <c r="G262" s="437"/>
      <c r="H262" s="437"/>
      <c r="I262" s="393" t="s">
        <v>13</v>
      </c>
      <c r="J262" s="390">
        <v>0.75</v>
      </c>
      <c r="K262" s="390">
        <f>D262*F262*J262</f>
        <v>3.15</v>
      </c>
      <c r="L262" s="389" t="s">
        <v>19</v>
      </c>
      <c r="M262" s="466"/>
      <c r="N262" s="466"/>
    </row>
    <row r="263" spans="1:14" ht="18" customHeight="1" x14ac:dyDescent="0.25">
      <c r="A263" s="466"/>
      <c r="B263" s="466"/>
      <c r="C263" s="467" t="s">
        <v>15</v>
      </c>
      <c r="D263" s="462"/>
      <c r="E263" s="462"/>
      <c r="F263" s="462"/>
      <c r="G263" s="462"/>
      <c r="H263" s="462"/>
      <c r="I263" s="462"/>
      <c r="J263" s="463"/>
      <c r="K263" s="390">
        <f>ROUND(SUM(K260:K262), 2)</f>
        <v>22.05</v>
      </c>
      <c r="L263" s="389" t="s">
        <v>19</v>
      </c>
      <c r="M263" s="391">
        <v>2455.1</v>
      </c>
      <c r="N263" s="392">
        <f>ROUND(K263*M263, 2)</f>
        <v>54134.96</v>
      </c>
    </row>
    <row r="264" spans="1:14" ht="112.05" customHeight="1" x14ac:dyDescent="0.25">
      <c r="A264" s="474">
        <v>24</v>
      </c>
      <c r="B264" s="468" t="s">
        <v>195</v>
      </c>
      <c r="C264" s="461" t="s">
        <v>196</v>
      </c>
      <c r="D264" s="462"/>
      <c r="E264" s="462"/>
      <c r="F264" s="462"/>
      <c r="G264" s="462"/>
      <c r="H264" s="462"/>
      <c r="I264" s="462"/>
      <c r="J264" s="462"/>
      <c r="K264" s="463"/>
      <c r="L264" s="382"/>
      <c r="M264" s="464"/>
      <c r="N264" s="464"/>
    </row>
    <row r="265" spans="1:14" ht="18" customHeight="1" x14ac:dyDescent="0.25">
      <c r="A265" s="465"/>
      <c r="B265" s="465"/>
      <c r="C265" s="421" t="s">
        <v>197</v>
      </c>
      <c r="D265" s="449">
        <v>10</v>
      </c>
      <c r="E265" s="393" t="s">
        <v>13</v>
      </c>
      <c r="F265" s="390">
        <v>2.6</v>
      </c>
      <c r="G265" s="393" t="s">
        <v>13</v>
      </c>
      <c r="H265" s="390">
        <v>5.62</v>
      </c>
      <c r="I265" s="437"/>
      <c r="J265" s="437"/>
      <c r="K265" s="390">
        <f>D265*F265*H265</f>
        <v>146.12</v>
      </c>
      <c r="L265" s="389" t="s">
        <v>198</v>
      </c>
      <c r="M265" s="465"/>
      <c r="N265" s="465"/>
    </row>
    <row r="266" spans="1:14" ht="18" customHeight="1" x14ac:dyDescent="0.25">
      <c r="A266" s="465"/>
      <c r="B266" s="465"/>
      <c r="C266" s="421" t="s">
        <v>199</v>
      </c>
      <c r="D266" s="449">
        <v>3</v>
      </c>
      <c r="E266" s="393" t="s">
        <v>13</v>
      </c>
      <c r="F266" s="390">
        <v>8</v>
      </c>
      <c r="G266" s="393" t="s">
        <v>13</v>
      </c>
      <c r="H266" s="390">
        <v>5.62</v>
      </c>
      <c r="I266" s="437"/>
      <c r="J266" s="437"/>
      <c r="K266" s="390">
        <f>D266*F266*H266</f>
        <v>134.88</v>
      </c>
      <c r="L266" s="389" t="s">
        <v>198</v>
      </c>
      <c r="M266" s="466"/>
      <c r="N266" s="466"/>
    </row>
    <row r="267" spans="1:14" ht="18" customHeight="1" x14ac:dyDescent="0.25">
      <c r="A267" s="466"/>
      <c r="B267" s="466"/>
      <c r="C267" s="467" t="s">
        <v>15</v>
      </c>
      <c r="D267" s="462"/>
      <c r="E267" s="462"/>
      <c r="F267" s="462"/>
      <c r="G267" s="462"/>
      <c r="H267" s="462"/>
      <c r="I267" s="462"/>
      <c r="J267" s="463"/>
      <c r="K267" s="390">
        <f>ROUND(SUM(K265:K266), 2)</f>
        <v>281</v>
      </c>
      <c r="L267" s="389" t="s">
        <v>198</v>
      </c>
      <c r="M267" s="391">
        <v>168.95</v>
      </c>
      <c r="N267" s="392">
        <f>ROUND(K267*M267, 2)</f>
        <v>47474.95</v>
      </c>
    </row>
    <row r="268" spans="1:14" ht="120" customHeight="1" x14ac:dyDescent="0.25">
      <c r="A268" s="474">
        <v>25</v>
      </c>
      <c r="B268" s="468" t="s">
        <v>200</v>
      </c>
      <c r="C268" s="461" t="s">
        <v>201</v>
      </c>
      <c r="D268" s="462"/>
      <c r="E268" s="462"/>
      <c r="F268" s="462"/>
      <c r="G268" s="462"/>
      <c r="H268" s="462"/>
      <c r="I268" s="462"/>
      <c r="J268" s="462"/>
      <c r="K268" s="463"/>
      <c r="L268" s="382"/>
      <c r="M268" s="464"/>
      <c r="N268" s="464"/>
    </row>
    <row r="269" spans="1:14" ht="18" customHeight="1" x14ac:dyDescent="0.25">
      <c r="A269" s="465"/>
      <c r="B269" s="465"/>
      <c r="C269" s="421" t="s">
        <v>202</v>
      </c>
      <c r="D269" s="449">
        <v>1</v>
      </c>
      <c r="E269" s="393" t="s">
        <v>13</v>
      </c>
      <c r="F269" s="390">
        <v>8</v>
      </c>
      <c r="G269" s="437"/>
      <c r="H269" s="437"/>
      <c r="I269" s="393" t="s">
        <v>13</v>
      </c>
      <c r="J269" s="390">
        <v>3</v>
      </c>
      <c r="K269" s="390">
        <f>D269*F269*J269</f>
        <v>24</v>
      </c>
      <c r="L269" s="389" t="s">
        <v>67</v>
      </c>
      <c r="M269" s="465"/>
      <c r="N269" s="465"/>
    </row>
    <row r="270" spans="1:14" ht="18" customHeight="1" x14ac:dyDescent="0.25">
      <c r="A270" s="465"/>
      <c r="B270" s="465"/>
      <c r="C270" s="421" t="s">
        <v>203</v>
      </c>
      <c r="D270" s="449">
        <v>2</v>
      </c>
      <c r="E270" s="393" t="s">
        <v>13</v>
      </c>
      <c r="F270" s="390">
        <v>20.5</v>
      </c>
      <c r="G270" s="437"/>
      <c r="H270" s="437"/>
      <c r="I270" s="393" t="s">
        <v>13</v>
      </c>
      <c r="J270" s="390">
        <v>5.2</v>
      </c>
      <c r="K270" s="390">
        <f>D270*F270*J270</f>
        <v>213.2</v>
      </c>
      <c r="L270" s="389" t="s">
        <v>67</v>
      </c>
      <c r="M270" s="466"/>
      <c r="N270" s="466"/>
    </row>
    <row r="271" spans="1:14" ht="18" customHeight="1" x14ac:dyDescent="0.25">
      <c r="A271" s="466"/>
      <c r="B271" s="466"/>
      <c r="C271" s="467" t="s">
        <v>15</v>
      </c>
      <c r="D271" s="462"/>
      <c r="E271" s="462"/>
      <c r="F271" s="462"/>
      <c r="G271" s="462"/>
      <c r="H271" s="462"/>
      <c r="I271" s="462"/>
      <c r="J271" s="463"/>
      <c r="K271" s="390">
        <f>ROUND(SUM(K269:K270), 2)</f>
        <v>237.2</v>
      </c>
      <c r="L271" s="389" t="s">
        <v>67</v>
      </c>
      <c r="M271" s="391">
        <v>671.55</v>
      </c>
      <c r="N271" s="392">
        <f>ROUND(K271*M271, 2)</f>
        <v>159291.66</v>
      </c>
    </row>
    <row r="272" spans="1:14" ht="79.95" customHeight="1" x14ac:dyDescent="0.25">
      <c r="A272" s="474">
        <v>26</v>
      </c>
      <c r="B272" s="468" t="s">
        <v>204</v>
      </c>
      <c r="C272" s="461" t="s">
        <v>205</v>
      </c>
      <c r="D272" s="462"/>
      <c r="E272" s="462"/>
      <c r="F272" s="462"/>
      <c r="G272" s="462"/>
      <c r="H272" s="462"/>
      <c r="I272" s="462"/>
      <c r="J272" s="462"/>
      <c r="K272" s="463"/>
      <c r="L272" s="382"/>
      <c r="M272" s="464"/>
      <c r="N272" s="464"/>
    </row>
    <row r="273" spans="1:14" ht="18" customHeight="1" x14ac:dyDescent="0.25">
      <c r="A273" s="465"/>
      <c r="B273" s="465"/>
      <c r="C273" s="421" t="s">
        <v>202</v>
      </c>
      <c r="D273" s="449">
        <v>1</v>
      </c>
      <c r="E273" s="437"/>
      <c r="F273" s="390">
        <v>20.5</v>
      </c>
      <c r="G273" s="437"/>
      <c r="H273" s="437"/>
      <c r="I273" s="437"/>
      <c r="J273" s="437"/>
      <c r="K273" s="390">
        <f>D273*F273</f>
        <v>20.5</v>
      </c>
      <c r="L273" s="389" t="s">
        <v>175</v>
      </c>
      <c r="M273" s="466"/>
      <c r="N273" s="466"/>
    </row>
    <row r="274" spans="1:14" ht="18" customHeight="1" x14ac:dyDescent="0.25">
      <c r="A274" s="466"/>
      <c r="B274" s="466"/>
      <c r="C274" s="467" t="s">
        <v>15</v>
      </c>
      <c r="D274" s="462"/>
      <c r="E274" s="462"/>
      <c r="F274" s="462"/>
      <c r="G274" s="462"/>
      <c r="H274" s="462"/>
      <c r="I274" s="462"/>
      <c r="J274" s="463"/>
      <c r="K274" s="390">
        <f>ROUND(SUM(K273:K273), 2)</f>
        <v>20.5</v>
      </c>
      <c r="L274" s="389" t="s">
        <v>175</v>
      </c>
      <c r="M274" s="391">
        <v>750.85</v>
      </c>
      <c r="N274" s="392">
        <f>ROUND(K274*M274, 2)</f>
        <v>15392.43</v>
      </c>
    </row>
    <row r="275" spans="1:14" ht="133.80000000000001" customHeight="1" x14ac:dyDescent="0.25">
      <c r="A275" s="474">
        <v>27</v>
      </c>
      <c r="B275" s="468" t="s">
        <v>206</v>
      </c>
      <c r="C275" s="461" t="s">
        <v>207</v>
      </c>
      <c r="D275" s="462"/>
      <c r="E275" s="462"/>
      <c r="F275" s="462"/>
      <c r="G275" s="462"/>
      <c r="H275" s="462"/>
      <c r="I275" s="462"/>
      <c r="J275" s="462"/>
      <c r="K275" s="463"/>
      <c r="L275" s="382"/>
      <c r="M275" s="464"/>
      <c r="N275" s="464"/>
    </row>
    <row r="276" spans="1:14" ht="18" customHeight="1" x14ac:dyDescent="0.25">
      <c r="A276" s="465"/>
      <c r="B276" s="465"/>
      <c r="C276" s="421" t="s">
        <v>51</v>
      </c>
      <c r="D276" s="449">
        <v>1</v>
      </c>
      <c r="E276" s="393" t="s">
        <v>13</v>
      </c>
      <c r="F276" s="390">
        <v>6</v>
      </c>
      <c r="G276" s="437"/>
      <c r="H276" s="437"/>
      <c r="I276" s="393" t="s">
        <v>13</v>
      </c>
      <c r="J276" s="390">
        <v>3.6</v>
      </c>
      <c r="K276" s="390">
        <f t="shared" ref="K276:K281" si="8">D276*F276*J276</f>
        <v>21.6</v>
      </c>
      <c r="L276" s="389" t="s">
        <v>19</v>
      </c>
      <c r="M276" s="465"/>
      <c r="N276" s="465"/>
    </row>
    <row r="277" spans="1:14" ht="18" customHeight="1" x14ac:dyDescent="0.25">
      <c r="A277" s="465"/>
      <c r="B277" s="465"/>
      <c r="C277" s="421" t="s">
        <v>37</v>
      </c>
      <c r="D277" s="449">
        <v>1</v>
      </c>
      <c r="E277" s="393" t="s">
        <v>13</v>
      </c>
      <c r="F277" s="390">
        <v>3.6</v>
      </c>
      <c r="G277" s="437"/>
      <c r="H277" s="437"/>
      <c r="I277" s="393" t="s">
        <v>13</v>
      </c>
      <c r="J277" s="390">
        <v>2.95</v>
      </c>
      <c r="K277" s="390">
        <f t="shared" si="8"/>
        <v>10.62</v>
      </c>
      <c r="L277" s="389" t="s">
        <v>19</v>
      </c>
      <c r="M277" s="465"/>
      <c r="N277" s="465"/>
    </row>
    <row r="278" spans="1:14" ht="18" customHeight="1" x14ac:dyDescent="0.25">
      <c r="A278" s="465"/>
      <c r="B278" s="465"/>
      <c r="C278" s="421" t="s">
        <v>38</v>
      </c>
      <c r="D278" s="449">
        <v>1</v>
      </c>
      <c r="E278" s="393" t="s">
        <v>13</v>
      </c>
      <c r="F278" s="390">
        <v>6</v>
      </c>
      <c r="G278" s="437"/>
      <c r="H278" s="437"/>
      <c r="I278" s="393" t="s">
        <v>13</v>
      </c>
      <c r="J278" s="390">
        <v>4.25</v>
      </c>
      <c r="K278" s="390">
        <f t="shared" si="8"/>
        <v>25.5</v>
      </c>
      <c r="L278" s="389" t="s">
        <v>19</v>
      </c>
      <c r="M278" s="465"/>
      <c r="N278" s="465"/>
    </row>
    <row r="279" spans="1:14" ht="18" customHeight="1" x14ac:dyDescent="0.25">
      <c r="A279" s="465"/>
      <c r="B279" s="465"/>
      <c r="C279" s="421" t="s">
        <v>41</v>
      </c>
      <c r="D279" s="449">
        <v>1</v>
      </c>
      <c r="E279" s="393" t="s">
        <v>13</v>
      </c>
      <c r="F279" s="390">
        <v>9.16</v>
      </c>
      <c r="G279" s="437"/>
      <c r="H279" s="437"/>
      <c r="I279" s="393" t="s">
        <v>13</v>
      </c>
      <c r="J279" s="390">
        <v>6</v>
      </c>
      <c r="K279" s="390">
        <f t="shared" si="8"/>
        <v>54.96</v>
      </c>
      <c r="L279" s="389" t="s">
        <v>19</v>
      </c>
      <c r="M279" s="465"/>
      <c r="N279" s="465"/>
    </row>
    <row r="280" spans="1:14" ht="18" customHeight="1" x14ac:dyDescent="0.25">
      <c r="A280" s="465"/>
      <c r="B280" s="465"/>
      <c r="C280" s="421" t="s">
        <v>42</v>
      </c>
      <c r="D280" s="449">
        <v>1</v>
      </c>
      <c r="E280" s="393" t="s">
        <v>13</v>
      </c>
      <c r="F280" s="390">
        <v>6.4</v>
      </c>
      <c r="G280" s="437"/>
      <c r="H280" s="437"/>
      <c r="I280" s="393" t="s">
        <v>13</v>
      </c>
      <c r="J280" s="390">
        <v>3.5</v>
      </c>
      <c r="K280" s="390">
        <f t="shared" si="8"/>
        <v>22.4</v>
      </c>
      <c r="L280" s="389" t="s">
        <v>19</v>
      </c>
      <c r="M280" s="465"/>
      <c r="N280" s="465"/>
    </row>
    <row r="281" spans="1:14" ht="18" customHeight="1" x14ac:dyDescent="0.25">
      <c r="A281" s="465"/>
      <c r="B281" s="465"/>
      <c r="C281" s="421" t="s">
        <v>42</v>
      </c>
      <c r="D281" s="449">
        <v>1</v>
      </c>
      <c r="E281" s="393" t="s">
        <v>13</v>
      </c>
      <c r="F281" s="390">
        <v>6.4</v>
      </c>
      <c r="G281" s="437"/>
      <c r="H281" s="437"/>
      <c r="I281" s="393" t="s">
        <v>13</v>
      </c>
      <c r="J281" s="390">
        <v>1.85</v>
      </c>
      <c r="K281" s="390">
        <f t="shared" si="8"/>
        <v>11.84</v>
      </c>
      <c r="L281" s="389" t="s">
        <v>19</v>
      </c>
      <c r="M281" s="466"/>
      <c r="N281" s="466"/>
    </row>
    <row r="282" spans="1:14" ht="18" customHeight="1" x14ac:dyDescent="0.25">
      <c r="A282" s="466"/>
      <c r="B282" s="466"/>
      <c r="C282" s="467" t="s">
        <v>15</v>
      </c>
      <c r="D282" s="462"/>
      <c r="E282" s="462"/>
      <c r="F282" s="462"/>
      <c r="G282" s="462"/>
      <c r="H282" s="462"/>
      <c r="I282" s="462"/>
      <c r="J282" s="463"/>
      <c r="K282" s="390">
        <f>ROUND(SUM(K276:K281), 2)</f>
        <v>146.91999999999999</v>
      </c>
      <c r="L282" s="389" t="s">
        <v>19</v>
      </c>
      <c r="M282" s="391">
        <v>1948.95</v>
      </c>
      <c r="N282" s="392">
        <f>ROUND(K282*M282, 2)</f>
        <v>286339.73</v>
      </c>
    </row>
    <row r="283" spans="1:14" ht="131.4" customHeight="1" x14ac:dyDescent="0.25">
      <c r="A283" s="474">
        <v>28</v>
      </c>
      <c r="B283" s="468" t="s">
        <v>208</v>
      </c>
      <c r="C283" s="461" t="s">
        <v>209</v>
      </c>
      <c r="D283" s="462"/>
      <c r="E283" s="462"/>
      <c r="F283" s="462"/>
      <c r="G283" s="462"/>
      <c r="H283" s="462"/>
      <c r="I283" s="462"/>
      <c r="J283" s="462"/>
      <c r="K283" s="463"/>
      <c r="L283" s="382"/>
      <c r="M283" s="464"/>
      <c r="N283" s="464"/>
    </row>
    <row r="284" spans="1:14" ht="51.6" customHeight="1" x14ac:dyDescent="0.25">
      <c r="A284" s="465"/>
      <c r="B284" s="465"/>
      <c r="C284" s="421" t="s">
        <v>210</v>
      </c>
      <c r="D284" s="449">
        <v>1</v>
      </c>
      <c r="E284" s="393" t="s">
        <v>13</v>
      </c>
      <c r="F284" s="390">
        <v>21.5</v>
      </c>
      <c r="G284" s="393" t="s">
        <v>13</v>
      </c>
      <c r="H284" s="390">
        <v>11</v>
      </c>
      <c r="I284" s="393" t="s">
        <v>13</v>
      </c>
      <c r="J284" s="390">
        <v>0.1</v>
      </c>
      <c r="K284" s="390">
        <f>D284*F284*H284*J284</f>
        <v>23.65</v>
      </c>
      <c r="L284" s="389" t="s">
        <v>14</v>
      </c>
      <c r="M284" s="466"/>
      <c r="N284" s="466"/>
    </row>
    <row r="285" spans="1:14" ht="18" customHeight="1" x14ac:dyDescent="0.25">
      <c r="A285" s="466"/>
      <c r="B285" s="466"/>
      <c r="C285" s="467" t="s">
        <v>15</v>
      </c>
      <c r="D285" s="462"/>
      <c r="E285" s="462"/>
      <c r="F285" s="462"/>
      <c r="G285" s="462"/>
      <c r="H285" s="462"/>
      <c r="I285" s="462"/>
      <c r="J285" s="463"/>
      <c r="K285" s="390">
        <f>ROUND(SUM(K284:K284), 2)</f>
        <v>23.65</v>
      </c>
      <c r="L285" s="389" t="s">
        <v>14</v>
      </c>
      <c r="M285" s="391">
        <v>2658.1</v>
      </c>
      <c r="N285" s="392">
        <f>ROUND(K285*M285, 2)</f>
        <v>62864.07</v>
      </c>
    </row>
    <row r="286" spans="1:14" ht="87.6" customHeight="1" x14ac:dyDescent="0.25">
      <c r="A286" s="474">
        <v>29</v>
      </c>
      <c r="B286" s="468" t="s">
        <v>211</v>
      </c>
      <c r="C286" s="461" t="s">
        <v>212</v>
      </c>
      <c r="D286" s="462"/>
      <c r="E286" s="462"/>
      <c r="F286" s="462"/>
      <c r="G286" s="462"/>
      <c r="H286" s="462"/>
      <c r="I286" s="462"/>
      <c r="J286" s="462"/>
      <c r="K286" s="463"/>
      <c r="L286" s="382"/>
      <c r="M286" s="464"/>
      <c r="N286" s="464"/>
    </row>
    <row r="287" spans="1:14" ht="33" customHeight="1" x14ac:dyDescent="0.25">
      <c r="A287" s="465"/>
      <c r="B287" s="465"/>
      <c r="C287" s="421" t="s">
        <v>213</v>
      </c>
      <c r="D287" s="449">
        <v>1</v>
      </c>
      <c r="E287" s="393" t="s">
        <v>13</v>
      </c>
      <c r="F287" s="390">
        <v>21.5</v>
      </c>
      <c r="G287" s="437"/>
      <c r="H287" s="437"/>
      <c r="I287" s="393" t="s">
        <v>13</v>
      </c>
      <c r="J287" s="390">
        <v>11</v>
      </c>
      <c r="K287" s="390">
        <f>D287*F287*J287</f>
        <v>236.5</v>
      </c>
      <c r="L287" s="389" t="s">
        <v>19</v>
      </c>
      <c r="M287" s="466"/>
      <c r="N287" s="466"/>
    </row>
    <row r="288" spans="1:14" ht="18" customHeight="1" x14ac:dyDescent="0.25">
      <c r="A288" s="466"/>
      <c r="B288" s="466"/>
      <c r="C288" s="467" t="s">
        <v>15</v>
      </c>
      <c r="D288" s="462"/>
      <c r="E288" s="462"/>
      <c r="F288" s="462"/>
      <c r="G288" s="462"/>
      <c r="H288" s="462"/>
      <c r="I288" s="462"/>
      <c r="J288" s="463"/>
      <c r="K288" s="390">
        <f>ROUND(SUM(K287:K287), 2)</f>
        <v>236.5</v>
      </c>
      <c r="L288" s="389" t="s">
        <v>19</v>
      </c>
      <c r="M288" s="391">
        <v>951</v>
      </c>
      <c r="N288" s="392">
        <f>ROUND(K288*M288, 2)</f>
        <v>224911.5</v>
      </c>
    </row>
    <row r="289" spans="1:21" ht="222" customHeight="1" x14ac:dyDescent="0.25">
      <c r="A289" s="704">
        <v>30</v>
      </c>
      <c r="B289" s="706">
        <v>22.6</v>
      </c>
      <c r="C289" s="769" t="s">
        <v>694</v>
      </c>
      <c r="D289" s="462"/>
      <c r="E289" s="462"/>
      <c r="F289" s="462"/>
      <c r="G289" s="462"/>
      <c r="H289" s="462"/>
      <c r="I289" s="462"/>
      <c r="J289" s="462"/>
      <c r="K289" s="463"/>
      <c r="L289" s="382"/>
      <c r="M289" s="464"/>
      <c r="N289" s="464"/>
    </row>
    <row r="290" spans="1:21" ht="21" customHeight="1" x14ac:dyDescent="0.25">
      <c r="A290" s="705"/>
      <c r="B290" s="707"/>
      <c r="C290" s="421" t="s">
        <v>202</v>
      </c>
      <c r="D290" s="449">
        <v>1</v>
      </c>
      <c r="E290" s="393" t="s">
        <v>13</v>
      </c>
      <c r="F290" s="390">
        <v>18</v>
      </c>
      <c r="G290" s="437"/>
      <c r="H290" s="437"/>
      <c r="I290" s="393" t="s">
        <v>13</v>
      </c>
      <c r="J290" s="390">
        <v>11</v>
      </c>
      <c r="K290" s="390">
        <f>D290*F290*J290</f>
        <v>198</v>
      </c>
      <c r="L290" s="389" t="s">
        <v>19</v>
      </c>
      <c r="M290" s="466"/>
      <c r="N290" s="466"/>
    </row>
    <row r="291" spans="1:21" ht="18" customHeight="1" x14ac:dyDescent="0.25">
      <c r="A291" s="703"/>
      <c r="B291" s="703"/>
      <c r="C291" s="467" t="s">
        <v>15</v>
      </c>
      <c r="D291" s="462"/>
      <c r="E291" s="462"/>
      <c r="F291" s="462"/>
      <c r="G291" s="462"/>
      <c r="H291" s="462"/>
      <c r="I291" s="462"/>
      <c r="J291" s="463"/>
      <c r="K291" s="390">
        <f>ROUND(SUM(K290:K290), 2)</f>
        <v>198</v>
      </c>
      <c r="L291" s="389" t="s">
        <v>19</v>
      </c>
      <c r="M291" s="391">
        <v>585.5</v>
      </c>
      <c r="N291" s="392">
        <f>ROUND(K291*M291, 2)</f>
        <v>115929</v>
      </c>
    </row>
    <row r="292" spans="1:21" s="54" customFormat="1" ht="34.200000000000003" customHeight="1" x14ac:dyDescent="0.25">
      <c r="A292" s="724">
        <v>31</v>
      </c>
      <c r="B292" s="725" t="s">
        <v>682</v>
      </c>
      <c r="C292" s="726" t="s">
        <v>683</v>
      </c>
      <c r="D292" s="727"/>
      <c r="E292" s="727"/>
      <c r="F292" s="727"/>
      <c r="G292" s="727"/>
      <c r="H292" s="727"/>
      <c r="I292" s="727"/>
      <c r="J292" s="727"/>
      <c r="K292" s="727"/>
      <c r="L292" s="728"/>
      <c r="M292" s="713"/>
      <c r="N292" s="714"/>
    </row>
    <row r="293" spans="1:21" s="54" customFormat="1" ht="27.6" customHeight="1" x14ac:dyDescent="0.25">
      <c r="A293" s="729"/>
      <c r="B293" s="709" t="s">
        <v>684</v>
      </c>
      <c r="C293" s="730" t="s">
        <v>560</v>
      </c>
      <c r="D293" s="731"/>
      <c r="E293" s="731"/>
      <c r="F293" s="731"/>
      <c r="G293" s="731"/>
      <c r="H293" s="731"/>
      <c r="I293" s="731"/>
      <c r="J293" s="731"/>
      <c r="K293" s="731"/>
      <c r="L293" s="732"/>
      <c r="M293" s="733"/>
      <c r="N293" s="734"/>
    </row>
    <row r="294" spans="1:21" s="54" customFormat="1" ht="18" customHeight="1" x14ac:dyDescent="0.25">
      <c r="A294" s="729"/>
      <c r="B294" s="716"/>
      <c r="C294" s="717" t="s">
        <v>686</v>
      </c>
      <c r="D294" s="220">
        <v>25</v>
      </c>
      <c r="E294" s="220" t="s">
        <v>13</v>
      </c>
      <c r="F294" s="735">
        <v>1</v>
      </c>
      <c r="G294" s="220" t="s">
        <v>13</v>
      </c>
      <c r="H294" s="220">
        <v>1</v>
      </c>
      <c r="I294" s="220" t="s">
        <v>13</v>
      </c>
      <c r="J294" s="220">
        <v>0.62</v>
      </c>
      <c r="K294" s="38">
        <f>D294*F294*H294*J294</f>
        <v>15.5</v>
      </c>
      <c r="L294" s="288" t="s">
        <v>685</v>
      </c>
      <c r="M294" s="733"/>
      <c r="N294" s="734"/>
    </row>
    <row r="295" spans="1:21" s="54" customFormat="1" ht="18" customHeight="1" x14ac:dyDescent="0.25">
      <c r="A295" s="729"/>
      <c r="B295" s="716"/>
      <c r="C295" s="717"/>
      <c r="D295" s="220">
        <f>F294/0.1</f>
        <v>10</v>
      </c>
      <c r="E295" s="220" t="s">
        <v>13</v>
      </c>
      <c r="F295" s="735">
        <v>8</v>
      </c>
      <c r="G295" s="220" t="s">
        <v>13</v>
      </c>
      <c r="H295" s="220">
        <v>1</v>
      </c>
      <c r="I295" s="220" t="s">
        <v>13</v>
      </c>
      <c r="J295" s="220">
        <v>0.62</v>
      </c>
      <c r="K295" s="38">
        <f t="shared" ref="K295" si="9">D295*F295*H295*J295</f>
        <v>49.6</v>
      </c>
      <c r="L295" s="288" t="s">
        <v>685</v>
      </c>
      <c r="M295" s="733"/>
      <c r="N295" s="734"/>
      <c r="U295" s="54">
        <f>3.6+1.2+1.2</f>
        <v>6</v>
      </c>
    </row>
    <row r="296" spans="1:21" s="54" customFormat="1" ht="16.8" customHeight="1" x14ac:dyDescent="0.25">
      <c r="A296" s="736"/>
      <c r="B296" s="721"/>
      <c r="C296" s="699" t="s">
        <v>215</v>
      </c>
      <c r="D296" s="700"/>
      <c r="E296" s="700"/>
      <c r="F296" s="700"/>
      <c r="G296" s="700"/>
      <c r="H296" s="700"/>
      <c r="I296" s="700"/>
      <c r="J296" s="701"/>
      <c r="K296" s="288">
        <f>SUM(K294:K295)</f>
        <v>65.099999999999994</v>
      </c>
      <c r="L296" s="722" t="s">
        <v>685</v>
      </c>
      <c r="M296" s="723">
        <v>89.65</v>
      </c>
      <c r="N296" s="61">
        <f>ROUND(K296*M296,2)</f>
        <v>5836.22</v>
      </c>
    </row>
    <row r="297" spans="1:21" s="54" customFormat="1" ht="31.8" customHeight="1" x14ac:dyDescent="0.25">
      <c r="A297" s="708">
        <v>32</v>
      </c>
      <c r="B297" s="709" t="s">
        <v>554</v>
      </c>
      <c r="C297" s="710" t="s">
        <v>681</v>
      </c>
      <c r="D297" s="711"/>
      <c r="E297" s="711"/>
      <c r="F297" s="711"/>
      <c r="G297" s="711"/>
      <c r="H297" s="711"/>
      <c r="I297" s="711"/>
      <c r="J297" s="712"/>
      <c r="K297" s="38"/>
      <c r="M297" s="713"/>
      <c r="N297" s="714"/>
    </row>
    <row r="298" spans="1:21" s="54" customFormat="1" ht="18" customHeight="1" x14ac:dyDescent="0.25">
      <c r="A298" s="715"/>
      <c r="B298" s="716"/>
      <c r="C298" s="717" t="s">
        <v>686</v>
      </c>
      <c r="D298" s="220">
        <v>1</v>
      </c>
      <c r="E298" s="220" t="s">
        <v>13</v>
      </c>
      <c r="F298" s="220">
        <v>1</v>
      </c>
      <c r="G298" s="220" t="s">
        <v>13</v>
      </c>
      <c r="H298" s="220">
        <v>7.5</v>
      </c>
      <c r="I298" s="220"/>
      <c r="J298" s="220"/>
      <c r="K298" s="38">
        <f>F298*H298</f>
        <v>7.5</v>
      </c>
      <c r="L298" s="38" t="s">
        <v>67</v>
      </c>
      <c r="M298" s="718"/>
      <c r="N298" s="719"/>
    </row>
    <row r="299" spans="1:21" s="54" customFormat="1" ht="16.2" customHeight="1" x14ac:dyDescent="0.25">
      <c r="A299" s="720"/>
      <c r="B299" s="721"/>
      <c r="C299" s="699" t="s">
        <v>215</v>
      </c>
      <c r="D299" s="700"/>
      <c r="E299" s="700"/>
      <c r="F299" s="700"/>
      <c r="G299" s="700"/>
      <c r="H299" s="700"/>
      <c r="I299" s="700"/>
      <c r="J299" s="701"/>
      <c r="K299" s="288">
        <f>SUM(K298)</f>
        <v>7.5</v>
      </c>
      <c r="L299" s="722" t="s">
        <v>67</v>
      </c>
      <c r="M299" s="723">
        <v>766.55</v>
      </c>
      <c r="N299" s="61">
        <f>ROUND(K299*M299,2)</f>
        <v>5749.13</v>
      </c>
    </row>
    <row r="300" spans="1:21" s="54" customFormat="1" ht="121.8" customHeight="1" x14ac:dyDescent="0.25">
      <c r="A300" s="702">
        <v>33</v>
      </c>
      <c r="B300" s="702">
        <v>5.3</v>
      </c>
      <c r="C300" s="611" t="s">
        <v>679</v>
      </c>
      <c r="D300" s="611"/>
      <c r="E300" s="611"/>
      <c r="F300" s="611"/>
      <c r="G300" s="611"/>
      <c r="H300" s="611"/>
      <c r="I300" s="611"/>
      <c r="J300" s="611"/>
      <c r="K300" s="695"/>
      <c r="L300" s="696"/>
      <c r="M300" s="696"/>
      <c r="N300" s="696"/>
    </row>
    <row r="301" spans="1:21" s="54" customFormat="1" ht="18" customHeight="1" x14ac:dyDescent="0.25">
      <c r="A301" s="702"/>
      <c r="B301" s="702"/>
      <c r="C301" s="697" t="s">
        <v>680</v>
      </c>
      <c r="D301" s="220">
        <v>1</v>
      </c>
      <c r="E301" s="220" t="s">
        <v>13</v>
      </c>
      <c r="F301" s="220">
        <v>1</v>
      </c>
      <c r="G301" s="220" t="s">
        <v>13</v>
      </c>
      <c r="H301" s="220">
        <v>7.5</v>
      </c>
      <c r="I301" s="220" t="s">
        <v>13</v>
      </c>
      <c r="J301" s="220">
        <v>0.1</v>
      </c>
      <c r="K301" s="38">
        <f>D301*F301*H301*J301</f>
        <v>0.75</v>
      </c>
      <c r="L301" s="698"/>
      <c r="M301" s="698"/>
      <c r="N301" s="698"/>
    </row>
    <row r="302" spans="1:21" s="54" customFormat="1" ht="18" customHeight="1" x14ac:dyDescent="0.25">
      <c r="A302" s="702"/>
      <c r="B302" s="702"/>
      <c r="C302" s="699" t="s">
        <v>215</v>
      </c>
      <c r="D302" s="700"/>
      <c r="E302" s="700"/>
      <c r="F302" s="700"/>
      <c r="G302" s="700"/>
      <c r="H302" s="700"/>
      <c r="I302" s="700"/>
      <c r="J302" s="701"/>
      <c r="K302" s="288">
        <f>SUM(K301:K301)</f>
        <v>0.75</v>
      </c>
      <c r="L302" s="288" t="s">
        <v>163</v>
      </c>
      <c r="M302" s="61">
        <v>10719.3</v>
      </c>
      <c r="N302" s="61">
        <f>ROUND(K302*M302,2)</f>
        <v>8039.48</v>
      </c>
    </row>
    <row r="303" spans="1:21" s="54" customFormat="1" ht="79.2" customHeight="1" x14ac:dyDescent="0.25">
      <c r="A303" s="741">
        <v>34</v>
      </c>
      <c r="B303" s="725">
        <v>6.3</v>
      </c>
      <c r="C303" s="730" t="s">
        <v>687</v>
      </c>
      <c r="D303" s="731"/>
      <c r="E303" s="731"/>
      <c r="F303" s="731"/>
      <c r="G303" s="731"/>
      <c r="H303" s="731"/>
      <c r="I303" s="731"/>
      <c r="J303" s="732"/>
      <c r="K303" s="288"/>
      <c r="L303" s="742"/>
      <c r="M303" s="743"/>
      <c r="N303" s="744"/>
    </row>
    <row r="304" spans="1:21" s="54" customFormat="1" ht="18" customHeight="1" x14ac:dyDescent="0.25">
      <c r="A304" s="745"/>
      <c r="B304" s="725"/>
      <c r="C304" s="717" t="s">
        <v>688</v>
      </c>
      <c r="D304" s="220">
        <v>1</v>
      </c>
      <c r="E304" s="220" t="s">
        <v>13</v>
      </c>
      <c r="F304" s="746">
        <v>10.45</v>
      </c>
      <c r="G304" s="220" t="s">
        <v>13</v>
      </c>
      <c r="H304" s="220">
        <v>0.11</v>
      </c>
      <c r="I304" s="220" t="s">
        <v>13</v>
      </c>
      <c r="J304" s="220">
        <v>3</v>
      </c>
      <c r="K304" s="38">
        <f t="shared" ref="K304" si="10">D304*F304*H304*J304</f>
        <v>3.45</v>
      </c>
      <c r="L304" s="38" t="s">
        <v>163</v>
      </c>
      <c r="M304" s="743"/>
      <c r="N304" s="744"/>
    </row>
    <row r="305" spans="1:22" s="54" customFormat="1" ht="18" customHeight="1" x14ac:dyDescent="0.25">
      <c r="A305" s="748"/>
      <c r="B305" s="725"/>
      <c r="C305" s="699" t="s">
        <v>215</v>
      </c>
      <c r="D305" s="700"/>
      <c r="E305" s="700"/>
      <c r="F305" s="700"/>
      <c r="G305" s="700"/>
      <c r="H305" s="700"/>
      <c r="I305" s="700"/>
      <c r="J305" s="701"/>
      <c r="K305" s="288">
        <f>SUM(K304:K304)</f>
        <v>3.45</v>
      </c>
      <c r="L305" s="38" t="s">
        <v>163</v>
      </c>
      <c r="M305" s="723">
        <v>8030.6</v>
      </c>
      <c r="N305" s="61">
        <f>ROUND(K305*M305,2)</f>
        <v>27705.57</v>
      </c>
      <c r="O305" s="54">
        <f>K305/0.112</f>
        <v>30.803571428571399</v>
      </c>
    </row>
    <row r="306" spans="1:22" s="54" customFormat="1" ht="31.2" customHeight="1" x14ac:dyDescent="0.25">
      <c r="A306" s="724">
        <v>35</v>
      </c>
      <c r="B306" s="725" t="s">
        <v>692</v>
      </c>
      <c r="C306" s="730" t="s">
        <v>693</v>
      </c>
      <c r="D306" s="731"/>
      <c r="E306" s="731"/>
      <c r="F306" s="731"/>
      <c r="G306" s="731"/>
      <c r="H306" s="731"/>
      <c r="I306" s="731"/>
      <c r="J306" s="732"/>
      <c r="K306" s="722"/>
      <c r="L306" s="763"/>
      <c r="M306" s="764"/>
      <c r="N306" s="765"/>
    </row>
    <row r="307" spans="1:22" s="54" customFormat="1" ht="18" customHeight="1" x14ac:dyDescent="0.25">
      <c r="A307" s="729"/>
      <c r="B307" s="747"/>
      <c r="C307" s="717" t="s">
        <v>688</v>
      </c>
      <c r="D307" s="220">
        <v>2</v>
      </c>
      <c r="E307" s="220" t="s">
        <v>13</v>
      </c>
      <c r="F307" s="746">
        <f>F304</f>
        <v>10.45</v>
      </c>
      <c r="G307" s="220"/>
      <c r="H307" s="220"/>
      <c r="I307" s="220" t="s">
        <v>13</v>
      </c>
      <c r="J307" s="220">
        <v>3.3</v>
      </c>
      <c r="K307" s="38">
        <f>PRODUCT(D307:J307)</f>
        <v>68.97</v>
      </c>
      <c r="L307" s="38" t="s">
        <v>67</v>
      </c>
      <c r="M307" s="764"/>
      <c r="N307" s="765"/>
    </row>
    <row r="308" spans="1:22" s="54" customFormat="1" ht="18" customHeight="1" x14ac:dyDescent="0.25">
      <c r="A308" s="736"/>
      <c r="B308" s="747"/>
      <c r="C308" s="766" t="s">
        <v>303</v>
      </c>
      <c r="D308" s="767"/>
      <c r="E308" s="767"/>
      <c r="F308" s="767"/>
      <c r="G308" s="767"/>
      <c r="H308" s="767"/>
      <c r="I308" s="767"/>
      <c r="J308" s="768"/>
      <c r="K308" s="38">
        <f>SUM(K307:K307)</f>
        <v>68.97</v>
      </c>
      <c r="L308" s="285" t="s">
        <v>67</v>
      </c>
      <c r="M308" s="723">
        <v>376.65</v>
      </c>
      <c r="N308" s="61">
        <f>K308*M308</f>
        <v>25977.55</v>
      </c>
    </row>
    <row r="309" spans="1:22" s="239" customFormat="1" ht="82.2" customHeight="1" x14ac:dyDescent="0.25">
      <c r="A309" s="749">
        <v>36</v>
      </c>
      <c r="B309" s="457" t="s">
        <v>689</v>
      </c>
      <c r="C309" s="750" t="s">
        <v>690</v>
      </c>
      <c r="D309" s="751"/>
      <c r="E309" s="751"/>
      <c r="F309" s="751"/>
      <c r="G309" s="751"/>
      <c r="H309" s="751"/>
      <c r="I309" s="751"/>
      <c r="J309" s="752"/>
      <c r="K309" s="285"/>
      <c r="L309" s="272"/>
      <c r="M309" s="554"/>
      <c r="N309" s="753"/>
    </row>
    <row r="310" spans="1:22" s="39" customFormat="1" ht="15.75" customHeight="1" x14ac:dyDescent="0.25">
      <c r="A310" s="754"/>
      <c r="B310" s="755"/>
      <c r="C310" s="756" t="s">
        <v>691</v>
      </c>
      <c r="D310" s="756">
        <v>1</v>
      </c>
      <c r="E310" s="757" t="s">
        <v>13</v>
      </c>
      <c r="F310" s="756">
        <v>50</v>
      </c>
      <c r="G310" s="757" t="s">
        <v>13</v>
      </c>
      <c r="H310" s="255">
        <v>1.5</v>
      </c>
      <c r="I310" s="757" t="s">
        <v>13</v>
      </c>
      <c r="J310" s="756">
        <v>13</v>
      </c>
      <c r="K310" s="758">
        <f t="shared" ref="K310" si="11">ROUND(PRODUCT(D310:J310),2)</f>
        <v>975</v>
      </c>
      <c r="L310" s="759" t="s">
        <v>685</v>
      </c>
      <c r="M310" s="760"/>
      <c r="N310" s="761"/>
      <c r="V310" s="39">
        <f>8/2</f>
        <v>4</v>
      </c>
    </row>
    <row r="311" spans="1:22" s="54" customFormat="1" ht="23.4" customHeight="1" x14ac:dyDescent="0.25">
      <c r="A311" s="762"/>
      <c r="B311" s="725"/>
      <c r="C311" s="699" t="s">
        <v>215</v>
      </c>
      <c r="D311" s="700"/>
      <c r="E311" s="700"/>
      <c r="F311" s="700"/>
      <c r="G311" s="700"/>
      <c r="H311" s="700"/>
      <c r="I311" s="700"/>
      <c r="J311" s="701"/>
      <c r="K311" s="288">
        <f>SUM(K310:K310)</f>
        <v>975</v>
      </c>
      <c r="L311" s="38" t="s">
        <v>685</v>
      </c>
      <c r="M311" s="723">
        <v>197.7</v>
      </c>
      <c r="N311" s="61">
        <f>ROUND(K311*M311,2)</f>
        <v>192757.5</v>
      </c>
    </row>
    <row r="312" spans="1:22" ht="19.95" customHeight="1" x14ac:dyDescent="0.25">
      <c r="A312" s="482" t="s">
        <v>214</v>
      </c>
      <c r="B312" s="462"/>
      <c r="C312" s="462"/>
      <c r="D312" s="462"/>
      <c r="E312" s="462"/>
      <c r="F312" s="462"/>
      <c r="G312" s="462"/>
      <c r="H312" s="462"/>
      <c r="I312" s="462"/>
      <c r="J312" s="462"/>
      <c r="K312" s="462"/>
      <c r="L312" s="462"/>
      <c r="M312" s="463"/>
      <c r="N312" s="395">
        <f>SUM(N5:N305)</f>
        <v>2384863.7799999998</v>
      </c>
    </row>
    <row r="313" spans="1:22" ht="22.05" customHeight="1" x14ac:dyDescent="0.25">
      <c r="A313" s="481" t="s">
        <v>215</v>
      </c>
      <c r="B313" s="462"/>
      <c r="C313" s="462"/>
      <c r="D313" s="462"/>
      <c r="E313" s="462"/>
      <c r="F313" s="462"/>
      <c r="G313" s="462"/>
      <c r="H313" s="462"/>
      <c r="I313" s="462"/>
      <c r="J313" s="462"/>
      <c r="K313" s="462"/>
      <c r="L313" s="462"/>
      <c r="M313" s="463"/>
      <c r="N313" s="396">
        <f>ROUND(N312, 0)</f>
        <v>2384864</v>
      </c>
      <c r="P313" s="458"/>
    </row>
    <row r="314" spans="1:22" ht="19.95" customHeight="1" x14ac:dyDescent="0.25">
      <c r="A314" s="469" t="s">
        <v>216</v>
      </c>
      <c r="B314" s="470"/>
      <c r="C314" s="471"/>
      <c r="D314" s="472"/>
      <c r="E314" s="473"/>
      <c r="F314" s="473"/>
      <c r="G314" s="473"/>
      <c r="H314" s="473"/>
      <c r="I314" s="473"/>
      <c r="J314" s="473"/>
      <c r="K314" s="470"/>
      <c r="L314" s="470"/>
      <c r="M314" s="470"/>
      <c r="N314" s="470"/>
    </row>
  </sheetData>
  <mergeCells count="216">
    <mergeCell ref="M309:M310"/>
    <mergeCell ref="N309:N310"/>
    <mergeCell ref="C311:J311"/>
    <mergeCell ref="A306:A308"/>
    <mergeCell ref="C306:J306"/>
    <mergeCell ref="C308:J308"/>
    <mergeCell ref="N289:N290"/>
    <mergeCell ref="C291:J291"/>
    <mergeCell ref="C300:J300"/>
    <mergeCell ref="L300:L301"/>
    <mergeCell ref="M300:M301"/>
    <mergeCell ref="N300:N301"/>
    <mergeCell ref="C302:J302"/>
    <mergeCell ref="A289:A290"/>
    <mergeCell ref="B289:B290"/>
    <mergeCell ref="A297:A299"/>
    <mergeCell ref="B297:B299"/>
    <mergeCell ref="C297:J297"/>
    <mergeCell ref="M297:M298"/>
    <mergeCell ref="N297:N298"/>
    <mergeCell ref="C299:J299"/>
    <mergeCell ref="A292:A296"/>
    <mergeCell ref="C292:L292"/>
    <mergeCell ref="M292:M295"/>
    <mergeCell ref="N292:N295"/>
    <mergeCell ref="B293:B296"/>
    <mergeCell ref="C293:L293"/>
    <mergeCell ref="C296:J296"/>
    <mergeCell ref="A20:A22"/>
    <mergeCell ref="A312:M312"/>
    <mergeCell ref="A10:A19"/>
    <mergeCell ref="A29:A31"/>
    <mergeCell ref="C56:K56"/>
    <mergeCell ref="A23:A25"/>
    <mergeCell ref="C285:J285"/>
    <mergeCell ref="C288:J288"/>
    <mergeCell ref="A242:A244"/>
    <mergeCell ref="B29:B31"/>
    <mergeCell ref="C28:J28"/>
    <mergeCell ref="C263:J263"/>
    <mergeCell ref="C20:K20"/>
    <mergeCell ref="B32:B46"/>
    <mergeCell ref="C29:K29"/>
    <mergeCell ref="C289:K289"/>
    <mergeCell ref="M289:M290"/>
    <mergeCell ref="A303:A305"/>
    <mergeCell ref="C303:J303"/>
    <mergeCell ref="C305:J305"/>
    <mergeCell ref="A309:A311"/>
    <mergeCell ref="C309:J309"/>
    <mergeCell ref="A248:A250"/>
    <mergeCell ref="N10:N18"/>
    <mergeCell ref="B275:B282"/>
    <mergeCell ref="C76:K76"/>
    <mergeCell ref="B20:B22"/>
    <mergeCell ref="C25:J25"/>
    <mergeCell ref="B251:B253"/>
    <mergeCell ref="C75:J75"/>
    <mergeCell ref="N32:N45"/>
    <mergeCell ref="C239:K239"/>
    <mergeCell ref="N251:N252"/>
    <mergeCell ref="N26:N27"/>
    <mergeCell ref="N226:N229"/>
    <mergeCell ref="C251:K251"/>
    <mergeCell ref="C79:J79"/>
    <mergeCell ref="A275:A282"/>
    <mergeCell ref="A80:A200"/>
    <mergeCell ref="B272:B274"/>
    <mergeCell ref="A251:A253"/>
    <mergeCell ref="N245:N246"/>
    <mergeCell ref="A26:A28"/>
    <mergeCell ref="C10:K10"/>
    <mergeCell ref="N221:N224"/>
    <mergeCell ref="N272:N273"/>
    <mergeCell ref="A226:A230"/>
    <mergeCell ref="A313:M313"/>
    <mergeCell ref="A76:A79"/>
    <mergeCell ref="M226:M229"/>
    <mergeCell ref="C236:K236"/>
    <mergeCell ref="A283:A285"/>
    <mergeCell ref="C46:J46"/>
    <mergeCell ref="A236:A238"/>
    <mergeCell ref="B6:B9"/>
    <mergeCell ref="A259:A263"/>
    <mergeCell ref="B80:B200"/>
    <mergeCell ref="C271:J271"/>
    <mergeCell ref="M6:M8"/>
    <mergeCell ref="B23:B25"/>
    <mergeCell ref="M283:M284"/>
    <mergeCell ref="M201:M219"/>
    <mergeCell ref="B242:B244"/>
    <mergeCell ref="M10:M18"/>
    <mergeCell ref="C47:K47"/>
    <mergeCell ref="C226:K226"/>
    <mergeCell ref="C244:J244"/>
    <mergeCell ref="A56:A75"/>
    <mergeCell ref="M32:M45"/>
    <mergeCell ref="A239:A241"/>
    <mergeCell ref="A201:A220"/>
    <mergeCell ref="A1:N1"/>
    <mergeCell ref="C201:K201"/>
    <mergeCell ref="N268:N270"/>
    <mergeCell ref="C258:J258"/>
    <mergeCell ref="C230:J230"/>
    <mergeCell ref="B236:B238"/>
    <mergeCell ref="M254:M257"/>
    <mergeCell ref="B221:B225"/>
    <mergeCell ref="C220:J220"/>
    <mergeCell ref="M264:M266"/>
    <mergeCell ref="C55:J55"/>
    <mergeCell ref="N29:N30"/>
    <mergeCell ref="N76:N78"/>
    <mergeCell ref="C9:J9"/>
    <mergeCell ref="C235:J235"/>
    <mergeCell ref="A3:N3"/>
    <mergeCell ref="A47:A55"/>
    <mergeCell ref="A231:A235"/>
    <mergeCell ref="N239:N240"/>
    <mergeCell ref="N248:N249"/>
    <mergeCell ref="N201:N219"/>
    <mergeCell ref="M23:M24"/>
    <mergeCell ref="B231:B235"/>
    <mergeCell ref="C4:J4"/>
    <mergeCell ref="M245:M246"/>
    <mergeCell ref="B26:B28"/>
    <mergeCell ref="B283:B285"/>
    <mergeCell ref="M221:M224"/>
    <mergeCell ref="N56:N74"/>
    <mergeCell ref="A6:A9"/>
    <mergeCell ref="M286:M287"/>
    <mergeCell ref="B259:B263"/>
    <mergeCell ref="C137:J137"/>
    <mergeCell ref="C23:K23"/>
    <mergeCell ref="C225:J225"/>
    <mergeCell ref="C32:K32"/>
    <mergeCell ref="C242:K242"/>
    <mergeCell ref="C238:J238"/>
    <mergeCell ref="N254:N257"/>
    <mergeCell ref="M76:M78"/>
    <mergeCell ref="B245:B247"/>
    <mergeCell ref="C231:K231"/>
    <mergeCell ref="C200:J200"/>
    <mergeCell ref="M236:M237"/>
    <mergeCell ref="C272:K272"/>
    <mergeCell ref="N231:N234"/>
    <mergeCell ref="C136:J136"/>
    <mergeCell ref="A2:N2"/>
    <mergeCell ref="M272:M273"/>
    <mergeCell ref="C250:J250"/>
    <mergeCell ref="A264:A267"/>
    <mergeCell ref="M26:M27"/>
    <mergeCell ref="B10:B19"/>
    <mergeCell ref="B286:B288"/>
    <mergeCell ref="C259:K259"/>
    <mergeCell ref="B56:B75"/>
    <mergeCell ref="C268:K268"/>
    <mergeCell ref="M29:M30"/>
    <mergeCell ref="C283:K283"/>
    <mergeCell ref="B239:B241"/>
    <mergeCell ref="B248:B250"/>
    <mergeCell ref="C26:K26"/>
    <mergeCell ref="M47:M54"/>
    <mergeCell ref="C19:J19"/>
    <mergeCell ref="M251:M252"/>
    <mergeCell ref="B264:B267"/>
    <mergeCell ref="B201:B220"/>
    <mergeCell ref="A254:A258"/>
    <mergeCell ref="C245:K245"/>
    <mergeCell ref="N286:N287"/>
    <mergeCell ref="N275:N281"/>
    <mergeCell ref="C286:K286"/>
    <mergeCell ref="N47:N54"/>
    <mergeCell ref="C22:J22"/>
    <mergeCell ref="A314:N314"/>
    <mergeCell ref="C31:J31"/>
    <mergeCell ref="N23:N24"/>
    <mergeCell ref="C241:J241"/>
    <mergeCell ref="A268:A271"/>
    <mergeCell ref="B226:B230"/>
    <mergeCell ref="A245:A247"/>
    <mergeCell ref="M275:M281"/>
    <mergeCell ref="A221:A225"/>
    <mergeCell ref="C248:K248"/>
    <mergeCell ref="A286:A288"/>
    <mergeCell ref="A32:A46"/>
    <mergeCell ref="B268:B271"/>
    <mergeCell ref="A272:A274"/>
    <mergeCell ref="M268:M270"/>
    <mergeCell ref="C264:K264"/>
    <mergeCell ref="C247:J247"/>
    <mergeCell ref="C253:J253"/>
    <mergeCell ref="M259:M262"/>
    <mergeCell ref="C254:K254"/>
    <mergeCell ref="C80:K80"/>
    <mergeCell ref="C6:K6"/>
    <mergeCell ref="N259:N262"/>
    <mergeCell ref="C267:J267"/>
    <mergeCell ref="M239:M240"/>
    <mergeCell ref="B47:B55"/>
    <mergeCell ref="M248:M249"/>
    <mergeCell ref="C282:J282"/>
    <mergeCell ref="N20:N21"/>
    <mergeCell ref="N283:N284"/>
    <mergeCell ref="B76:B79"/>
    <mergeCell ref="N236:N237"/>
    <mergeCell ref="M20:M21"/>
    <mergeCell ref="B254:B258"/>
    <mergeCell ref="N6:N8"/>
    <mergeCell ref="C275:K275"/>
    <mergeCell ref="M231:M234"/>
    <mergeCell ref="M242:M243"/>
    <mergeCell ref="C221:K221"/>
    <mergeCell ref="M56:M74"/>
    <mergeCell ref="C274:J274"/>
    <mergeCell ref="N242:N243"/>
    <mergeCell ref="N264:N266"/>
  </mergeCells>
  <pageMargins left="0.43307086614173229" right="0.31496062992125978" top="0.31496062992125978" bottom="0.31496062992125978" header="0.31496062992125978" footer="0.31496062992125978"/>
  <pageSetup paperSize="9" orientation="portrait" horizontalDpi="4294967294"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E49"/>
  <sheetViews>
    <sheetView view="pageBreakPreview" topLeftCell="A34" zoomScale="80" zoomScaleNormal="100" workbookViewId="0">
      <selection activeCell="C32" sqref="C32:I32"/>
    </sheetView>
  </sheetViews>
  <sheetFormatPr defaultColWidth="12.6640625" defaultRowHeight="15" customHeight="1" x14ac:dyDescent="0.25"/>
  <cols>
    <col min="1" max="1" width="5.109375" style="236" bestFit="1" customWidth="1"/>
    <col min="2" max="2" width="8.33203125" style="107" bestFit="1" customWidth="1"/>
    <col min="3" max="3" width="14.21875" style="107" customWidth="1"/>
    <col min="4" max="4" width="6.5546875" style="236" customWidth="1"/>
    <col min="5" max="5" width="5.5546875" style="236" customWidth="1"/>
    <col min="6" max="6" width="5.6640625" style="236" customWidth="1"/>
    <col min="7" max="7" width="6.5546875" style="236" customWidth="1"/>
    <col min="8" max="8" width="5.88671875" style="236" customWidth="1"/>
    <col min="9" max="9" width="9.44140625" style="236" customWidth="1"/>
    <col min="10" max="10" width="8.109375" style="292" customWidth="1"/>
    <col min="11" max="11" width="5.44140625" style="107" bestFit="1" customWidth="1"/>
    <col min="12" max="12" width="9.88671875" style="107" customWidth="1"/>
    <col min="13" max="13" width="14.6640625" style="247" customWidth="1"/>
    <col min="14" max="15" width="7.6640625" style="107" customWidth="1"/>
    <col min="16" max="16" width="13.6640625" style="107" bestFit="1" customWidth="1"/>
    <col min="17" max="20" width="12.6640625" style="107" customWidth="1"/>
    <col min="21" max="16384" width="12.6640625" style="107"/>
  </cols>
  <sheetData>
    <row r="1" spans="1:28" ht="25.2" customHeight="1" x14ac:dyDescent="0.25">
      <c r="A1" s="535" t="str">
        <f>'AType Cottage'!A1</f>
        <v xml:space="preserve"> Name of Work :-   Repairing and Renovation of  Circuit House at Bokakhat Co District under Golaghat District</v>
      </c>
      <c r="B1" s="516"/>
      <c r="C1" s="516"/>
      <c r="D1" s="516"/>
      <c r="E1" s="516"/>
      <c r="F1" s="516"/>
      <c r="G1" s="516"/>
      <c r="H1" s="516"/>
      <c r="I1" s="516"/>
      <c r="J1" s="516"/>
      <c r="K1" s="516"/>
      <c r="L1" s="516"/>
      <c r="M1" s="517"/>
    </row>
    <row r="2" spans="1:28" ht="28.2" customHeight="1" x14ac:dyDescent="0.3">
      <c r="A2" s="233" t="s">
        <v>292</v>
      </c>
      <c r="B2" s="232" t="s">
        <v>293</v>
      </c>
      <c r="C2" s="528" t="s">
        <v>294</v>
      </c>
      <c r="D2" s="516"/>
      <c r="E2" s="516"/>
      <c r="F2" s="516"/>
      <c r="G2" s="516"/>
      <c r="H2" s="516"/>
      <c r="I2" s="517"/>
      <c r="J2" s="289" t="s">
        <v>295</v>
      </c>
      <c r="K2" s="248" t="s">
        <v>296</v>
      </c>
      <c r="L2" s="249" t="s">
        <v>297</v>
      </c>
      <c r="M2" s="250" t="s">
        <v>9</v>
      </c>
      <c r="N2" s="234"/>
      <c r="O2" s="234"/>
    </row>
    <row r="3" spans="1:28" ht="58.8" customHeight="1" x14ac:dyDescent="0.25">
      <c r="A3" s="330">
        <v>1</v>
      </c>
      <c r="B3" s="331">
        <v>15.7</v>
      </c>
      <c r="C3" s="529" t="s">
        <v>298</v>
      </c>
      <c r="D3" s="516"/>
      <c r="E3" s="516"/>
      <c r="F3" s="516"/>
      <c r="G3" s="516"/>
      <c r="H3" s="516"/>
      <c r="I3" s="517"/>
      <c r="J3" s="252">
        <f>'Rennovation Measurement'!K9</f>
        <v>1.56</v>
      </c>
      <c r="K3" s="252" t="s">
        <v>14</v>
      </c>
      <c r="L3" s="252">
        <v>1698.45</v>
      </c>
      <c r="M3" s="237">
        <f t="shared" ref="M3:M32" si="0">ROUND(J3*L3,0)</f>
        <v>2650</v>
      </c>
      <c r="P3" s="235">
        <f>+J3*L3</f>
        <v>2649.58</v>
      </c>
    </row>
    <row r="4" spans="1:28" ht="46.2" customHeight="1" x14ac:dyDescent="0.25">
      <c r="A4" s="330">
        <v>2</v>
      </c>
      <c r="B4" s="330" t="s">
        <v>16</v>
      </c>
      <c r="C4" s="529" t="s">
        <v>299</v>
      </c>
      <c r="D4" s="516"/>
      <c r="E4" s="516"/>
      <c r="F4" s="516"/>
      <c r="G4" s="516"/>
      <c r="H4" s="516"/>
      <c r="I4" s="517"/>
      <c r="J4" s="252">
        <f>'Rennovation Measurement'!K19</f>
        <v>237.21</v>
      </c>
      <c r="K4" s="252" t="s">
        <v>19</v>
      </c>
      <c r="L4" s="252">
        <v>60.5</v>
      </c>
      <c r="M4" s="237">
        <f t="shared" si="0"/>
        <v>14351</v>
      </c>
      <c r="O4" s="107">
        <f>5.95+3.1</f>
        <v>9.0500000000000007</v>
      </c>
    </row>
    <row r="5" spans="1:28" ht="42.6" customHeight="1" x14ac:dyDescent="0.25">
      <c r="A5" s="330">
        <v>3</v>
      </c>
      <c r="B5" s="331">
        <v>15.28</v>
      </c>
      <c r="C5" s="534" t="s">
        <v>300</v>
      </c>
      <c r="D5" s="516"/>
      <c r="E5" s="516"/>
      <c r="F5" s="516"/>
      <c r="G5" s="516"/>
      <c r="H5" s="516"/>
      <c r="I5" s="517"/>
      <c r="J5" s="252">
        <f>'Rennovation Measurement'!K22</f>
        <v>3.57</v>
      </c>
      <c r="K5" s="252" t="s">
        <v>19</v>
      </c>
      <c r="L5" s="252">
        <v>136</v>
      </c>
      <c r="M5" s="237">
        <f t="shared" si="0"/>
        <v>486</v>
      </c>
    </row>
    <row r="6" spans="1:28" ht="63.6" customHeight="1" x14ac:dyDescent="0.25">
      <c r="A6" s="330">
        <v>4</v>
      </c>
      <c r="B6" s="331">
        <v>2.25</v>
      </c>
      <c r="C6" s="529" t="s">
        <v>27</v>
      </c>
      <c r="D6" s="516"/>
      <c r="E6" s="516"/>
      <c r="F6" s="516"/>
      <c r="G6" s="516"/>
      <c r="H6" s="516"/>
      <c r="I6" s="517"/>
      <c r="J6" s="252">
        <f>'Rennovation Measurement'!K25</f>
        <v>13.01</v>
      </c>
      <c r="K6" s="252" t="s">
        <v>14</v>
      </c>
      <c r="L6" s="252">
        <v>253.95</v>
      </c>
      <c r="M6" s="237">
        <f t="shared" si="0"/>
        <v>3304</v>
      </c>
    </row>
    <row r="7" spans="1:28" ht="55.2" customHeight="1" x14ac:dyDescent="0.25">
      <c r="A7" s="330">
        <v>5</v>
      </c>
      <c r="B7" s="331">
        <v>11.2</v>
      </c>
      <c r="C7" s="529" t="s">
        <v>30</v>
      </c>
      <c r="D7" s="516"/>
      <c r="E7" s="516"/>
      <c r="F7" s="516"/>
      <c r="G7" s="516"/>
      <c r="H7" s="516"/>
      <c r="I7" s="517"/>
      <c r="J7" s="252">
        <f>'Rennovation Measurement'!K28</f>
        <v>9.9</v>
      </c>
      <c r="K7" s="252" t="s">
        <v>19</v>
      </c>
      <c r="L7" s="252">
        <v>733.3</v>
      </c>
      <c r="M7" s="237">
        <f t="shared" si="0"/>
        <v>7260</v>
      </c>
    </row>
    <row r="8" spans="1:28" ht="106.2" customHeight="1" x14ac:dyDescent="0.25">
      <c r="A8" s="330">
        <v>6</v>
      </c>
      <c r="B8" s="331">
        <v>11.5</v>
      </c>
      <c r="C8" s="529" t="s">
        <v>33</v>
      </c>
      <c r="D8" s="516"/>
      <c r="E8" s="516"/>
      <c r="F8" s="516"/>
      <c r="G8" s="516"/>
      <c r="H8" s="516"/>
      <c r="I8" s="517"/>
      <c r="J8" s="252">
        <f>'Rennovation Measurement'!K31</f>
        <v>9.9</v>
      </c>
      <c r="K8" s="252" t="s">
        <v>19</v>
      </c>
      <c r="L8" s="252">
        <v>928.65</v>
      </c>
      <c r="M8" s="237">
        <f t="shared" si="0"/>
        <v>9194</v>
      </c>
    </row>
    <row r="9" spans="1:28" ht="95.4" customHeight="1" x14ac:dyDescent="0.25">
      <c r="A9" s="330">
        <v>7</v>
      </c>
      <c r="B9" s="329">
        <v>11.41</v>
      </c>
      <c r="C9" s="529" t="s">
        <v>35</v>
      </c>
      <c r="D9" s="516"/>
      <c r="E9" s="516"/>
      <c r="F9" s="516"/>
      <c r="G9" s="516"/>
      <c r="H9" s="516"/>
      <c r="I9" s="517"/>
      <c r="J9" s="252">
        <f>'Rennovation Measurement'!K46</f>
        <v>246.7</v>
      </c>
      <c r="K9" s="252" t="s">
        <v>19</v>
      </c>
      <c r="L9" s="252">
        <v>1416.65</v>
      </c>
      <c r="M9" s="237">
        <f t="shared" si="0"/>
        <v>349488</v>
      </c>
    </row>
    <row r="10" spans="1:28" ht="97.8" customHeight="1" x14ac:dyDescent="0.25">
      <c r="A10" s="330">
        <v>8</v>
      </c>
      <c r="B10" s="331">
        <v>8.31</v>
      </c>
      <c r="C10" s="529" t="s">
        <v>45</v>
      </c>
      <c r="D10" s="516"/>
      <c r="E10" s="516"/>
      <c r="F10" s="516"/>
      <c r="G10" s="516"/>
      <c r="H10" s="516"/>
      <c r="I10" s="517"/>
      <c r="J10" s="252">
        <f>'Rennovation Measurement'!K55</f>
        <v>220.14</v>
      </c>
      <c r="K10" s="252" t="s">
        <v>19</v>
      </c>
      <c r="L10" s="252">
        <v>1063.45</v>
      </c>
      <c r="M10" s="237">
        <f t="shared" si="0"/>
        <v>234108</v>
      </c>
    </row>
    <row r="11" spans="1:28" ht="31.8" customHeight="1" x14ac:dyDescent="0.25">
      <c r="A11" s="330">
        <v>9</v>
      </c>
      <c r="B11" s="331">
        <v>13.26</v>
      </c>
      <c r="C11" s="529" t="s">
        <v>50</v>
      </c>
      <c r="D11" s="516"/>
      <c r="E11" s="516"/>
      <c r="F11" s="516"/>
      <c r="G11" s="516"/>
      <c r="H11" s="516"/>
      <c r="I11" s="517"/>
      <c r="J11" s="252">
        <f>'Rennovation Measurement'!K75</f>
        <v>559.9</v>
      </c>
      <c r="K11" s="252" t="s">
        <v>19</v>
      </c>
      <c r="L11" s="252">
        <v>214.3</v>
      </c>
      <c r="M11" s="237">
        <f t="shared" si="0"/>
        <v>119987</v>
      </c>
    </row>
    <row r="12" spans="1:28" s="240" customFormat="1" ht="61.8" customHeight="1" x14ac:dyDescent="0.3">
      <c r="A12" s="330">
        <v>10</v>
      </c>
      <c r="B12" s="332">
        <v>13.85</v>
      </c>
      <c r="C12" s="530" t="s">
        <v>60</v>
      </c>
      <c r="D12" s="516"/>
      <c r="E12" s="516"/>
      <c r="F12" s="516"/>
      <c r="G12" s="516"/>
      <c r="H12" s="516"/>
      <c r="I12" s="517"/>
      <c r="J12" s="252">
        <f>'Rennovation Measurement'!K79</f>
        <v>2399.8000000000002</v>
      </c>
      <c r="K12" s="252" t="s">
        <v>19</v>
      </c>
      <c r="L12" s="245">
        <v>64.45</v>
      </c>
      <c r="M12" s="237">
        <f t="shared" si="0"/>
        <v>154667</v>
      </c>
      <c r="N12" s="274"/>
      <c r="Q12" s="240">
        <f>21.5+21.5+13+13</f>
        <v>69</v>
      </c>
      <c r="R12" s="240">
        <v>3.2</v>
      </c>
      <c r="S12" s="240">
        <f>Q12*R12*2</f>
        <v>441.6</v>
      </c>
      <c r="T12" s="240">
        <f>21.5*2*3.2</f>
        <v>137.6</v>
      </c>
      <c r="V12" s="240" t="s">
        <v>301</v>
      </c>
      <c r="W12" s="240">
        <f>9.75*4*3.2</f>
        <v>124.8</v>
      </c>
      <c r="Z12" s="240">
        <v>21.5</v>
      </c>
      <c r="AA12" s="240">
        <v>13</v>
      </c>
      <c r="AB12" s="240">
        <v>3.2</v>
      </c>
    </row>
    <row r="13" spans="1:28" s="240" customFormat="1" ht="88.2" customHeight="1" x14ac:dyDescent="0.3">
      <c r="A13" s="330">
        <v>11</v>
      </c>
      <c r="B13" s="332">
        <v>13.83</v>
      </c>
      <c r="C13" s="530" t="s">
        <v>64</v>
      </c>
      <c r="D13" s="516"/>
      <c r="E13" s="516"/>
      <c r="F13" s="516"/>
      <c r="G13" s="516"/>
      <c r="H13" s="516"/>
      <c r="I13" s="517"/>
      <c r="J13" s="290">
        <f>'Rennovation Measurement'!K200</f>
        <v>2217.5700000000002</v>
      </c>
      <c r="K13" s="252" t="s">
        <v>19</v>
      </c>
      <c r="L13" s="245">
        <v>121.55</v>
      </c>
      <c r="M13" s="237">
        <f t="shared" si="0"/>
        <v>269546</v>
      </c>
      <c r="N13" s="274"/>
      <c r="Q13" s="240">
        <v>2.15</v>
      </c>
      <c r="R13" s="240">
        <v>1.5</v>
      </c>
      <c r="S13" s="240">
        <f>Q13*R13*13*2</f>
        <v>83.85</v>
      </c>
      <c r="T13" s="240">
        <f>R13*Q13*8</f>
        <v>25.8</v>
      </c>
      <c r="W13" s="240">
        <f>0.81*2.1*8</f>
        <v>13.608000000000001</v>
      </c>
      <c r="Z13" s="240">
        <v>21.5</v>
      </c>
      <c r="AA13" s="240">
        <v>13</v>
      </c>
      <c r="AB13" s="240">
        <v>3.2</v>
      </c>
    </row>
    <row r="14" spans="1:28" ht="110.4" customHeight="1" x14ac:dyDescent="0.25">
      <c r="A14" s="330">
        <v>12</v>
      </c>
      <c r="B14" s="331" t="s">
        <v>151</v>
      </c>
      <c r="C14" s="529" t="s">
        <v>152</v>
      </c>
      <c r="D14" s="516"/>
      <c r="E14" s="516"/>
      <c r="F14" s="516"/>
      <c r="G14" s="516"/>
      <c r="H14" s="516"/>
      <c r="I14" s="517"/>
      <c r="J14" s="252">
        <f>'Rennovation Measurement'!K220</f>
        <v>559.9</v>
      </c>
      <c r="K14" s="252" t="s">
        <v>19</v>
      </c>
      <c r="L14" s="252">
        <v>154.44999999999999</v>
      </c>
      <c r="M14" s="237">
        <f t="shared" si="0"/>
        <v>86477</v>
      </c>
      <c r="P14" s="107" t="s">
        <v>222</v>
      </c>
    </row>
    <row r="15" spans="1:28" ht="61.2" customHeight="1" x14ac:dyDescent="0.25">
      <c r="A15" s="333">
        <v>13</v>
      </c>
      <c r="B15" s="334" t="str">
        <f>'AType Cottage'!B27</f>
        <v>15.12</v>
      </c>
      <c r="C15" s="536" t="str">
        <f>'AType Cottage'!C27</f>
        <v>Dismantling doors, windows and clerestory windows (steel or wood) shutter including chowkhats, architrave, holdfasts etc. complete and stacking within 50 metres lead :
 15.12.1Of area 3 sq. metres and below</v>
      </c>
      <c r="D15" s="516"/>
      <c r="E15" s="516"/>
      <c r="F15" s="516"/>
      <c r="G15" s="516"/>
      <c r="H15" s="516"/>
      <c r="I15" s="517"/>
      <c r="J15" s="271">
        <f>'Rennovation Measurement'!K225</f>
        <v>11</v>
      </c>
      <c r="K15" s="269" t="s">
        <v>157</v>
      </c>
      <c r="L15" s="269">
        <f>'AType Cottage'!M31</f>
        <v>302.7</v>
      </c>
      <c r="M15" s="237">
        <f t="shared" si="0"/>
        <v>3330</v>
      </c>
    </row>
    <row r="16" spans="1:28" ht="70.2" customHeight="1" x14ac:dyDescent="0.25">
      <c r="A16" s="333">
        <v>14</v>
      </c>
      <c r="B16" s="334">
        <f>'AType Cottage'!B6</f>
        <v>9.1</v>
      </c>
      <c r="C16" s="536" t="str">
        <f>'AType Cottage'!C6</f>
        <v>Providing wood work in frames of doors, windows, clerestory windows and other frames, wrought framed and fixed in position with hold fast lugs or with dash fasteners of required dia &amp; length (hold fast lugs or dash fastener shall be paid for separately).
9.1.3 Kiln seasoned and chemically treated hollock wood</v>
      </c>
      <c r="D16" s="516"/>
      <c r="E16" s="516"/>
      <c r="F16" s="516"/>
      <c r="G16" s="516"/>
      <c r="H16" s="516"/>
      <c r="I16" s="517"/>
      <c r="J16" s="271">
        <f>'Rennovation Measurement'!K230</f>
        <v>0.36</v>
      </c>
      <c r="K16" s="269" t="str">
        <f>'AType Cottage'!L11</f>
        <v>cum</v>
      </c>
      <c r="L16" s="269">
        <f>'AType Cottage'!M11</f>
        <v>74199.7</v>
      </c>
      <c r="M16" s="237">
        <f t="shared" si="0"/>
        <v>26712</v>
      </c>
    </row>
    <row r="17" spans="1:19" ht="115.8" customHeight="1" x14ac:dyDescent="0.25">
      <c r="A17" s="333">
        <v>15</v>
      </c>
      <c r="B17" s="334">
        <f>'AType Cottage'!B12</f>
        <v>9.5</v>
      </c>
      <c r="C17" s="536" t="str">
        <f>'AType Cottage'!C12</f>
        <v>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9.5.2 Kiln seasoned and chemically treated hollock wood
9.5.2.1 35 mm thick shutters</v>
      </c>
      <c r="D17" s="516"/>
      <c r="E17" s="516"/>
      <c r="F17" s="516"/>
      <c r="G17" s="516"/>
      <c r="H17" s="516"/>
      <c r="I17" s="517"/>
      <c r="J17" s="271">
        <f>'Rennovation Measurement'!K235</f>
        <v>16.7</v>
      </c>
      <c r="K17" s="269" t="s">
        <v>19</v>
      </c>
      <c r="L17" s="269">
        <f>'AType Cottage'!M17</f>
        <v>2511.9499999999998</v>
      </c>
      <c r="M17" s="237">
        <f t="shared" si="0"/>
        <v>41950</v>
      </c>
    </row>
    <row r="18" spans="1:19" ht="61.2" customHeight="1" x14ac:dyDescent="0.25">
      <c r="A18" s="330">
        <v>16</v>
      </c>
      <c r="B18" s="329">
        <v>10.17</v>
      </c>
      <c r="C18" s="529" t="s">
        <v>169</v>
      </c>
      <c r="D18" s="516"/>
      <c r="E18" s="516"/>
      <c r="F18" s="516"/>
      <c r="G18" s="516"/>
      <c r="H18" s="516"/>
      <c r="I18" s="517"/>
      <c r="J18" s="254">
        <f>'Rennovation Measurement'!K238</f>
        <v>2</v>
      </c>
      <c r="K18" s="252" t="s">
        <v>171</v>
      </c>
      <c r="L18" s="252">
        <v>185.95</v>
      </c>
      <c r="M18" s="237">
        <f t="shared" si="0"/>
        <v>372</v>
      </c>
    </row>
    <row r="19" spans="1:19" ht="136.80000000000001" customHeight="1" x14ac:dyDescent="0.25">
      <c r="A19" s="330">
        <v>17</v>
      </c>
      <c r="B19" s="329">
        <v>10.14</v>
      </c>
      <c r="C19" s="529" t="s">
        <v>173</v>
      </c>
      <c r="D19" s="516"/>
      <c r="E19" s="516"/>
      <c r="F19" s="516"/>
      <c r="G19" s="516"/>
      <c r="H19" s="516"/>
      <c r="I19" s="517"/>
      <c r="J19" s="252">
        <f>'Rennovation Measurement'!K241</f>
        <v>10.5</v>
      </c>
      <c r="K19" s="252" t="s">
        <v>175</v>
      </c>
      <c r="L19" s="252">
        <v>444.5</v>
      </c>
      <c r="M19" s="237">
        <f t="shared" si="0"/>
        <v>4667</v>
      </c>
    </row>
    <row r="20" spans="1:19" ht="82.8" customHeight="1" x14ac:dyDescent="0.25">
      <c r="A20" s="330">
        <v>18</v>
      </c>
      <c r="B20" s="329">
        <v>9.1999999999999993</v>
      </c>
      <c r="C20" s="529" t="s">
        <v>177</v>
      </c>
      <c r="D20" s="516"/>
      <c r="E20" s="516"/>
      <c r="F20" s="516"/>
      <c r="G20" s="516"/>
      <c r="H20" s="516"/>
      <c r="I20" s="517"/>
      <c r="J20" s="252">
        <f>'Rennovation Measurement'!K244</f>
        <v>4.2</v>
      </c>
      <c r="K20" s="252" t="s">
        <v>19</v>
      </c>
      <c r="L20" s="252">
        <v>3086.1</v>
      </c>
      <c r="M20" s="237">
        <f t="shared" si="0"/>
        <v>12962</v>
      </c>
    </row>
    <row r="21" spans="1:19" ht="58.8" customHeight="1" x14ac:dyDescent="0.25">
      <c r="A21" s="330">
        <v>19</v>
      </c>
      <c r="B21" s="331">
        <v>9.9600000000000009</v>
      </c>
      <c r="C21" s="529" t="s">
        <v>180</v>
      </c>
      <c r="D21" s="516"/>
      <c r="E21" s="516"/>
      <c r="F21" s="516"/>
      <c r="G21" s="516"/>
      <c r="H21" s="516"/>
      <c r="I21" s="517"/>
      <c r="J21" s="252">
        <f>'Rennovation Measurement'!K247</f>
        <v>4</v>
      </c>
      <c r="K21" s="255" t="s">
        <v>171</v>
      </c>
      <c r="L21" s="255">
        <v>260.3</v>
      </c>
      <c r="M21" s="237">
        <f t="shared" si="0"/>
        <v>1041</v>
      </c>
    </row>
    <row r="22" spans="1:19" ht="70.2" customHeight="1" x14ac:dyDescent="0.25">
      <c r="A22" s="330">
        <v>20</v>
      </c>
      <c r="B22" s="331">
        <v>9.9700000000000006</v>
      </c>
      <c r="C22" s="529" t="s">
        <v>183</v>
      </c>
      <c r="D22" s="516"/>
      <c r="E22" s="516"/>
      <c r="F22" s="516"/>
      <c r="G22" s="516"/>
      <c r="H22" s="516"/>
      <c r="I22" s="517"/>
      <c r="J22" s="252">
        <f>'Rennovation Measurement'!K250</f>
        <v>2</v>
      </c>
      <c r="K22" s="252" t="s">
        <v>171</v>
      </c>
      <c r="L22" s="252">
        <v>117.65</v>
      </c>
      <c r="M22" s="237">
        <f t="shared" si="0"/>
        <v>235</v>
      </c>
    </row>
    <row r="23" spans="1:19" ht="55.2" customHeight="1" x14ac:dyDescent="0.25">
      <c r="A23" s="330">
        <v>21</v>
      </c>
      <c r="B23" s="335">
        <v>9.1</v>
      </c>
      <c r="C23" s="529" t="s">
        <v>185</v>
      </c>
      <c r="D23" s="516"/>
      <c r="E23" s="516"/>
      <c r="F23" s="516"/>
      <c r="G23" s="516"/>
      <c r="H23" s="516"/>
      <c r="I23" s="517"/>
      <c r="J23" s="252">
        <v>2</v>
      </c>
      <c r="K23" s="252" t="s">
        <v>171</v>
      </c>
      <c r="L23" s="252">
        <v>60.05</v>
      </c>
      <c r="M23" s="237">
        <f t="shared" si="0"/>
        <v>120</v>
      </c>
    </row>
    <row r="24" spans="1:19" ht="124.8" customHeight="1" x14ac:dyDescent="0.25">
      <c r="A24" s="330">
        <v>22</v>
      </c>
      <c r="B24" s="335">
        <v>9.1189999999999998</v>
      </c>
      <c r="C24" s="529" t="s">
        <v>188</v>
      </c>
      <c r="D24" s="516"/>
      <c r="E24" s="516"/>
      <c r="F24" s="516"/>
      <c r="G24" s="516"/>
      <c r="H24" s="516"/>
      <c r="I24" s="517"/>
      <c r="J24" s="252">
        <f>'Rennovation Measurement'!K258</f>
        <v>69.3</v>
      </c>
      <c r="K24" s="252" t="s">
        <v>190</v>
      </c>
      <c r="L24" s="252">
        <v>408.25</v>
      </c>
      <c r="M24" s="237">
        <f t="shared" si="0"/>
        <v>28292</v>
      </c>
    </row>
    <row r="25" spans="1:19" ht="301.8" customHeight="1" x14ac:dyDescent="0.25">
      <c r="A25" s="330">
        <v>23</v>
      </c>
      <c r="B25" s="335">
        <v>9.1199999999999992</v>
      </c>
      <c r="C25" s="529" t="s">
        <v>194</v>
      </c>
      <c r="D25" s="516"/>
      <c r="E25" s="516"/>
      <c r="F25" s="516"/>
      <c r="G25" s="516"/>
      <c r="H25" s="516"/>
      <c r="I25" s="517"/>
      <c r="J25" s="252">
        <f>'Rennovation Measurement'!K263</f>
        <v>22.05</v>
      </c>
      <c r="K25" s="252" t="s">
        <v>19</v>
      </c>
      <c r="L25" s="252">
        <v>2455.1</v>
      </c>
      <c r="M25" s="237">
        <f t="shared" si="0"/>
        <v>54135</v>
      </c>
    </row>
    <row r="26" spans="1:19" ht="73.2" customHeight="1" x14ac:dyDescent="0.25">
      <c r="A26" s="330">
        <v>24</v>
      </c>
      <c r="B26" s="331">
        <v>10.16</v>
      </c>
      <c r="C26" s="529" t="s">
        <v>196</v>
      </c>
      <c r="D26" s="516"/>
      <c r="E26" s="516"/>
      <c r="F26" s="516"/>
      <c r="G26" s="516"/>
      <c r="H26" s="516"/>
      <c r="I26" s="517"/>
      <c r="J26" s="252">
        <f>'Rennovation Measurement'!K267</f>
        <v>281</v>
      </c>
      <c r="K26" s="252" t="s">
        <v>198</v>
      </c>
      <c r="L26" s="252">
        <v>168.95</v>
      </c>
      <c r="M26" s="237">
        <f t="shared" si="0"/>
        <v>47475</v>
      </c>
    </row>
    <row r="27" spans="1:19" s="239" customFormat="1" ht="175.2" customHeight="1" x14ac:dyDescent="0.3">
      <c r="A27" s="336">
        <v>25</v>
      </c>
      <c r="B27" s="337" t="s">
        <v>200</v>
      </c>
      <c r="C27" s="530" t="s">
        <v>201</v>
      </c>
      <c r="D27" s="516"/>
      <c r="E27" s="516"/>
      <c r="F27" s="516"/>
      <c r="G27" s="516"/>
      <c r="H27" s="516"/>
      <c r="I27" s="517"/>
      <c r="J27" s="290">
        <f>'Rennovation Measurement'!K271</f>
        <v>237.2</v>
      </c>
      <c r="K27" s="244" t="s">
        <v>67</v>
      </c>
      <c r="L27" s="245">
        <v>671.55</v>
      </c>
      <c r="M27" s="246">
        <f t="shared" si="0"/>
        <v>159292</v>
      </c>
      <c r="N27" s="243"/>
      <c r="O27" s="240"/>
      <c r="P27" s="241">
        <f>SQRT(((R27)^2)+((S27)^2))</f>
        <v>3.9820000000000002</v>
      </c>
      <c r="Q27" s="241">
        <f>(5.2+0.5+0.5)/2</f>
        <v>3.1</v>
      </c>
      <c r="R27" s="239">
        <v>2.5</v>
      </c>
      <c r="S27" s="242">
        <f>Q27</f>
        <v>3.1</v>
      </c>
    </row>
    <row r="28" spans="1:19" s="239" customFormat="1" ht="67.8" customHeight="1" x14ac:dyDescent="0.3">
      <c r="A28" s="338">
        <v>26</v>
      </c>
      <c r="B28" s="338" t="s">
        <v>204</v>
      </c>
      <c r="C28" s="540" t="s">
        <v>205</v>
      </c>
      <c r="D28" s="516"/>
      <c r="E28" s="516"/>
      <c r="F28" s="516"/>
      <c r="G28" s="516"/>
      <c r="H28" s="516"/>
      <c r="I28" s="517"/>
      <c r="J28" s="254">
        <f>'Rennovation Measurement'!K274</f>
        <v>20.5</v>
      </c>
      <c r="K28" s="270" t="s">
        <v>175</v>
      </c>
      <c r="L28" s="239">
        <v>750.85</v>
      </c>
      <c r="M28" s="246">
        <f t="shared" si="0"/>
        <v>15392</v>
      </c>
      <c r="N28" s="238"/>
    </row>
    <row r="29" spans="1:19" ht="370.2" customHeight="1" x14ac:dyDescent="0.25">
      <c r="A29" s="330">
        <v>27</v>
      </c>
      <c r="B29" s="331">
        <v>12.52</v>
      </c>
      <c r="C29" s="529" t="s">
        <v>302</v>
      </c>
      <c r="D29" s="516"/>
      <c r="E29" s="516"/>
      <c r="F29" s="516"/>
      <c r="G29" s="516"/>
      <c r="H29" s="516"/>
      <c r="I29" s="517"/>
      <c r="J29" s="252">
        <f>'Rennovation Measurement'!K282</f>
        <v>146.91999999999999</v>
      </c>
      <c r="K29" s="252" t="s">
        <v>19</v>
      </c>
      <c r="L29" s="252">
        <v>1948.95</v>
      </c>
      <c r="M29" s="237">
        <f t="shared" si="0"/>
        <v>286340</v>
      </c>
    </row>
    <row r="30" spans="1:19" ht="123" customHeight="1" x14ac:dyDescent="0.25">
      <c r="A30" s="333">
        <v>28</v>
      </c>
      <c r="B30" s="334">
        <v>16.78</v>
      </c>
      <c r="C30" s="536" t="s">
        <v>209</v>
      </c>
      <c r="D30" s="516"/>
      <c r="E30" s="516"/>
      <c r="F30" s="516"/>
      <c r="G30" s="516"/>
      <c r="H30" s="516"/>
      <c r="I30" s="517"/>
      <c r="J30" s="269">
        <f>'Rennovation Measurement'!K285</f>
        <v>23.65</v>
      </c>
      <c r="K30" s="269" t="s">
        <v>14</v>
      </c>
      <c r="L30" s="269">
        <v>2658.1</v>
      </c>
      <c r="M30" s="237">
        <f t="shared" si="0"/>
        <v>62864</v>
      </c>
    </row>
    <row r="31" spans="1:19" ht="106.2" customHeight="1" x14ac:dyDescent="0.25">
      <c r="A31" s="333">
        <v>29</v>
      </c>
      <c r="B31" s="334">
        <v>16.68</v>
      </c>
      <c r="C31" s="536" t="s">
        <v>212</v>
      </c>
      <c r="D31" s="516"/>
      <c r="E31" s="516"/>
      <c r="F31" s="516"/>
      <c r="G31" s="516"/>
      <c r="H31" s="516"/>
      <c r="I31" s="517"/>
      <c r="J31" s="271">
        <f>'Rennovation Measurement'!K288</f>
        <v>236.5</v>
      </c>
      <c r="K31" s="269" t="s">
        <v>19</v>
      </c>
      <c r="L31" s="269">
        <v>951</v>
      </c>
      <c r="M31" s="237">
        <f t="shared" si="0"/>
        <v>224912</v>
      </c>
    </row>
    <row r="32" spans="1:19" ht="253.2" customHeight="1" x14ac:dyDescent="0.25">
      <c r="A32" s="333">
        <v>30</v>
      </c>
      <c r="B32" s="693">
        <v>22.6</v>
      </c>
      <c r="C32" s="536" t="str" cm="1">
        <f t="array" ref="C32">'Rennovation Measurement'!C289:C289</f>
        <v xml:space="preserve">Providing and laying water proofing treatment on roofs of slabs by applying cement slurry mixed with water proofing cement compound consisting of applying:
(a) after surface preparation, first layer of slurry of cement @ 0.488 kg/sqm mixed with water proofing cement compound @ 0.253 kg/sqm.
(b) laying second layer of Fibre glass cloth when the first layer is still green. Overlaps of joints of fibre cloth should not be less than 10 cm.
(c) third layer of 1.5 mm thickness consisting of slurry of cement @ 1.289 kg/sqm mixed with water proofing cement compound @ 0.670 kg/sqm and coarse sand @ 1.289 kg/sqm. This will be allowed to air cure for 4 hours followed by water curing for 48 hours. The entire treatment will be taken upto 30 cm on parapet wall and tucked into groove in parapet all around.
(d) fourth and final layer of brick tiling with cement mortar (which
will be paid for separately.
For the purpose of measurement the entire treated surface will be
measured. </v>
      </c>
      <c r="D32" s="694"/>
      <c r="E32" s="694"/>
      <c r="F32" s="694"/>
      <c r="G32" s="694"/>
      <c r="H32" s="694"/>
      <c r="I32" s="694"/>
      <c r="J32" s="271">
        <f>'Rennovation Measurement'!K291</f>
        <v>198</v>
      </c>
      <c r="K32" s="269" t="s">
        <v>19</v>
      </c>
      <c r="L32" s="269">
        <v>585.5</v>
      </c>
      <c r="M32" s="237">
        <f t="shared" si="0"/>
        <v>115929</v>
      </c>
    </row>
    <row r="33" spans="1:135" ht="54.6" customHeight="1" x14ac:dyDescent="0.25">
      <c r="A33" s="333">
        <v>31</v>
      </c>
      <c r="B33" s="737" t="str" cm="1">
        <f t="array" ref="B33">'Rennovation Measurement'!B293:B293</f>
        <v>5.22.6.A</v>
      </c>
      <c r="C33" s="536" t="str" cm="1">
        <f t="array" ref="C33">'Rennovation Measurement'!C292:C292 &amp; 'Rennovation Measurement'!C293:C293</f>
        <v>Steel reinforcement for R.C.C. work including straightening, cutting, bending, placing in position and binding all complete above plinth level.Thermo-Mechanically Treated bars of grade Fe-500D or more.</v>
      </c>
      <c r="D33" s="694"/>
      <c r="E33" s="694"/>
      <c r="F33" s="694"/>
      <c r="G33" s="694"/>
      <c r="H33" s="694"/>
      <c r="I33" s="694"/>
      <c r="J33" s="271">
        <f>'Rennovation Measurement'!K296</f>
        <v>65.099999999999994</v>
      </c>
      <c r="K33" s="269" t="s">
        <v>685</v>
      </c>
      <c r="L33" s="269">
        <v>89.65</v>
      </c>
      <c r="M33" s="237">
        <f t="shared" ref="M33:M35" si="1">ROUND(J33*L33,0)</f>
        <v>5836</v>
      </c>
    </row>
    <row r="34" spans="1:135" ht="28.2" customHeight="1" x14ac:dyDescent="0.25">
      <c r="A34" s="333">
        <v>32</v>
      </c>
      <c r="B34" s="693" t="str" cm="1">
        <f t="array" ref="B34">'Rennovation Measurement'!B297:B297</f>
        <v>5.9.3</v>
      </c>
      <c r="C34" s="536" t="str" cm="1">
        <f t="array" ref="C34">'Rennovation Measurement'!C297:C297</f>
        <v>Suspended floors, roofs, landings, balconies and access
 platform</v>
      </c>
      <c r="D34" s="694"/>
      <c r="E34" s="694"/>
      <c r="F34" s="694"/>
      <c r="G34" s="694"/>
      <c r="H34" s="694"/>
      <c r="I34" s="694"/>
      <c r="J34" s="271">
        <f>'Rennovation Measurement'!K299</f>
        <v>7.5</v>
      </c>
      <c r="K34" s="269" t="s">
        <v>19</v>
      </c>
      <c r="L34" s="269">
        <f>'Rennovation Measurement'!M299</f>
        <v>766.55</v>
      </c>
      <c r="M34" s="237">
        <f t="shared" si="1"/>
        <v>5749</v>
      </c>
    </row>
    <row r="35" spans="1:135" ht="109.2" customHeight="1" x14ac:dyDescent="0.25">
      <c r="A35" s="333">
        <v>33</v>
      </c>
      <c r="B35" s="693">
        <f>'Rennovation Measurement'!B300</f>
        <v>5.3</v>
      </c>
      <c r="C35" s="536" t="str" cm="1">
        <f t="array" ref="C35">'Rennovation Measurement'!C300:C300</f>
        <v>Reinforced cement concrete work in beams, suspended floors, roofs having slope up to 15° landings, balconies, shelves, chajjas, lintels, bands, plain window sills, staircases and spiral stair cases above plinth level up to floor five level, excluding the cost of centering, shuttering, finishing and reinforcement with 1:1.5:3 (1 cement : 1.5 coarse sand(zone-III) derived from natural sources : 3 graded stone aggregate 20 mm nominal size derived from natural sources).</v>
      </c>
      <c r="D35" s="694"/>
      <c r="E35" s="694"/>
      <c r="F35" s="694"/>
      <c r="G35" s="694"/>
      <c r="H35" s="694"/>
      <c r="I35" s="694"/>
      <c r="J35" s="271">
        <f>'Rennovation Measurement'!K302</f>
        <v>0.75</v>
      </c>
      <c r="K35" s="269" t="s">
        <v>163</v>
      </c>
      <c r="L35" s="269">
        <f>'Rennovation Measurement'!M302</f>
        <v>10719.3</v>
      </c>
      <c r="M35" s="237">
        <f t="shared" si="1"/>
        <v>8039</v>
      </c>
    </row>
    <row r="36" spans="1:135" ht="75.599999999999994" customHeight="1" x14ac:dyDescent="0.25">
      <c r="A36" s="333">
        <v>34</v>
      </c>
      <c r="B36" s="693">
        <v>6.3</v>
      </c>
      <c r="C36" s="536" t="str" cm="1">
        <f t="array" ref="C36">'Rennovation Measurement'!C303:C303</f>
        <v xml:space="preserve"> Brick work with common burnt clay machine moulded perforated bricks of class designation 12.5 conforming to IS: 2222 in superstructure above plinth level up to floor five level in cement mortar 1:6 (1 cement : 6 coarse sand) :
 6.3.1 With F.P.S.(non modular) bricks </v>
      </c>
      <c r="D36" s="694"/>
      <c r="E36" s="694"/>
      <c r="F36" s="694"/>
      <c r="G36" s="694"/>
      <c r="H36" s="694"/>
      <c r="I36" s="694"/>
      <c r="J36" s="271">
        <f>'Rennovation Measurement'!K305</f>
        <v>3.45</v>
      </c>
      <c r="K36" s="269" t="s">
        <v>163</v>
      </c>
      <c r="L36" s="269">
        <v>8030.6</v>
      </c>
      <c r="M36" s="237">
        <f t="shared" ref="M36" si="2">ROUND(J36*L36,0)</f>
        <v>27706</v>
      </c>
    </row>
    <row r="37" spans="1:135" ht="31.2" customHeight="1" x14ac:dyDescent="0.25">
      <c r="A37" s="333">
        <v>35</v>
      </c>
      <c r="B37" s="693" t="str">
        <f>'Rennovation Measurement'!B306</f>
        <v>13.14</v>
      </c>
      <c r="C37" s="536" t="str" cm="1">
        <f t="array" ref="C37">'Rennovation Measurement'!C306:C306</f>
        <v>15 mm cement plaster 1:2 (1 cement : 2 stone dust) on the rough
 side of single or half brick wall.:</v>
      </c>
      <c r="D37" s="694"/>
      <c r="E37" s="694"/>
      <c r="F37" s="694"/>
      <c r="G37" s="694"/>
      <c r="H37" s="694"/>
      <c r="I37" s="694"/>
      <c r="J37" s="271">
        <f>'Rennovation Measurement'!K308</f>
        <v>68.97</v>
      </c>
      <c r="K37" s="269" t="s">
        <v>163</v>
      </c>
      <c r="L37" s="269">
        <v>376.65</v>
      </c>
      <c r="M37" s="237">
        <f t="shared" ref="M37:M38" si="3">ROUND(J37*L37,0)</f>
        <v>25978</v>
      </c>
    </row>
    <row r="38" spans="1:135" ht="69.599999999999994" customHeight="1" x14ac:dyDescent="0.25">
      <c r="A38" s="333">
        <v>36</v>
      </c>
      <c r="B38" s="693" t="str">
        <f>'Rennovation Measurement'!B309</f>
        <v>9.48</v>
      </c>
      <c r="C38" s="536" t="str" cm="1">
        <f t="array" ref="C38">'Rennovation Measurement'!C309:C309</f>
        <v xml:space="preserve"> Providing and fixing M.S. grills of required pattern in frames of windows etc. with M.S. flats, square or round bars etc. including priming coat  with approved steel primer all complete.
 9.48.2 Fixed to openings /wooden frames with rawl plugs screws etc.</v>
      </c>
      <c r="D38" s="694"/>
      <c r="E38" s="694"/>
      <c r="F38" s="694"/>
      <c r="G38" s="694"/>
      <c r="H38" s="694"/>
      <c r="I38" s="694"/>
      <c r="J38" s="271">
        <f>'Rennovation Measurement'!K311</f>
        <v>975</v>
      </c>
      <c r="K38" s="269" t="s">
        <v>163</v>
      </c>
      <c r="L38" s="269">
        <v>197.7</v>
      </c>
      <c r="M38" s="237">
        <f t="shared" si="3"/>
        <v>192758</v>
      </c>
    </row>
    <row r="39" spans="1:135" ht="13.8" customHeight="1" x14ac:dyDescent="0.25">
      <c r="A39" s="738" t="s">
        <v>215</v>
      </c>
      <c r="B39" s="739"/>
      <c r="C39" s="739"/>
      <c r="D39" s="739"/>
      <c r="E39" s="739"/>
      <c r="F39" s="739"/>
      <c r="G39" s="739"/>
      <c r="H39" s="739"/>
      <c r="I39" s="739"/>
      <c r="J39" s="739"/>
      <c r="K39" s="739"/>
      <c r="L39" s="740"/>
      <c r="M39" s="40">
        <f>ROUND(SUM(M3:M35),0)</f>
        <v>2357162</v>
      </c>
    </row>
    <row r="40" spans="1:135" s="54" customFormat="1" ht="15.6" customHeight="1" x14ac:dyDescent="0.25">
      <c r="A40" s="537" t="s">
        <v>304</v>
      </c>
      <c r="B40" s="516"/>
      <c r="C40" s="516"/>
      <c r="D40" s="516"/>
      <c r="E40" s="516"/>
      <c r="F40" s="516"/>
      <c r="G40" s="516"/>
      <c r="H40" s="516"/>
      <c r="I40" s="516"/>
      <c r="J40" s="516"/>
      <c r="K40" s="516"/>
      <c r="L40" s="516"/>
      <c r="M40" s="40">
        <f>M39</f>
        <v>2357162</v>
      </c>
    </row>
    <row r="41" spans="1:135" s="54" customFormat="1" ht="18.600000000000001" customHeight="1" x14ac:dyDescent="0.3">
      <c r="A41" s="339"/>
      <c r="B41" s="340"/>
      <c r="C41" s="538" t="str">
        <f>CU47</f>
        <v>(Rupees twenty three lakh fifty seven thousand one hundred sixty two) only.</v>
      </c>
      <c r="D41" s="539"/>
      <c r="E41" s="539"/>
      <c r="F41" s="539"/>
      <c r="G41" s="539"/>
      <c r="H41" s="539"/>
      <c r="I41" s="539"/>
      <c r="J41" s="539"/>
      <c r="K41" s="539"/>
      <c r="L41" s="539"/>
      <c r="M41" s="539"/>
      <c r="N41" s="68"/>
    </row>
    <row r="42" spans="1:135" s="54" customFormat="1" ht="7.2" customHeight="1" x14ac:dyDescent="0.3">
      <c r="A42" s="339"/>
      <c r="B42" s="340"/>
      <c r="J42" s="291"/>
      <c r="K42" s="69"/>
      <c r="L42" s="66"/>
      <c r="M42" s="70"/>
      <c r="N42" s="68"/>
    </row>
    <row r="43" spans="1:135" s="54" customFormat="1" ht="13.8" customHeight="1" x14ac:dyDescent="0.3">
      <c r="A43" s="339"/>
      <c r="B43" s="340"/>
      <c r="J43" s="291"/>
      <c r="K43" s="69"/>
      <c r="L43" s="66"/>
      <c r="M43" s="70"/>
      <c r="N43" s="68"/>
    </row>
    <row r="44" spans="1:135" s="54" customFormat="1" ht="13.8" customHeight="1" x14ac:dyDescent="0.3">
      <c r="A44" s="339"/>
      <c r="B44" s="340"/>
      <c r="J44" s="291"/>
      <c r="K44" s="69"/>
      <c r="L44" s="66"/>
      <c r="M44" s="70"/>
      <c r="N44" s="68"/>
    </row>
    <row r="45" spans="1:135" s="54" customFormat="1" ht="13.8" customHeight="1" x14ac:dyDescent="0.3">
      <c r="A45" s="339"/>
      <c r="B45" s="340"/>
      <c r="J45" s="291"/>
      <c r="K45" s="69"/>
      <c r="L45" s="66"/>
      <c r="M45" s="70"/>
      <c r="N45" s="68"/>
    </row>
    <row r="46" spans="1:135" s="54" customFormat="1" ht="14.4" customHeight="1" thickBot="1" x14ac:dyDescent="0.35">
      <c r="A46" s="339"/>
      <c r="B46" s="340"/>
      <c r="J46" s="291"/>
      <c r="K46" s="69"/>
      <c r="L46" s="66"/>
      <c r="M46" s="70"/>
      <c r="N46" s="68"/>
    </row>
    <row r="47" spans="1:135" s="53" customFormat="1" ht="12.75" customHeight="1" thickBot="1" x14ac:dyDescent="0.35">
      <c r="A47" s="42">
        <f>M40</f>
        <v>2357162</v>
      </c>
      <c r="B47" s="43" t="s">
        <v>263</v>
      </c>
      <c r="C47" s="44">
        <v>1</v>
      </c>
      <c r="D47" s="45" t="s">
        <v>264</v>
      </c>
      <c r="E47" s="44">
        <v>2</v>
      </c>
      <c r="F47" s="45" t="s">
        <v>265</v>
      </c>
      <c r="G47" s="44">
        <v>3</v>
      </c>
      <c r="H47" s="45" t="s">
        <v>266</v>
      </c>
      <c r="I47" s="44">
        <v>4</v>
      </c>
      <c r="J47" s="217" t="s">
        <v>267</v>
      </c>
      <c r="K47" s="44">
        <v>5</v>
      </c>
      <c r="L47" s="45" t="s">
        <v>268</v>
      </c>
      <c r="M47" s="44">
        <v>6</v>
      </c>
      <c r="N47" s="217" t="s">
        <v>269</v>
      </c>
      <c r="O47" s="44">
        <v>7</v>
      </c>
      <c r="P47" s="45" t="s">
        <v>270</v>
      </c>
      <c r="Q47" s="44">
        <v>8</v>
      </c>
      <c r="R47" s="45" t="s">
        <v>271</v>
      </c>
      <c r="S47" s="44">
        <v>9</v>
      </c>
      <c r="T47" s="45" t="s">
        <v>272</v>
      </c>
      <c r="U47" s="44">
        <v>10</v>
      </c>
      <c r="V47" s="45" t="s">
        <v>273</v>
      </c>
      <c r="W47" s="44">
        <v>11</v>
      </c>
      <c r="X47" s="45" t="s">
        <v>274</v>
      </c>
      <c r="Y47" s="44">
        <v>12</v>
      </c>
      <c r="Z47" s="45" t="s">
        <v>275</v>
      </c>
      <c r="AA47" s="44">
        <v>13</v>
      </c>
      <c r="AB47" s="45" t="s">
        <v>276</v>
      </c>
      <c r="AC47" s="44">
        <v>14</v>
      </c>
      <c r="AD47" s="45" t="s">
        <v>277</v>
      </c>
      <c r="AE47" s="44">
        <v>15</v>
      </c>
      <c r="AF47" s="45" t="s">
        <v>278</v>
      </c>
      <c r="AG47" s="44">
        <v>16</v>
      </c>
      <c r="AH47" s="45" t="s">
        <v>279</v>
      </c>
      <c r="AI47" s="44">
        <v>17</v>
      </c>
      <c r="AJ47" s="45" t="s">
        <v>280</v>
      </c>
      <c r="AK47" s="44">
        <v>18</v>
      </c>
      <c r="AL47" s="45" t="s">
        <v>281</v>
      </c>
      <c r="AM47" s="44">
        <v>19</v>
      </c>
      <c r="AN47" s="45" t="s">
        <v>282</v>
      </c>
      <c r="AO47" s="46" t="s">
        <v>283</v>
      </c>
      <c r="AP47" s="47" t="s">
        <v>284</v>
      </c>
      <c r="AQ47" s="48" t="s">
        <v>285</v>
      </c>
      <c r="AR47" s="48" t="str">
        <f>IF(AX47="","",IF(AX47&gt;=90,"ninety "&amp;IF((AX47-ROUNDDOWN(AX47,-1))=C47,D47,"")&amp;IF((AX47-ROUNDDOWN(AX47,-1))=E47,F47,"")&amp;IF((AX47-ROUNDDOWN(AX47,-1))=G47,H47,"")&amp;IF((AX47-ROUNDDOWN(AX47,-1))=I47,J47,"")&amp;IF((AX47-ROUNDDOWN(AX47,-1))=K47,L47,"")&amp;IF((AX47-ROUNDDOWN(AX47,-1))=M47,N47,"")&amp;IF((AX47-ROUNDDOWN(AX47,-1))=O47,P47,"")&amp;IF((AX47-ROUNDDOWN(AX47,-1))=Q47,R47,"")&amp;IF((AX47-ROUNDDOWN(AX47,-1))=S47,T47,""),IF(AX47&gt;=80,"eighty "&amp;IF((AX47-ROUNDDOWN(AX47,-1))=1,D47,"")&amp;IF((AX47-ROUNDDOWN(AX47,-1))=2,F47,"")&amp;IF((AX47-ROUNDDOWN(AX47,-1))=G47,H47,"")&amp;IF((AX47-ROUNDDOWN(AX47,-1))=I47,J47,"")&amp;IF((AX47-ROUNDDOWN(AX47,-1))=K47,L47,"")&amp;IF((AX47-ROUNDDOWN(AX47,-1))=M47,N47,"")&amp;IF((AX47-ROUNDDOWN(AX47,-1))=O47,P47,"")&amp;IF((AX47-ROUNDDOWN(AX47,-1))=Q47,R47,"")&amp;IF((AX47-ROUNDDOWN(AX47,-1))=S47,T47,""),"")))</f>
        <v/>
      </c>
      <c r="AS47" s="48" t="str">
        <f>IF(AX47="","",IF(AX47&gt;79,"",IF(AX47&gt;=70,"seventy "&amp;IF((AX47-ROUNDDOWN(AX47,-1))=C47,D47,"")&amp;IF((AX47-ROUNDDOWN(AX47,-1))=E47,F47,"")&amp;IF((AX47-ROUNDDOWN(AX47,-1))=G47,H47,"")&amp;IF((AX47-ROUNDDOWN(AX47,-1))=I47,J47,"")&amp;IF((AX47-ROUNDDOWN(AX47,-1))=K47,L47,"")&amp;IF((AX47-ROUNDDOWN(AX47,-1))=M47,N47,"")&amp;IF((AX47-ROUNDDOWN(AX47,-1))=O47,P47,"")&amp;IF((AX47-ROUNDDOWN(AX47,-1))=Q47,R47,"")&amp;IF((AX47-ROUNDDOWN(AX47,-1))=S47,T47,""),IF(AX47&gt;=60,"sixty "&amp;IF((AX47-ROUNDDOWN(AX47,-1))=1,D47,"")&amp;IF((AX47-ROUNDDOWN(AX47,-1))=2,F47,"")&amp;IF((AX47-ROUNDDOWN(AX47,-1))=G47,H47,"")&amp;IF((AX47-ROUNDDOWN(AX47,-1))=I47,J47,"")&amp;IF((AX47-ROUNDDOWN(AX47,-1))=K47,L47,"")&amp;IF((AX47-ROUNDDOWN(AX47,-1))=M47,N47,"")&amp;IF((AX47-ROUNDDOWN(AX47,-1))=O47,P47,"")&amp;IF((AX47-ROUNDDOWN(AX47,-1))=Q47,R47,"")&amp;IF((AX47-ROUNDDOWN(AX47,-1))=S47,T47,""),""))))</f>
        <v/>
      </c>
      <c r="AT47" s="48" t="str">
        <f>IF(AX47="","",IF(AX47&gt;59,"",IF(AX47&gt;=50,"fifty "&amp;IF((AX47-ROUNDDOWN(AX47,-1))=C47,D47,"")&amp;IF((AX47-ROUNDDOWN(AX47,-1))=E47,F47,"")&amp;IF((AX47-ROUNDDOWN(AX47,-1))=G47,H47,"")&amp;IF((AX47-ROUNDDOWN(AX47,-1))=I47,J47,"")&amp;IF((AX47-ROUNDDOWN(AX47,-1))=K47,L47,"")&amp;IF((AX47-ROUNDDOWN(AX47,-1))=M47,N47,"")&amp;IF((AX47-ROUNDDOWN(AX47,-1))=O47,P47,"")&amp;IF((AX47-ROUNDDOWN(AX47,-1))=Q47,R47,"")&amp;IF((AX47-ROUNDDOWN(AX47,-1))=S47,T47,""),IF(AX47&gt;=40,"forty "&amp;IF((AX47-ROUNDDOWN(AX47,-1))=1,D47,"")&amp;IF((AX47-ROUNDDOWN(AX47,-1))=2,F47,"")&amp;IF((AX47-ROUNDDOWN(AX47,-1))=G47,H47,"")&amp;IF((AX47-ROUNDDOWN(AX47,-1))=I47,J47,"")&amp;IF((AX47-ROUNDDOWN(AX47,-1))=K47,L47,"")&amp;IF((AX47-ROUNDDOWN(AX47,-1))=M47,N47,"")&amp;IF((AX47-ROUNDDOWN(AX47,-1))=O47,P47,"")&amp;IF((AX47-ROUNDDOWN(AX47,-1))=Q47,R47,"")&amp;IF((AX47-ROUNDDOWN(AX47,-1))=S47,T47,""),""))))</f>
        <v/>
      </c>
      <c r="AU47" s="48" t="str">
        <f>IF(AX47="","",IF(AX47&gt;39,"",IF(AX47&gt;=30,"thirty "&amp;IF((AX47-ROUNDDOWN(AX47,-1))=C47,D47,"")&amp;IF((AX47-ROUNDDOWN(AX47,-1))=E47,F47,"")&amp;IF((AX47-ROUNDDOWN(AX47,-1))=G47,H47,"")&amp;IF((AX47-ROUNDDOWN(AX47,-1))=I47,J47,"")&amp;IF((AX47-ROUNDDOWN(AX47,-1))=K47,L47,"")&amp;IF((AX47-ROUNDDOWN(AX47,-1))=M47,N47,"")&amp;IF((AX47-ROUNDDOWN(AX47,-1))=O47,P47,"")&amp;IF((AX47-ROUNDDOWN(AX47,-1))=Q47,R47,"")&amp;IF((AX47-ROUNDDOWN(AX47,-1))=S47,T47,""),IF(AX47&gt;=20,"twenty "&amp;IF((AX47-ROUNDDOWN(AX47,-1))=1,D47,"")&amp;IF((AX47-ROUNDDOWN(AX47,-1))=2,F47,"")&amp;IF((AX47-ROUNDDOWN(AX47,-1))=G47,H47,"")&amp;IF((AX47-ROUNDDOWN(AX47,-1))=I47,J47,"")&amp;IF((AX47-ROUNDDOWN(AX47,-1))=K47,L47,"")&amp;IF((AX47-ROUNDDOWN(AX47,-1))=M47,N47,"")&amp;IF((AX47-ROUNDDOWN(AX47,-1))=O47,P47,"")&amp;IF((AX47-ROUNDDOWN(AX47,-1))=Q47,R47,"")&amp;IF((AX47-ROUNDDOWN(AX47,-1))=S47,T47,""),""))))</f>
        <v/>
      </c>
      <c r="AV47" s="48" t="str">
        <f>IF(AX47="","",IF(AX47=C47,D47,"")&amp;IF(AX47=E47,F47,"")&amp;IF(AX47=G47,H47,"")&amp;IF(AX47=I47,J47,"")&amp;IF(AX47=K47,L47,"")&amp;IF(AX47=M47,N47,"")&amp;IF(AX47=O47,P47,"")&amp;IF(AX47=Q47,R47,"")&amp;IF(AX47=S47,T47,"")&amp;IF(AX47=U47,V47,"")&amp;IF(AX47=W47,X47,"")&amp;IF(AX47=Y47,Z47,"")&amp;IF(AX47=AA47,AB47,"")&amp;IF(AX47=AC47,AD47,"")&amp;IF(AX47=AE47,AF47,"")&amp;IF(AX47=AG47,AH47,"")&amp;IF(AX47=AI47,AJ47,"")&amp;IF(AX47=AK47,AL47,"")&amp;IF(AX47=AM47,AN47,""))</f>
        <v/>
      </c>
      <c r="AW47" s="49"/>
      <c r="AX47" s="48" t="str">
        <f>IF(A47&gt;=10000000,ROUNDDOWN(A47,-7)/10000000,"")</f>
        <v/>
      </c>
      <c r="AY47" s="48" t="str">
        <f>IF(AR47="","",AR47)&amp;IF(AS47="","",AS47)&amp;IF(AT47="","",AT47)&amp;IF(AU47="","",AU47)&amp;IF(AV47="","",AV47)</f>
        <v/>
      </c>
      <c r="AZ47" s="48" t="s">
        <v>286</v>
      </c>
      <c r="BA47" s="48" t="str">
        <f>IF(BG47="","",IF(BG47&gt;=90,"ninety "&amp;IF((BG47-ROUNDDOWN(BG47,-1))=C47,D47,"")&amp;IF((BG47-ROUNDDOWN(BG47,-1))=E47,F47,"")&amp;IF((BG47-ROUNDDOWN(BG47,-1))=G47,H47,"")&amp;IF((BG47-ROUNDDOWN(BG47,-1))=I47,J47,"")&amp;IF((BG47-ROUNDDOWN(BG47,-1))=K47,L47,"")&amp;IF((BG47-ROUNDDOWN(BG47,-1))=M47,N47,"")&amp;IF((BG47-ROUNDDOWN(BG47,-1))=O47,P47,"")&amp;IF((BG47-ROUNDDOWN(BG47,-1))=Q47,R47,"")&amp;IF((BG47-ROUNDDOWN(BG47,-1))=S47,T47,""),IF(BG47&gt;=80,"eighty "&amp;IF((BG47-ROUNDDOWN(BG47,-1))=1,D47,"")&amp;IF((BG47-ROUNDDOWN(BG47,-1))=2,F47,"")&amp;IF((BG47-ROUNDDOWN(BG47,-1))=G47,H47,"")&amp;IF((BG47-ROUNDDOWN(BG47,-1))=I47,J47,"")&amp;IF((BG47-ROUNDDOWN(BG47,-1))=K47,L47,"")&amp;IF((BG47-ROUNDDOWN(BG47,-1))=M47,N47,"")&amp;IF((BG47-ROUNDDOWN(BG47,-1))=O47,P47,"")&amp;IF((BG47-ROUNDDOWN(BG47,-1))=Q47,R47,"")&amp;IF((BG47-ROUNDDOWN(BG47,-1))=S47,T47,""),"")))</f>
        <v/>
      </c>
      <c r="BB47" s="48" t="str">
        <f>IF(BG47="","",IF(BG47&gt;79,"",IF(BG47&gt;=70,"seventy "&amp;IF((BG47-ROUNDDOWN(BG47,-1))=C47,D47,"")&amp;IF((BG47-ROUNDDOWN(BG47,-1))=E47,F47,"")&amp;IF((BG47-ROUNDDOWN(BG47,-1))=G47,H47,"")&amp;IF((BG47-ROUNDDOWN(BG47,-1))=I47,J47,"")&amp;IF((BG47-ROUNDDOWN(BG47,-1))=K47,L47,"")&amp;IF((BG47-ROUNDDOWN(BG47,-1))=M47,N47,"")&amp;IF((BG47-ROUNDDOWN(BG47,-1))=O47,P47,"")&amp;IF((BG47-ROUNDDOWN(BG47,-1))=Q47,R47,"")&amp;IF((BG47-ROUNDDOWN(BG47,-1))=S47,T47,""),IF(BG47&gt;=60,"sixty "&amp;IF((BG47-ROUNDDOWN(BG47,-1))=1,D47,"")&amp;IF((BG47-ROUNDDOWN(BG47,-1))=2,F47,"")&amp;IF((BG47-ROUNDDOWN(BG47,-1))=G47,H47,"")&amp;IF((BG47-ROUNDDOWN(BG47,-1))=I47,J47,"")&amp;IF((BG47-ROUNDDOWN(BG47,-1))=K47,L47,"")&amp;IF((BG47-ROUNDDOWN(BG47,-1))=M47,N47,"")&amp;IF((BG47-ROUNDDOWN(BG47,-1))=O47,P47,"")&amp;IF((BG47-ROUNDDOWN(BG47,-1))=Q47,R47,"")&amp;IF((BG47-ROUNDDOWN(BG47,-1))=S47,T47,""),""))))</f>
        <v/>
      </c>
      <c r="BC47" s="48" t="str">
        <f>IF(BG47="","",IF(BG47&gt;59,"",IF(BG47&gt;=50,"fifty "&amp;IF((BG47-ROUNDDOWN(BG47,-1))=C47,D47,"")&amp;IF((BG47-ROUNDDOWN(BG47,-1))=E47,F47,"")&amp;IF((BG47-ROUNDDOWN(BG47,-1))=G47,H47,"")&amp;IF((BG47-ROUNDDOWN(BG47,-1))=I47,J47,"")&amp;IF((BG47-ROUNDDOWN(BG47,-1))=K47,L47,"")&amp;IF((BG47-ROUNDDOWN(BG47,-1))=M47,N47,"")&amp;IF((BG47-ROUNDDOWN(BG47,-1))=O47,P47,"")&amp;IF((BG47-ROUNDDOWN(BG47,-1))=Q47,R47,"")&amp;IF((BG47-ROUNDDOWN(BG47,-1))=S47,T47,""),IF(BG47&gt;=40,"forty "&amp;IF((BG47-ROUNDDOWN(BG47,-1))=1,D47,"")&amp;IF((BG47-ROUNDDOWN(BG47,-1))=2,F47,"")&amp;IF((BG47-ROUNDDOWN(BG47,-1))=G47,H47,"")&amp;IF((BG47-ROUNDDOWN(BG47,-1))=I47,J47,"")&amp;IF((BG47-ROUNDDOWN(BG47,-1))=K47,L47,"")&amp;IF((BG47-ROUNDDOWN(BG47,-1))=M47,N47,"")&amp;IF((BG47-ROUNDDOWN(BG47,-1))=O47,P47,"")&amp;IF((BG47-ROUNDDOWN(BG47,-1))=Q47,R47,"")&amp;IF((BG47-ROUNDDOWN(BG47,-1))=S47,T47,""),""))))</f>
        <v/>
      </c>
      <c r="BD47" s="48" t="str">
        <f>IF(BG47="","",IF(BG47&gt;39,"",IF(BG47&gt;=30,"thirty "&amp;IF((BG47-ROUNDDOWN(BG47,-1))=C47,D47,"")&amp;IF((BG47-ROUNDDOWN(BG47,-1))=E47,F47,"")&amp;IF((BG47-ROUNDDOWN(BG47,-1))=G47,H47,"")&amp;IF((BG47-ROUNDDOWN(BG47,-1))=I47,J47,"")&amp;IF((BG47-ROUNDDOWN(BG47,-1))=K47,L47,"")&amp;IF((BG47-ROUNDDOWN(BG47,-1))=M47,N47,"")&amp;IF((BG47-ROUNDDOWN(BG47,-1))=O47,P47,"")&amp;IF((BG47-ROUNDDOWN(BG47,-1))=Q47,R47,"")&amp;IF((BG47-ROUNDDOWN(BG47,-1))=S47,T47,""),IF(BG47&gt;=20,"twenty "&amp;IF((BG47-ROUNDDOWN(BG47,-1))=1,D47,"")&amp;IF((BG47-ROUNDDOWN(BG47,-1))=2,F47,"")&amp;IF((BG47-ROUNDDOWN(BG47,-1))=G47,H47,"")&amp;IF((BG47-ROUNDDOWN(BG47,-1))=I47,J47,"")&amp;IF((BG47-ROUNDDOWN(BG47,-1))=K47,L47,"")&amp;IF((BG47-ROUNDDOWN(BG47,-1))=M47,N47,"")&amp;IF((BG47-ROUNDDOWN(BG47,-1))=O47,P47,"")&amp;IF((BG47-ROUNDDOWN(BG47,-1))=Q47,R47,"")&amp;IF((BG47-ROUNDDOWN(BG47,-1))=S47,T47,""),""))))</f>
        <v>twenty three</v>
      </c>
      <c r="BE47" s="48" t="str">
        <f>IF(BG47="","",IF(BG47=C47,D47,"")&amp;IF(BG47=E47,F47,"")&amp;IF(BG47=G47,H47,"")&amp;IF(BG47=I47,J47,"")&amp;IF(BG47=K47,L47,"")&amp;IF(BG47=M47,N47,"")&amp;IF(BG47=O47,P47,"")&amp;IF(BG47=Q47,R47,"")&amp;IF(BG47=S47,T47,"")&amp;IF(BG47=U47,V47,"")&amp;IF(BG47=W47,X47,"")&amp;IF(BG47=Y47,Z47,"")&amp;IF(BG47=AA47,AB47,"")&amp;IF(BG47=AC47,AD47,"")&amp;IF(BG47=AE47,AF47,"")&amp;IF(BG47=AG47,AH47,"")&amp;IF(BG47=AI47,AJ47,"")&amp;IF(BG47=AK47,AL47,"")&amp;IF(BG47=AM47,AN47,""))</f>
        <v/>
      </c>
      <c r="BF47" s="48"/>
      <c r="BG47" s="48">
        <f>IF(A47&gt;=100000,ROUNDDOWN((ROUND(A47,-4)-ROUNDDOWN(A47,-7))/100000,0),"")</f>
        <v>23</v>
      </c>
      <c r="BH47" s="48" t="str">
        <f>IF(BA47="","",BA47)&amp;IF(BB47="","",BB47)&amp;IF(BC47="","",BC47)&amp;IF(BD47="","",BD47)&amp;IF(BE47="","",BE47)</f>
        <v>twenty three</v>
      </c>
      <c r="BI47" s="48" t="s">
        <v>287</v>
      </c>
      <c r="BJ47" s="48" t="str">
        <f>IF(BP47="","",IF(BP47&gt;=90,"ninety "&amp;IF((BP47-ROUNDDOWN(BP47,-1))=1,D47,"")&amp;IF((BP47-ROUNDDOWN(BP47,-1))=2,F47,"")&amp;IF((BP47-ROUNDDOWN(BP47,-1))=G47,H47,"")&amp;IF((BP47-ROUNDDOWN(BP47,-1))=I47,J47,"")&amp;IF((BP47-ROUNDDOWN(BP47,-1))=K47,L47,"")&amp;IF((BP47-ROUNDDOWN(BP47,-1))=M47,N47,"")&amp;IF((BP47-ROUNDDOWN(BP47,-1))=O47,P47,"")&amp;IF((BP47-ROUNDDOWN(BP47,-1))=Q47,R47,"")&amp;IF((BP47-ROUNDDOWN(BP47,-1))=S47,T47,""),IF(BP47&gt;=80,"eighty "&amp;IF((BP47-ROUNDDOWN(BP47,-1))=1,D47,"")&amp;IF((BP47-ROUNDDOWN(BP47,-1))=2,F47,"")&amp;IF((BP47-ROUNDDOWN(BP47,-1))=G47,H47,"")&amp;IF((BP47-ROUNDDOWN(BP47,-1))=I47,J47,"")&amp;IF((BP47-ROUNDDOWN(BP47,-1))=K47,L47,"")&amp;IF((BP47-ROUNDDOWN(BP47,-1))=M47,N47,"")&amp;IF((BP47-ROUNDDOWN(BP47,-1))=O47,P47,"")&amp;IF((BP47-ROUNDDOWN(BP47,-1))=Q47,R47,"")&amp;IF((BP47-ROUNDDOWN(BP47,-1))=S47,T47,""),"")))</f>
        <v/>
      </c>
      <c r="BK47" s="48" t="str">
        <f>IF(BP47="","",IF(BP47&gt;79,"",IF(BP47&gt;=70,"seventy "&amp;IF((BP47-ROUNDDOWN(BP47,-1))=1,D47,"")&amp;IF((BP47-ROUNDDOWN(BP47,-1))=2,F47,"")&amp;IF((BP47-ROUNDDOWN(BP47,-1))=G47,H47,"")&amp;IF((BP47-ROUNDDOWN(BP47,-1))=I47,J47,"")&amp;IF((BP47-ROUNDDOWN(BP47,-1))=K47,L47,"")&amp;IF((BP47-ROUNDDOWN(BP47,-1))=M47,N47,"")&amp;IF((BP47-ROUNDDOWN(BP47,-1))=O47,P47,"")&amp;IF((BP47-ROUNDDOWN(BP47,-1))=Q47,R47,"")&amp;IF((BP47-ROUNDDOWN(BP47,-1))=S47,T47,""),IF(BP47&gt;=60,"sixty "&amp;IF((BP47-ROUNDDOWN(BP47,-1))=1,D47,"")&amp;IF((BP47-ROUNDDOWN(BP47,-1))=2,F47,"")&amp;IF((BP47-ROUNDDOWN(BP47,-1))=G47,H47,"")&amp;IF((BP47-ROUNDDOWN(BP47,-1))=I47,J47,"")&amp;IF((BP47-ROUNDDOWN(BP47,-1))=K47,L47,"")&amp;IF((BP47-ROUNDDOWN(BP47,-1))=M47,N47,"")&amp;IF((BP47-ROUNDDOWN(BP47,-1))=O47,P47,"")&amp;IF((BP47-ROUNDDOWN(BP47,-1))=Q47,R47,"")&amp;IF((BP47-ROUNDDOWN(BP47,-1))=S47,T47,""),""))))</f>
        <v/>
      </c>
      <c r="BL47" s="48" t="str">
        <f>IF(BP47="","",IF(BP47&gt;59,"",IF(BP47&gt;=50,"fifty "&amp;IF((BP47-ROUNDDOWN(BP47,-1))=1,D47,"")&amp;IF((BP47-ROUNDDOWN(BP47,-1))=2,F47,"")&amp;IF((BP47-ROUNDDOWN(BP47,-1))=G47,H47,"")&amp;IF((BP47-ROUNDDOWN(BP47,-1))=I47,J47,"")&amp;IF((BP47-ROUNDDOWN(BP47,-1))=K47,L47,"")&amp;IF((BP47-ROUNDDOWN(BP47,-1))=M47,N47,"")&amp;IF((BP47-ROUNDDOWN(BP47,-1))=O47,P47,"")&amp;IF((BP47-ROUNDDOWN(BP47,-1))=Q47,R47,"")&amp;IF((BP47-ROUNDDOWN(BP47,-1))=S47,T47,""),IF(BP47&gt;=40,"forty "&amp;IF((BP47-ROUNDDOWN(BP47,-1))=1,D47,"")&amp;IF((BP47-ROUNDDOWN(BP47,-1))=2,F47,"")&amp;IF((BP47-ROUNDDOWN(BP47,-1))=G47,H47,"")&amp;IF((BP47-ROUNDDOWN(BP47,-1))=I47,J47,"")&amp;IF((BP47-ROUNDDOWN(BP47,-1))=K47,L47,"")&amp;IF((BP47-ROUNDDOWN(BP47,-1))=M47,N47,"")&amp;IF((BP47-ROUNDDOWN(BP47,-1))=O47,P47,"")&amp;IF((BP47-ROUNDDOWN(BP47,-1))=Q47,R47,"")&amp;IF((BP47-ROUNDDOWN(BP47,-1))=S47,T47,""),""))))</f>
        <v>fifty seven</v>
      </c>
      <c r="BM47" s="48" t="str">
        <f>IF(BP47="","",IF(BP47&gt;39,"",IF(BP47&gt;=30,"thirty "&amp;IF((BP47-ROUNDDOWN(BP47,-1))=1,D47,"")&amp;IF((BP47-ROUNDDOWN(BP47,-1))=2,F47,"")&amp;IF((BP47-ROUNDDOWN(BP47,-1))=G47,H47,"")&amp;IF((BP47-ROUNDDOWN(BP47,-1))=I47,J47,"")&amp;IF((BP47-ROUNDDOWN(BP47,-1))=K47,L47,"")&amp;IF((BP47-ROUNDDOWN(BP47,-1))=M47,N47,"")&amp;IF((BP47-ROUNDDOWN(BP47,-1))=O47,P47,"")&amp;IF((BP47-ROUNDDOWN(BP47,-1))=Q47,R47,"")&amp;IF((BP47-ROUNDDOWN(BP47,-1))=S47,T47,""),IF(BP47&gt;=20,"twenty "&amp;IF((BP47-ROUNDDOWN(BP47,-1))=1,D47,"")&amp;IF((BP47-ROUNDDOWN(BP47,-1))=2,F47,"")&amp;IF((BP47-ROUNDDOWN(BP47,-1))=G47,H47,"")&amp;IF((BP47-ROUNDDOWN(BP47,-1))=I47,J47,"")&amp;IF((BP47-ROUNDDOWN(BP47,-1))=K47,L47,"")&amp;IF((BP47-ROUNDDOWN(BP47,-1))=M47,N47,"")&amp;IF((BP47-ROUNDDOWN(BP47,-1))=O47,P47,"")&amp;IF((BP47-ROUNDDOWN(BP47,-1))=Q47,R47,"")&amp;IF((BP47-ROUNDDOWN(BP47,-1))=S47,T47,""),""))))</f>
        <v/>
      </c>
      <c r="BN47" s="48" t="str">
        <f>IF(BP47="","",IF(BP47=C47,D47,"")&amp;IF(BP47=E47,F47,"")&amp;IF(BP47=G47,H47,"")&amp;IF(BP47=I47,J47,"")&amp;IF(BP47=K47,L47,"")&amp;IF(BP47=M47,N47,"")&amp;IF(BP47=O47,P47,"")&amp;IF(BP47=Q47,R47,"")&amp;IF(BP47=S47,T47,"")&amp;IF(BP47=U47,V47,"")&amp;IF(BP47=W47,X47,"")&amp;IF(BP47=Y47,Z47,"")&amp;IF(BP47=AA47,AB47,"")&amp;IF(BP47=AC47,AD47,"")&amp;IF(BP47=AE47,AF47,"")&amp;IF(BP47=AG47,AH47,"")&amp;IF(BP47=AI47,AJ47,"")&amp;IF(BP47=AK47,AL47,"")&amp;IF(BP47=AM47,AN47,""))</f>
        <v/>
      </c>
      <c r="BO47" s="48"/>
      <c r="BP47" s="48">
        <f>IF(A47&gt;=1000,ROUNDDOWN((A47-ROUNDDOWN(A47,-5))/1000,0),"")</f>
        <v>57</v>
      </c>
      <c r="BQ47" s="48" t="str">
        <f>IF(BJ47="","",BJ47)&amp;IF(BK47="","",BK47)&amp;IF(BL47="","",BL47)&amp;IF(BM47="","",BM47)&amp;IF(BN47="","",BN47)</f>
        <v>fifty seven</v>
      </c>
      <c r="BR47" s="48" t="s">
        <v>288</v>
      </c>
      <c r="BS47" s="48" t="str">
        <f>IF(BY47="","",IF(BY47&gt;=90,"ninety "&amp;IF((BY47-ROUNDDOWN(BY47,-1))=1,D47,"")&amp;IF((BY47-ROUNDDOWN(BY47,-1))=2,F47,"")&amp;IF((BY47-ROUNDDOWN(BY47,-1))=G47,H47,"")&amp;IF((BY47-ROUNDDOWN(BY47,-1))=I47,J47,"")&amp;IF((BY47-ROUNDDOWN(BY47,-1))=K47,L47,"")&amp;IF((BY47-ROUNDDOWN(BY47,-1))=M47,N47,"")&amp;IF((BY47-ROUNDDOWN(BY47,-1))=O47,P47,"")&amp;IF((BY47-ROUNDDOWN(BY47,-1))=Q47,R47,"")&amp;IF((BY47-ROUNDDOWN(BY47,-1))=S47,T47,""),IF(BY47&gt;=80,"eighty "&amp;IF((BY47-ROUNDDOWN(BY47,-1))=1,D47,"")&amp;IF((BY47-ROUNDDOWN(BY47,-1))=2,F47,"")&amp;IF((BY47-ROUNDDOWN(BY47,-1))=G47,H47,"")&amp;IF((BY47-ROUNDDOWN(BY47,-1))=I47,J47,"")&amp;IF((BY47-ROUNDDOWN(BY47,-1))=K47,L47,"")&amp;IF((BY47-ROUNDDOWN(BY47,-1))=M47,N47,"")&amp;IF((BY47-ROUNDDOWN(BY47,-1))=O47,P47,"")&amp;IF((BY47-ROUNDDOWN(BY47,-1))=Q47,R47,"")&amp;IF((BY47-ROUNDDOWN(BY47,-1))=S47,T47,""),"")))</f>
        <v/>
      </c>
      <c r="BT47" s="48" t="str">
        <f>IF(BY47="","",IF(BY47&gt;79,"",IF(BY47&gt;=70,"seventy "&amp;IF((BY47-ROUNDDOWN(BY47,-1))=1,D47,"")&amp;IF((BY47-ROUNDDOWN(BY47,-1))=2,F47,"")&amp;IF((BY47-ROUNDDOWN(BY47,-1))=G47,H47,"")&amp;IF((BY47-ROUNDDOWN(BY47,-1))=I47,J47,"")&amp;IF((BY47-ROUNDDOWN(BY47,-1))=K47,L47,"")&amp;IF((BY47-ROUNDDOWN(BY47,-1))=M47,N47,"")&amp;IF((BY47-ROUNDDOWN(BY47,-1))=O47,P47,"")&amp;IF((BY47-ROUNDDOWN(BY47,-1))=Q47,R47,"")&amp;IF((BY47-ROUNDDOWN(BY47,-1))=S47,T47,""),IF(BY47&gt;=60,"sixty "&amp;IF((BY47-ROUNDDOWN(BY47,-1))=1,D47,"")&amp;IF((BY47-ROUNDDOWN(BY47,-1))=2,F47,"")&amp;IF((BY47-ROUNDDOWN(BY47,-1))=G47,H47,"")&amp;IF((BY47-ROUNDDOWN(BY47,-1))=I47,J47,"")&amp;IF((BY47-ROUNDDOWN(BY47,-1))=K47,L47,"")&amp;IF((BY47-ROUNDDOWN(BY47,-1))=M47,N47,"")&amp;IF((BY47-ROUNDDOWN(BY47,-1))=O47,P47,"")&amp;IF((BY47-ROUNDDOWN(BY47,-1))=Q47,R47,"")&amp;IF((BY47-ROUNDDOWN(BY47,-1))=S47,T47,""),""))))</f>
        <v/>
      </c>
      <c r="BU47" s="48" t="str">
        <f>IF(BY47="","",IF(BY47&gt;59,"",IF(BY47&gt;=50,"fifty "&amp;IF((BY47-ROUNDDOWN(BY47,-1))=1,D47,"")&amp;IF((BY47-ROUNDDOWN(BY47,-1))=2,F47,"")&amp;IF((BY47-ROUNDDOWN(BY47,-1))=G47,H47,"")&amp;IF((BY47-ROUNDDOWN(BY47,-1))=I47,J47,"")&amp;IF((BY47-ROUNDDOWN(BY47,-1))=K47,L47,"")&amp;IF((BY47-ROUNDDOWN(BY47,-1))=M47,N47,"")&amp;IF((BY47-ROUNDDOWN(BY47,-1))=O47,P47,"")&amp;IF((BY47-ROUNDDOWN(BY47,-1))=Q47,R47,"")&amp;IF((BY47-ROUNDDOWN(BY47,-1))=S47,T47,""),IF(BY47&gt;=40,"forty "&amp;IF((BY47-ROUNDDOWN(BY47,-1))=1,D47,"")&amp;IF((BY47-ROUNDDOWN(BY47,-1))=2,F47,"")&amp;IF((BY47-ROUNDDOWN(BY47,-1))=G47,H47,"")&amp;IF((BY47-ROUNDDOWN(BY47,-1))=I47,J47,"")&amp;IF((BY47-ROUNDDOWN(BY47,-1))=K47,L47,"")&amp;IF((BY47-ROUNDDOWN(BY47,-1))=M47,N47,"")&amp;IF((BY47-ROUNDDOWN(BY47,-1))=O47,P47,"")&amp;IF((BY47-ROUNDDOWN(BY47,-1))=Q47,R47,"")&amp;IF((BY47-ROUNDDOWN(BY47,-1))=S47,T47,""),""))))</f>
        <v/>
      </c>
      <c r="BV47" s="48" t="str">
        <f>IF(BY47="","",IF(BY47&gt;39,"",IF(BY47&gt;=30,"thirty "&amp;IF((BY47-ROUNDDOWN(BY47,-1))=1,D47,"")&amp;IF((BY47-ROUNDDOWN(BY47,-1))=2,F47,"")&amp;IF((BY47-ROUNDDOWN(BY47,-1))=G47,H47,"")&amp;IF((BY47-ROUNDDOWN(BY47,-1))=I47,J47,"")&amp;IF((BY47-ROUNDDOWN(BY47,-1))=K47,L47,"")&amp;IF((BY47-ROUNDDOWN(BY47,-1))=M47,N47,"")&amp;IF((BY47-ROUNDDOWN(BY47,-1))=O47,P47,"")&amp;IF((BY47-ROUNDDOWN(BY47,-1))=Q47,R47,"")&amp;IF((BY47-ROUNDDOWN(BY47,-1))=S47,T47,""),IF(BY47&gt;=20,"twenty "&amp;IF((BY47-ROUNDDOWN(BY47,-1))=1,D47,"")&amp;IF((BY47-ROUNDDOWN(BY47,-1))=2,F47,"")&amp;IF((BY47-ROUNDDOWN(BY47,-1))=G47,H47,"")&amp;IF((BY47-ROUNDDOWN(BY47,-1))=I47,J47,"")&amp;IF((BY47-ROUNDDOWN(BY47,-1))=K47,L47,"")&amp;IF((BY47-ROUNDDOWN(BY47,-1))=M47,N47,"")&amp;IF((BY47-ROUNDDOWN(BY47,-1))=O47,P47,"")&amp;IF((BY47-ROUNDDOWN(BY47,-1))=Q47,R47,"")&amp;IF((BY47-ROUNDDOWN(BY47,-1))=S47,T47,""),""))))</f>
        <v/>
      </c>
      <c r="BW47" s="48" t="str">
        <f>IF(BY47="","",IF(BY47=C47,D47,"")&amp;IF(BY47=E47,F47,"")&amp;IF(BY47=G47,H47,"")&amp;IF(BY47=I47,J47,"")&amp;IF(BY47=K47,L47,"")&amp;IF(BY47=M47,N47,"")&amp;IF(BY47=O47,P47,"")&amp;IF(BY47=Q47,R47,"")&amp;IF(BY47=S47,T47,"")&amp;IF(BY47=U47,V47,"")&amp;IF(BY47=W47,X47,"")&amp;IF(BY47=Y47,Z47,"")&amp;IF(BY47=AA47,AB47,"")&amp;IF(BY47=AC47,AD47,"")&amp;IF(BY47=AE47,AF47,"")&amp;IF(BY47=AG47,AH47,"")&amp;IF(BY47=AI47,AJ47,"")&amp;IF(BY47=AK47,AL47,"")&amp;IF(BY47=AM47,AN47,""))</f>
        <v>one</v>
      </c>
      <c r="BX47" s="49"/>
      <c r="BY47" s="48">
        <f>IF(A47&gt;=100,ROUNDDOWN((A47-ROUNDDOWN(A47,-3))/100,0),"")</f>
        <v>1</v>
      </c>
      <c r="BZ47" s="48" t="str">
        <f>IF(BS47="","",BS47)&amp;IF(BT47="","",BT47)&amp;IF(BU47="","",BU47)&amp;IF(BV47="","",BV47)&amp;IF(BW47="","",BW47)</f>
        <v>one</v>
      </c>
      <c r="CA47" s="48" t="s">
        <v>289</v>
      </c>
      <c r="CB47" s="48" t="str">
        <f>IF(CH47="","",IF(CH47&gt;=90,"ninety "&amp;IF((CH47-ROUNDDOWN(CH47,-1))=1,D47,"")&amp;IF((CH47-ROUNDDOWN(CH47,-1))=2,F47,"")&amp;IF((CH47-ROUNDDOWN(CH47,-1))=G47,H47,"")&amp;IF((CH47-ROUNDDOWN(CH47,-1))=I47,J47,"")&amp;IF((CH47-ROUNDDOWN(CH47,-1))=K47,L47,"")&amp;IF((CH47-ROUNDDOWN(CH47,-1))=M47,N47,"")&amp;IF((CH47-ROUNDDOWN(CH47,-1))=O47,P47,"")&amp;IF((CH47-ROUNDDOWN(CH47,-1))=Q47,R47,"")&amp;IF((CH47-ROUNDDOWN(CH47,-1))=S47,T47,""),IF(CH47&gt;=80,"eighty "&amp;IF((CH47-ROUNDDOWN(CH47,-1))=1,D47,"")&amp;IF((CH47-ROUNDDOWN(CH47,-1))=2,F47,"")&amp;IF((CH47-ROUNDDOWN(CH47,-1))=G47,H47,"")&amp;IF((CH47-ROUNDDOWN(CH47,-1))=I47,J47,"")&amp;IF((CH47-ROUNDDOWN(CH47,-1))=K47,L47,"")&amp;IF((CH47-ROUNDDOWN(CH47,-1))=M47,N47,"")&amp;IF((CH47-ROUNDDOWN(CH47,-1))=O47,P47,"")&amp;IF((CH47-ROUNDDOWN(CH47,-1))=Q47,R47,"")&amp;IF((CH47-ROUNDDOWN(CH47,-1))=S47,T47,""),"")))</f>
        <v/>
      </c>
      <c r="CC47" s="48" t="str">
        <f>IF(CH47="","",IF(CH47&gt;79,"",IF(CH47&gt;=70,"seventy "&amp;IF((CH47-ROUNDDOWN(CH47,-1))=1,D47,"")&amp;IF((CH47-ROUNDDOWN(CH47,-1))=2,F47,"")&amp;IF((CH47-ROUNDDOWN(CH47,-1))=G47,H47,"")&amp;IF((CH47-ROUNDDOWN(CH47,-1))=I47,J47,"")&amp;IF((CH47-ROUNDDOWN(CH47,-1))=K47,L47,"")&amp;IF((CH47-ROUNDDOWN(CH47,-1))=M47,N47,"")&amp;IF((CH47-ROUNDDOWN(CH47,-1))=O47,P47,"")&amp;IF((CH47-ROUNDDOWN(CH47,-1))=Q47,R47,"")&amp;IF((CH47-ROUNDDOWN(CH47,-1))=S47,T47,""),IF(CH47&gt;=60,"sixty "&amp;IF((CH47-ROUNDDOWN(CH47,-1))=1,D47,"")&amp;IF((CH47-ROUNDDOWN(CH47,-1))=2,F47,"")&amp;IF((CH47-ROUNDDOWN(CH47,-1))=G47,H47,"")&amp;IF((CH47-ROUNDDOWN(CH47,-1))=I47,J47,"")&amp;IF((CH47-ROUNDDOWN(CH47,-1))=K47,L47,"")&amp;IF((CH47-ROUNDDOWN(CH47,-1))=M47,N47,"")&amp;IF((CH47-ROUNDDOWN(CH47,-1))=O47,P47,"")&amp;IF((CH47-ROUNDDOWN(CH47,-1))=Q47,R47,"")&amp;IF((CH47-ROUNDDOWN(CH47,-1))=S47,T47,""),""))))</f>
        <v>sixty two</v>
      </c>
      <c r="CD47" s="48" t="str">
        <f>IF(CH47="","",IF(CH47&gt;59,"",IF(CH47&gt;=50,"fifty "&amp;IF((CH47-ROUNDDOWN(CH47,-1))=1,D47,"")&amp;IF((CH47-ROUNDDOWN(CH47,-1))=2,F47,"")&amp;IF((CH47-ROUNDDOWN(CH47,-1))=G47,H47,"")&amp;IF((CH47-ROUNDDOWN(CH47,-1))=I47,J47,"")&amp;IF((CH47-ROUNDDOWN(CH47,-1))=K47,L47,"")&amp;IF((CH47-ROUNDDOWN(CH47,-1))=M47,N47,"")&amp;IF((CH47-ROUNDDOWN(CH47,-1))=O47,P47,"")&amp;IF((CH47-ROUNDDOWN(CH47,-1))=Q47,R47,"")&amp;IF((CH47-ROUNDDOWN(CH47,-1))=S47,T47,""),IF(CH47&gt;=40,"forty "&amp;IF((CH47-ROUNDDOWN(CH47,-1))=1,D47,"")&amp;IF((CH47-ROUNDDOWN(CH47,-1))=2,F47,"")&amp;IF((CH47-ROUNDDOWN(CH47,-1))=G47,H47,"")&amp;IF((CH47-ROUNDDOWN(CH47,-1))=I47,J47,"")&amp;IF((CH47-ROUNDDOWN(CH47,-1))=K47,L47,"")&amp;IF((CH47-ROUNDDOWN(CH47,-1))=M47,N47,"")&amp;IF((CH47-ROUNDDOWN(CH47,-1))=O47,P47,"")&amp;IF((CH47-ROUNDDOWN(CH47,-1))=Q47,R47,"")&amp;IF((CH47-ROUNDDOWN(CH47,-1))=S47,T47,""),""))))</f>
        <v/>
      </c>
      <c r="CE47" s="48" t="str">
        <f>IF(CH47="","",IF(CH47&gt;39,"",IF(CH47&gt;=30,"thirty "&amp;IF((CH47-ROUNDDOWN(CH47,-1))=1,D47,"")&amp;IF((CH47-ROUNDDOWN(CH47,-1))=2,F47,"")&amp;IF((CH47-ROUNDDOWN(CH47,-1))=G47,H47,"")&amp;IF((CH47-ROUNDDOWN(CH47,-1))=I47,J47,"")&amp;IF((CH47-ROUNDDOWN(CH47,-1))=K47,L47,"")&amp;IF((CH47-ROUNDDOWN(CH47,-1))=M47,N47,"")&amp;IF((CH47-ROUNDDOWN(CH47,-1))=O47,P47,"")&amp;IF((CH47-ROUNDDOWN(CH47,-1))=Q47,R47,"")&amp;IF((CH47-ROUNDDOWN(CH47,-1))=S47,T47,""),IF(CH47&gt;=20,"twenty "&amp;IF((CH47-ROUNDDOWN(CH47,-1))=1,D47,"")&amp;IF((CH47-ROUNDDOWN(CH47,-1))=2,F47,"")&amp;IF((CH47-ROUNDDOWN(CH47,-1))=G47,H47,"")&amp;IF((CH47-ROUNDDOWN(CH47,-1))=I47,J47,"")&amp;IF((CH47-ROUNDDOWN(CH47,-1))=K47,L47,"")&amp;IF((CH47-ROUNDDOWN(CH47,-1))=M47,N47,"")&amp;IF((CH47-ROUNDDOWN(CH47,-1))=O47,P47,"")&amp;IF((CH47-ROUNDDOWN(CH47,-1))=Q47,R47,"")&amp;IF((CH47-ROUNDDOWN(CH47,-1))=S47,T47,""),""))))</f>
        <v/>
      </c>
      <c r="CF47" s="48" t="str">
        <f>IF(CH47="","",IF(CH47=C47,D47,"")&amp;IF(CH47=E47,F47,"")&amp;IF(CH47=G47,H47,"")&amp;IF(CH47=I47,J47,"")&amp;IF(CH47=K47,L47,"")&amp;IF(CH47=M47,N47,"")&amp;IF(CH47=O47,P47,"")&amp;IF(CH47=Q47,R47,"")&amp;IF(CH47=S47,T47,"")&amp;IF(CH47=U47,V47,"")&amp;IF(CH47=W47,X47,"")&amp;IF(CH47=Y47,Z47,"")&amp;IF(CH47=AA47,AB47,"")&amp;IF(CH47=AC47,AD47,"")&amp;IF(CH47=AE47,AF47,"")&amp;IF(CH47=AG47,AH47,"")&amp;IF(CH47=AI47,AJ47,"")&amp;IF(CH47=AK47,AL47,"")&amp;IF(CH47=AM47,AN47,""))</f>
        <v/>
      </c>
      <c r="CG47" s="49"/>
      <c r="CH47" s="48">
        <f>IF(A47&gt;=1,ROUNDDOWN(A47-ROUNDDOWN(A47,-2),0),"")</f>
        <v>62</v>
      </c>
      <c r="CI47" s="48" t="str">
        <f>IF(CB47="","",CB47)&amp;IF(CC47="","",CC47)&amp;IF(CD47="","",CD47)&amp;IF(CE47="","",CE47)&amp;IF(CF47="","",CF47)</f>
        <v>sixty two</v>
      </c>
      <c r="CJ47" s="48" t="s">
        <v>290</v>
      </c>
      <c r="CK47" s="48" t="str">
        <f>IF(CQ47="","",IF(CQ47&gt;=90,"ninety "&amp;IF((CQ47-ROUNDDOWN(CQ47,-1))=1,D47,"")&amp;IF((CQ47-ROUNDDOWN(CQ47,-1))=2,F47,"")&amp;IF((CQ47-ROUNDDOWN(CQ47,-1))=G47,H47,"")&amp;IF((CQ47-ROUNDDOWN(CQ47,-1))=I47,J47,"")&amp;IF((CQ47-ROUNDDOWN(CQ47,-1))=K47,L47,"")&amp;IF((CQ47-ROUNDDOWN(CQ47,-1))=M47,N47,"")&amp;IF((CQ47-ROUNDDOWN(CQ47,-1))=O47,P47,"")&amp;IF((CQ47-ROUNDDOWN(CQ47,-1))=Q47,R47,"")&amp;IF((CQ47-ROUNDDOWN(CQ47,-1))=S47,T47,""),IF(CQ47&gt;=80,"eighty "&amp;IF((CQ47-ROUNDDOWN(CQ47,-1))=1,D47,"")&amp;IF((CQ47-ROUNDDOWN(CQ47,-1))=2,F47,"")&amp;IF((CQ47-ROUNDDOWN(CQ47,-1))=G47,H47,"")&amp;IF((CQ47-ROUNDDOWN(CQ47,-1))=I47,J47,"")&amp;IF((CQ47-ROUNDDOWN(CQ47,-1))=K47,L47,"")&amp;IF((CQ47-ROUNDDOWN(CQ47,-1))=M47,N47,"")&amp;IF((CQ47-ROUNDDOWN(CQ47,-1))=O47,P47,"")&amp;IF((CQ47-ROUNDDOWN(CQ47,-1))=Q47,R47,"")&amp;IF((CQ47-ROUNDDOWN(CQ47,-1))=S47,T47,""),"")))</f>
        <v/>
      </c>
      <c r="CL47" s="48" t="str">
        <f>IF(CQ47="","",IF(CQ47&gt;79,"",IF(CQ47&gt;=70,"seventy "&amp;IF((CQ47-ROUNDDOWN(CQ47,-1))=1,D47,"")&amp;IF((CQ47-ROUNDDOWN(CQ47,-1))=2,F47,"")&amp;IF((CQ47-ROUNDDOWN(CQ47,-1))=G47,H47,"")&amp;IF((CQ47-ROUNDDOWN(CQ47,-1))=I47,J47,"")&amp;IF((CQ47-ROUNDDOWN(CQ47,-1))=K47,L47,"")&amp;IF((CQ47-ROUNDDOWN(CQ47,-1))=M47,N47,"")&amp;IF((CQ47-ROUNDDOWN(CQ47,-1))=O47,P47,"")&amp;IF((CQ47-ROUNDDOWN(CQ47,-1))=Q47,R47,"")&amp;IF((CQ47-ROUNDDOWN(CQ47,-1))=S47,T47,""),IF(CQ47&gt;=60,"sixty "&amp;IF((CQ47-ROUNDDOWN(CQ47,-1))=1,D47,"")&amp;IF((CQ47-ROUNDDOWN(CQ47,-1))=2,F47,"")&amp;IF((CQ47-ROUNDDOWN(CQ47,-1))=G47,H47,"")&amp;IF((CQ47-ROUNDDOWN(CQ47,-1))=I47,J47,"")&amp;IF((CQ47-ROUNDDOWN(CQ47,-1))=K47,L47,"")&amp;IF((CQ47-ROUNDDOWN(CQ47,-1))=M47,N47,"")&amp;IF((CQ47-ROUNDDOWN(CQ47,-1))=O47,P47,"")&amp;IF((CQ47-ROUNDDOWN(CQ47,-1))=Q47,R47,"")&amp;IF((CQ47-ROUNDDOWN(CQ47,-1))=S47,T47,""),""))))</f>
        <v/>
      </c>
      <c r="CM47" s="48" t="str">
        <f>IF(CQ47="","",IF(CQ47&gt;59,"",IF(CQ47&gt;=50,"fifty "&amp;IF((CQ47-ROUNDDOWN(CQ47,-1))=1,D47,"")&amp;IF((CQ47-ROUNDDOWN(CQ47,-1))=2,F47,"")&amp;IF((CQ47-ROUNDDOWN(CQ47,-1))=G47,H47,"")&amp;IF((CQ47-ROUNDDOWN(CQ47,-1))=I47,J47,"")&amp;IF((CQ47-ROUNDDOWN(CQ47,-1))=K47,L47,"")&amp;IF((CQ47-ROUNDDOWN(CQ47,-1))=M47,N47,"")&amp;IF((CQ47-ROUNDDOWN(CQ47,-1))=O47,P47,"")&amp;IF((CQ47-ROUNDDOWN(CQ47,-1))=Q47,R47,"")&amp;IF((CQ47-ROUNDDOWN(CQ47,-1))=S47,T47,""),IF(CQ47&gt;=40,"forty "&amp;IF((CQ47-ROUNDDOWN(CQ47,-1))=1,D47,"")&amp;IF((CQ47-ROUNDDOWN(CQ47,-1))=2,F47,"")&amp;IF((CQ47-ROUNDDOWN(CQ47,-1))=G47,H47,"")&amp;IF((CQ47-ROUNDDOWN(CQ47,-1))=I47,J47,"")&amp;IF((CQ47-ROUNDDOWN(CQ47,-1))=K47,L47,"")&amp;IF((CQ47-ROUNDDOWN(CQ47,-1))=M47,N47,"")&amp;IF((CQ47-ROUNDDOWN(CQ47,-1))=O47,P47,"")&amp;IF((CQ47-ROUNDDOWN(CQ47,-1))=Q47,R47,"")&amp;IF((CQ47-ROUNDDOWN(CQ47,-1))=S47,T47,""),""))))</f>
        <v/>
      </c>
      <c r="CN47" s="48" t="str">
        <f>IF(CQ47="","",IF(CQ47&gt;39,"",IF(CQ47&gt;=30,"thirty "&amp;IF((CQ47-ROUNDDOWN(CQ47,-1))=1,D47,"")&amp;IF((CQ47-ROUNDDOWN(CQ47,-1))=2,F47,"")&amp;IF((CQ47-ROUNDDOWN(CQ47,-1))=G47,H47,"")&amp;IF((CQ47-ROUNDDOWN(CQ47,-1))=I47,J47,"")&amp;IF((CQ47-ROUNDDOWN(CQ47,-1))=K47,L47,"")&amp;IF((CQ47-ROUNDDOWN(CQ47,-1))=M47,N47,"")&amp;IF((CQ47-ROUNDDOWN(CQ47,-1))=O47,P47,"")&amp;IF((CQ47-ROUNDDOWN(CQ47,-1))=Q47,R47,"")&amp;IF((CQ47-ROUNDDOWN(CQ47,-1))=S47,T47,""),IF(CQ47&gt;=20,"twenty "&amp;IF((CQ47-ROUNDDOWN(CQ47,-1))=1,D47,"")&amp;IF((CQ47-ROUNDDOWN(CQ47,-1))=2,F47,"")&amp;IF((CQ47-ROUNDDOWN(CQ47,-1))=G47,H47,"")&amp;IF((CQ47-ROUNDDOWN(CQ47,-1))=I47,J47,"")&amp;IF((CQ47-ROUNDDOWN(CQ47,-1))=K47,L47,"")&amp;IF((CQ47-ROUNDDOWN(CQ47,-1))=M47,N47,"")&amp;IF((CQ47-ROUNDDOWN(CQ47,-1))=O47,P47,"")&amp;IF((CQ47-ROUNDDOWN(CQ47,-1))=Q47,R47,"")&amp;IF((CQ47-ROUNDDOWN(CQ47,-1))=S47,T47,""),""))))</f>
        <v/>
      </c>
      <c r="CO47" s="48" t="str">
        <f>IF(CQ47="","",IF(CQ47=C47,D47,"")&amp;IF(CQ47=E47,F47,"")&amp;IF(CQ47=G47,H47,"")&amp;IF(CQ47=I47,J47,"")&amp;IF(CQ47=K47,L47,"")&amp;IF(CQ47=M47,N47,"")&amp;IF(CQ47=O47,P47,"")&amp;IF(CQ47=Q47,R47,"")&amp;IF(CQ47=S47,T47,"")&amp;IF(CQ47=U47,V47,"")&amp;IF(CQ47=W47,X47,"")&amp;IF(CQ47=Y47,Z47,"")&amp;IF(CQ47=AA47,AB47,"")&amp;IF(CQ47=AC47,AD47,"")&amp;IF(CQ47=AE47,AF47,"")&amp;IF(CQ47=AG47,AH47,"")&amp;IF(CQ47=AI47,AJ47,"")&amp;IF(CQ47=AK47,AL47,"")&amp;IF(CQ47=AM47,AN47,""))</f>
        <v/>
      </c>
      <c r="CP47" s="49"/>
      <c r="CQ47" s="48" t="str">
        <f>IF((A47-ROUNDDOWN(A47,0))&gt;0,ROUND((A47-ROUNDDOWN(A47,0))*100,0),"")</f>
        <v/>
      </c>
      <c r="CR47" s="48" t="str">
        <f>IF(CK47="","",CK47)&amp;IF(CL47="","",CL47)&amp;IF(CM47="","",CM47)&amp;IF(CN47="","",CN47)&amp;IF(CO47="","",CO47)</f>
        <v/>
      </c>
      <c r="CS47" s="49" t="s">
        <v>291</v>
      </c>
      <c r="CT47" s="50"/>
      <c r="CU47" s="51" t="str">
        <f>IF(A47="","","(Rupees "&amp;IF(AY47="","",AY47&amp;" crore ")&amp;IF(BH47="","",BH47&amp;" lakh ")&amp;IF(BQ47="","",BQ47&amp;" thousand ")&amp;IF(BZ47="","",BZ47&amp;" hundred ")&amp;IF(CI47="","",CI47)&amp;IF(CR47="",""," and paise "&amp;CR47)&amp;") only.")</f>
        <v>(Rupees twenty three lakh fifty seven thousand one hundred sixty two) only.</v>
      </c>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c r="EA47" s="52"/>
      <c r="EB47" s="52"/>
      <c r="EC47" s="52"/>
      <c r="ED47" s="52"/>
      <c r="EE47" s="52"/>
    </row>
    <row r="49" spans="3:12" ht="13.8" customHeight="1" x14ac:dyDescent="0.25">
      <c r="C49" s="531"/>
      <c r="D49" s="531"/>
      <c r="E49" s="531"/>
      <c r="F49" s="531"/>
      <c r="G49" s="531"/>
      <c r="H49" s="531"/>
      <c r="I49" s="531"/>
      <c r="J49" s="532"/>
      <c r="K49" s="533"/>
      <c r="L49" s="533"/>
    </row>
  </sheetData>
  <mergeCells count="42">
    <mergeCell ref="C38:I38"/>
    <mergeCell ref="C34:I34"/>
    <mergeCell ref="C36:I36"/>
    <mergeCell ref="C35:I35"/>
    <mergeCell ref="C37:I37"/>
    <mergeCell ref="C28:I28"/>
    <mergeCell ref="C13:I13"/>
    <mergeCell ref="C18:I18"/>
    <mergeCell ref="C32:I32"/>
    <mergeCell ref="C33:I33"/>
    <mergeCell ref="A1:M1"/>
    <mergeCell ref="C26:I26"/>
    <mergeCell ref="C4:I4"/>
    <mergeCell ref="C20:I20"/>
    <mergeCell ref="C29:I29"/>
    <mergeCell ref="C10:I10"/>
    <mergeCell ref="C16:I16"/>
    <mergeCell ref="C25:I25"/>
    <mergeCell ref="C22:I22"/>
    <mergeCell ref="C9:I9"/>
    <mergeCell ref="C21:I21"/>
    <mergeCell ref="C12:I12"/>
    <mergeCell ref="C3:I3"/>
    <mergeCell ref="C6:I6"/>
    <mergeCell ref="C24:I24"/>
    <mergeCell ref="C15:I15"/>
    <mergeCell ref="C2:I2"/>
    <mergeCell ref="C11:I11"/>
    <mergeCell ref="C27:I27"/>
    <mergeCell ref="C49:L49"/>
    <mergeCell ref="C5:I5"/>
    <mergeCell ref="C14:I14"/>
    <mergeCell ref="C31:I31"/>
    <mergeCell ref="A40:L40"/>
    <mergeCell ref="A39:L39"/>
    <mergeCell ref="C30:I30"/>
    <mergeCell ref="C23:I23"/>
    <mergeCell ref="C41:M41"/>
    <mergeCell ref="C17:I17"/>
    <mergeCell ref="C8:I8"/>
    <mergeCell ref="C7:I7"/>
    <mergeCell ref="C19:I19"/>
  </mergeCells>
  <pageMargins left="0.43307086614173229" right="0.31496062992125978" top="0.27559055118110237" bottom="0.19685039370078741" header="0.23622047244094491" footer="0.19685039370078741"/>
  <pageSetup paperSize="9" orientation="portrait" horizontalDpi="4294967294"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E102"/>
  <sheetViews>
    <sheetView view="pageBreakPreview" topLeftCell="A3" zoomScale="80" zoomScaleNormal="100" workbookViewId="0">
      <selection activeCell="Q17" sqref="Q17"/>
    </sheetView>
  </sheetViews>
  <sheetFormatPr defaultColWidth="9.109375" defaultRowHeight="13.8" x14ac:dyDescent="0.25"/>
  <cols>
    <col min="1" max="1" width="4.44140625" style="66" customWidth="1"/>
    <col min="2" max="2" width="7.88671875" style="67" customWidth="1"/>
    <col min="3" max="3" width="17.109375" style="380" customWidth="1"/>
    <col min="4" max="4" width="3.6640625" style="54" customWidth="1"/>
    <col min="5" max="5" width="1.5546875" style="54" customWidth="1"/>
    <col min="6" max="6" width="5.88671875" style="54" customWidth="1"/>
    <col min="7" max="7" width="2.33203125" style="54" customWidth="1"/>
    <col min="8" max="8" width="5" style="54" customWidth="1"/>
    <col min="9" max="9" width="2" style="54" customWidth="1"/>
    <col min="10" max="10" width="9.21875" style="54" customWidth="1"/>
    <col min="11" max="11" width="8.6640625" style="69" customWidth="1"/>
    <col min="12" max="12" width="5.33203125" style="66" bestFit="1" customWidth="1"/>
    <col min="13" max="13" width="11.5546875" style="70" customWidth="1"/>
    <col min="14" max="14" width="21.109375" style="68" customWidth="1"/>
    <col min="15" max="209" width="9.109375" style="54" customWidth="1"/>
    <col min="210" max="210" width="6.33203125" style="54" customWidth="1"/>
    <col min="211" max="211" width="37.44140625" style="54" customWidth="1"/>
    <col min="212" max="213" width="9.109375" style="54" customWidth="1"/>
    <col min="214" max="214" width="5.33203125" style="54" customWidth="1"/>
    <col min="215" max="465" width="9.109375" style="54" customWidth="1"/>
    <col min="466" max="466" width="6.33203125" style="54" customWidth="1"/>
    <col min="467" max="467" width="37.44140625" style="54" customWidth="1"/>
    <col min="468" max="469" width="9.109375" style="54" customWidth="1"/>
    <col min="470" max="470" width="5.33203125" style="54" customWidth="1"/>
    <col min="471" max="721" width="9.109375" style="54" customWidth="1"/>
    <col min="722" max="722" width="6.33203125" style="54" customWidth="1"/>
    <col min="723" max="723" width="37.44140625" style="54" customWidth="1"/>
    <col min="724" max="725" width="9.109375" style="54" customWidth="1"/>
    <col min="726" max="726" width="5.33203125" style="54" customWidth="1"/>
    <col min="727" max="977" width="9.109375" style="54" customWidth="1"/>
    <col min="978" max="978" width="6.33203125" style="54" customWidth="1"/>
    <col min="979" max="979" width="37.44140625" style="54" customWidth="1"/>
    <col min="980" max="981" width="9.109375" style="54" customWidth="1"/>
    <col min="982" max="982" width="5.33203125" style="54" customWidth="1"/>
    <col min="983" max="1233" width="9.109375" style="54" customWidth="1"/>
    <col min="1234" max="1234" width="6.33203125" style="54" customWidth="1"/>
    <col min="1235" max="1235" width="37.44140625" style="54" customWidth="1"/>
    <col min="1236" max="1237" width="9.109375" style="54" customWidth="1"/>
    <col min="1238" max="1238" width="5.33203125" style="54" customWidth="1"/>
    <col min="1239" max="1489" width="9.109375" style="54" customWidth="1"/>
    <col min="1490" max="1490" width="6.33203125" style="54" customWidth="1"/>
    <col min="1491" max="1491" width="37.44140625" style="54" customWidth="1"/>
    <col min="1492" max="1493" width="9.109375" style="54" customWidth="1"/>
    <col min="1494" max="1494" width="5.33203125" style="54" customWidth="1"/>
    <col min="1495" max="1745" width="9.109375" style="54" customWidth="1"/>
    <col min="1746" max="1746" width="6.33203125" style="54" customWidth="1"/>
    <col min="1747" max="1747" width="37.44140625" style="54" customWidth="1"/>
    <col min="1748" max="1749" width="9.109375" style="54" customWidth="1"/>
    <col min="1750" max="1750" width="5.33203125" style="54" customWidth="1"/>
    <col min="1751" max="2001" width="9.109375" style="54" customWidth="1"/>
    <col min="2002" max="2002" width="6.33203125" style="54" customWidth="1"/>
    <col min="2003" max="2003" width="37.44140625" style="54" customWidth="1"/>
    <col min="2004" max="2005" width="9.109375" style="54" customWidth="1"/>
    <col min="2006" max="2006" width="5.33203125" style="54" customWidth="1"/>
    <col min="2007" max="2257" width="9.109375" style="54" customWidth="1"/>
    <col min="2258" max="2258" width="6.33203125" style="54" customWidth="1"/>
    <col min="2259" max="2259" width="37.44140625" style="54" customWidth="1"/>
    <col min="2260" max="2261" width="9.109375" style="54" customWidth="1"/>
    <col min="2262" max="2262" width="5.33203125" style="54" customWidth="1"/>
    <col min="2263" max="2513" width="9.109375" style="54" customWidth="1"/>
    <col min="2514" max="2514" width="6.33203125" style="54" customWidth="1"/>
    <col min="2515" max="2515" width="37.44140625" style="54" customWidth="1"/>
    <col min="2516" max="2517" width="9.109375" style="54" customWidth="1"/>
    <col min="2518" max="2518" width="5.33203125" style="54" customWidth="1"/>
    <col min="2519" max="2769" width="9.109375" style="54" customWidth="1"/>
    <col min="2770" max="2770" width="6.33203125" style="54" customWidth="1"/>
    <col min="2771" max="2771" width="37.44140625" style="54" customWidth="1"/>
    <col min="2772" max="2773" width="9.109375" style="54" customWidth="1"/>
    <col min="2774" max="2774" width="5.33203125" style="54" customWidth="1"/>
    <col min="2775" max="3025" width="9.109375" style="54" customWidth="1"/>
    <col min="3026" max="3026" width="6.33203125" style="54" customWidth="1"/>
    <col min="3027" max="3027" width="37.44140625" style="54" customWidth="1"/>
    <col min="3028" max="3029" width="9.109375" style="54" customWidth="1"/>
    <col min="3030" max="3030" width="5.33203125" style="54" customWidth="1"/>
    <col min="3031" max="3281" width="9.109375" style="54" customWidth="1"/>
    <col min="3282" max="3282" width="6.33203125" style="54" customWidth="1"/>
    <col min="3283" max="3283" width="37.44140625" style="54" customWidth="1"/>
    <col min="3284" max="3285" width="9.109375" style="54" customWidth="1"/>
    <col min="3286" max="3286" width="5.33203125" style="54" customWidth="1"/>
    <col min="3287" max="3537" width="9.109375" style="54" customWidth="1"/>
    <col min="3538" max="3538" width="6.33203125" style="54" customWidth="1"/>
    <col min="3539" max="3539" width="37.44140625" style="54" customWidth="1"/>
    <col min="3540" max="3541" width="9.109375" style="54" customWidth="1"/>
    <col min="3542" max="3542" width="5.33203125" style="54" customWidth="1"/>
    <col min="3543" max="3793" width="9.109375" style="54" customWidth="1"/>
    <col min="3794" max="3794" width="6.33203125" style="54" customWidth="1"/>
    <col min="3795" max="3795" width="37.44140625" style="54" customWidth="1"/>
    <col min="3796" max="3797" width="9.109375" style="54" customWidth="1"/>
    <col min="3798" max="3798" width="5.33203125" style="54" customWidth="1"/>
    <col min="3799" max="4049" width="9.109375" style="54" customWidth="1"/>
    <col min="4050" max="4050" width="6.33203125" style="54" customWidth="1"/>
    <col min="4051" max="4051" width="37.44140625" style="54" customWidth="1"/>
    <col min="4052" max="4053" width="9.109375" style="54" customWidth="1"/>
    <col min="4054" max="4054" width="5.33203125" style="54" customWidth="1"/>
    <col min="4055" max="4305" width="9.109375" style="54" customWidth="1"/>
    <col min="4306" max="4306" width="6.33203125" style="54" customWidth="1"/>
    <col min="4307" max="4307" width="37.44140625" style="54" customWidth="1"/>
    <col min="4308" max="4309" width="9.109375" style="54" customWidth="1"/>
    <col min="4310" max="4310" width="5.33203125" style="54" customWidth="1"/>
    <col min="4311" max="4561" width="9.109375" style="54" customWidth="1"/>
    <col min="4562" max="4562" width="6.33203125" style="54" customWidth="1"/>
    <col min="4563" max="4563" width="37.44140625" style="54" customWidth="1"/>
    <col min="4564" max="4565" width="9.109375" style="54" customWidth="1"/>
    <col min="4566" max="4566" width="5.33203125" style="54" customWidth="1"/>
    <col min="4567" max="4817" width="9.109375" style="54" customWidth="1"/>
    <col min="4818" max="4818" width="6.33203125" style="54" customWidth="1"/>
    <col min="4819" max="4819" width="37.44140625" style="54" customWidth="1"/>
    <col min="4820" max="4821" width="9.109375" style="54" customWidth="1"/>
    <col min="4822" max="4822" width="5.33203125" style="54" customWidth="1"/>
    <col min="4823" max="5073" width="9.109375" style="54" customWidth="1"/>
    <col min="5074" max="5074" width="6.33203125" style="54" customWidth="1"/>
    <col min="5075" max="5075" width="37.44140625" style="54" customWidth="1"/>
    <col min="5076" max="5077" width="9.109375" style="54" customWidth="1"/>
    <col min="5078" max="5078" width="5.33203125" style="54" customWidth="1"/>
    <col min="5079" max="5329" width="9.109375" style="54" customWidth="1"/>
    <col min="5330" max="5330" width="6.33203125" style="54" customWidth="1"/>
    <col min="5331" max="5331" width="37.44140625" style="54" customWidth="1"/>
    <col min="5332" max="5333" width="9.109375" style="54" customWidth="1"/>
    <col min="5334" max="5334" width="5.33203125" style="54" customWidth="1"/>
    <col min="5335" max="5585" width="9.109375" style="54" customWidth="1"/>
    <col min="5586" max="5586" width="6.33203125" style="54" customWidth="1"/>
    <col min="5587" max="5587" width="37.44140625" style="54" customWidth="1"/>
    <col min="5588" max="5589" width="9.109375" style="54" customWidth="1"/>
    <col min="5590" max="5590" width="5.33203125" style="54" customWidth="1"/>
    <col min="5591" max="5841" width="9.109375" style="54" customWidth="1"/>
    <col min="5842" max="5842" width="6.33203125" style="54" customWidth="1"/>
    <col min="5843" max="5843" width="37.44140625" style="54" customWidth="1"/>
    <col min="5844" max="5845" width="9.109375" style="54" customWidth="1"/>
    <col min="5846" max="5846" width="5.33203125" style="54" customWidth="1"/>
    <col min="5847" max="6097" width="9.109375" style="54" customWidth="1"/>
    <col min="6098" max="6098" width="6.33203125" style="54" customWidth="1"/>
    <col min="6099" max="6099" width="37.44140625" style="54" customWidth="1"/>
    <col min="6100" max="6101" width="9.109375" style="54" customWidth="1"/>
    <col min="6102" max="6102" width="5.33203125" style="54" customWidth="1"/>
    <col min="6103" max="6353" width="9.109375" style="54" customWidth="1"/>
    <col min="6354" max="6354" width="6.33203125" style="54" customWidth="1"/>
    <col min="6355" max="6355" width="37.44140625" style="54" customWidth="1"/>
    <col min="6356" max="6357" width="9.109375" style="54" customWidth="1"/>
    <col min="6358" max="6358" width="5.33203125" style="54" customWidth="1"/>
    <col min="6359" max="6609" width="9.109375" style="54" customWidth="1"/>
    <col min="6610" max="6610" width="6.33203125" style="54" customWidth="1"/>
    <col min="6611" max="6611" width="37.44140625" style="54" customWidth="1"/>
    <col min="6612" max="6613" width="9.109375" style="54" customWidth="1"/>
    <col min="6614" max="6614" width="5.33203125" style="54" customWidth="1"/>
    <col min="6615" max="6865" width="9.109375" style="54" customWidth="1"/>
    <col min="6866" max="6866" width="6.33203125" style="54" customWidth="1"/>
    <col min="6867" max="6867" width="37.44140625" style="54" customWidth="1"/>
    <col min="6868" max="6869" width="9.109375" style="54" customWidth="1"/>
    <col min="6870" max="6870" width="5.33203125" style="54" customWidth="1"/>
    <col min="6871" max="7121" width="9.109375" style="54" customWidth="1"/>
    <col min="7122" max="7122" width="6.33203125" style="54" customWidth="1"/>
    <col min="7123" max="7123" width="37.44140625" style="54" customWidth="1"/>
    <col min="7124" max="7125" width="9.109375" style="54" customWidth="1"/>
    <col min="7126" max="7126" width="5.33203125" style="54" customWidth="1"/>
    <col min="7127" max="7377" width="9.109375" style="54" customWidth="1"/>
    <col min="7378" max="7378" width="6.33203125" style="54" customWidth="1"/>
    <col min="7379" max="7379" width="37.44140625" style="54" customWidth="1"/>
    <col min="7380" max="7381" width="9.109375" style="54" customWidth="1"/>
    <col min="7382" max="7382" width="5.33203125" style="54" customWidth="1"/>
    <col min="7383" max="7633" width="9.109375" style="54" customWidth="1"/>
    <col min="7634" max="7634" width="6.33203125" style="54" customWidth="1"/>
    <col min="7635" max="7635" width="37.44140625" style="54" customWidth="1"/>
    <col min="7636" max="7637" width="9.109375" style="54" customWidth="1"/>
    <col min="7638" max="7638" width="5.33203125" style="54" customWidth="1"/>
    <col min="7639" max="7889" width="9.109375" style="54" customWidth="1"/>
    <col min="7890" max="7890" width="6.33203125" style="54" customWidth="1"/>
    <col min="7891" max="7891" width="37.44140625" style="54" customWidth="1"/>
    <col min="7892" max="7893" width="9.109375" style="54" customWidth="1"/>
    <col min="7894" max="7894" width="5.33203125" style="54" customWidth="1"/>
    <col min="7895" max="8145" width="9.109375" style="54" customWidth="1"/>
    <col min="8146" max="8146" width="6.33203125" style="54" customWidth="1"/>
    <col min="8147" max="8147" width="37.44140625" style="54" customWidth="1"/>
    <col min="8148" max="8149" width="9.109375" style="54" customWidth="1"/>
    <col min="8150" max="8150" width="5.33203125" style="54" customWidth="1"/>
    <col min="8151" max="8401" width="9.109375" style="54" customWidth="1"/>
    <col min="8402" max="8402" width="6.33203125" style="54" customWidth="1"/>
    <col min="8403" max="8403" width="37.44140625" style="54" customWidth="1"/>
    <col min="8404" max="8405" width="9.109375" style="54" customWidth="1"/>
    <col min="8406" max="8406" width="5.33203125" style="54" customWidth="1"/>
    <col min="8407" max="8657" width="9.109375" style="54" customWidth="1"/>
    <col min="8658" max="8658" width="6.33203125" style="54" customWidth="1"/>
    <col min="8659" max="8659" width="37.44140625" style="54" customWidth="1"/>
    <col min="8660" max="8661" width="9.109375" style="54" customWidth="1"/>
    <col min="8662" max="8662" width="5.33203125" style="54" customWidth="1"/>
    <col min="8663" max="8913" width="9.109375" style="54" customWidth="1"/>
    <col min="8914" max="8914" width="6.33203125" style="54" customWidth="1"/>
    <col min="8915" max="8915" width="37.44140625" style="54" customWidth="1"/>
    <col min="8916" max="8917" width="9.109375" style="54" customWidth="1"/>
    <col min="8918" max="8918" width="5.33203125" style="54" customWidth="1"/>
    <col min="8919" max="9169" width="9.109375" style="54" customWidth="1"/>
    <col min="9170" max="9170" width="6.33203125" style="54" customWidth="1"/>
    <col min="9171" max="9171" width="37.44140625" style="54" customWidth="1"/>
    <col min="9172" max="9173" width="9.109375" style="54" customWidth="1"/>
    <col min="9174" max="9174" width="5.33203125" style="54" customWidth="1"/>
    <col min="9175" max="9425" width="9.109375" style="54" customWidth="1"/>
    <col min="9426" max="9426" width="6.33203125" style="54" customWidth="1"/>
    <col min="9427" max="9427" width="37.44140625" style="54" customWidth="1"/>
    <col min="9428" max="9429" width="9.109375" style="54" customWidth="1"/>
    <col min="9430" max="9430" width="5.33203125" style="54" customWidth="1"/>
    <col min="9431" max="9681" width="9.109375" style="54" customWidth="1"/>
    <col min="9682" max="9682" width="6.33203125" style="54" customWidth="1"/>
    <col min="9683" max="9683" width="37.44140625" style="54" customWidth="1"/>
    <col min="9684" max="9685" width="9.109375" style="54" customWidth="1"/>
    <col min="9686" max="9686" width="5.33203125" style="54" customWidth="1"/>
    <col min="9687" max="9937" width="9.109375" style="54" customWidth="1"/>
    <col min="9938" max="9938" width="6.33203125" style="54" customWidth="1"/>
    <col min="9939" max="9939" width="37.44140625" style="54" customWidth="1"/>
    <col min="9940" max="9941" width="9.109375" style="54" customWidth="1"/>
    <col min="9942" max="9942" width="5.33203125" style="54" customWidth="1"/>
    <col min="9943" max="10193" width="9.109375" style="54" customWidth="1"/>
    <col min="10194" max="10194" width="6.33203125" style="54" customWidth="1"/>
    <col min="10195" max="10195" width="37.44140625" style="54" customWidth="1"/>
    <col min="10196" max="10197" width="9.109375" style="54" customWidth="1"/>
    <col min="10198" max="10198" width="5.33203125" style="54" customWidth="1"/>
    <col min="10199" max="10449" width="9.109375" style="54" customWidth="1"/>
    <col min="10450" max="10450" width="6.33203125" style="54" customWidth="1"/>
    <col min="10451" max="10451" width="37.44140625" style="54" customWidth="1"/>
    <col min="10452" max="10453" width="9.109375" style="54" customWidth="1"/>
    <col min="10454" max="10454" width="5.33203125" style="54" customWidth="1"/>
    <col min="10455" max="10705" width="9.109375" style="54" customWidth="1"/>
    <col min="10706" max="10706" width="6.33203125" style="54" customWidth="1"/>
    <col min="10707" max="10707" width="37.44140625" style="54" customWidth="1"/>
    <col min="10708" max="10709" width="9.109375" style="54" customWidth="1"/>
    <col min="10710" max="10710" width="5.33203125" style="54" customWidth="1"/>
    <col min="10711" max="10961" width="9.109375" style="54" customWidth="1"/>
    <col min="10962" max="10962" width="6.33203125" style="54" customWidth="1"/>
    <col min="10963" max="10963" width="37.44140625" style="54" customWidth="1"/>
    <col min="10964" max="10965" width="9.109375" style="54" customWidth="1"/>
    <col min="10966" max="10966" width="5.33203125" style="54" customWidth="1"/>
    <col min="10967" max="11217" width="9.109375" style="54" customWidth="1"/>
    <col min="11218" max="11218" width="6.33203125" style="54" customWidth="1"/>
    <col min="11219" max="11219" width="37.44140625" style="54" customWidth="1"/>
    <col min="11220" max="11221" width="9.109375" style="54" customWidth="1"/>
    <col min="11222" max="11222" width="5.33203125" style="54" customWidth="1"/>
    <col min="11223" max="11473" width="9.109375" style="54" customWidth="1"/>
    <col min="11474" max="11474" width="6.33203125" style="54" customWidth="1"/>
    <col min="11475" max="11475" width="37.44140625" style="54" customWidth="1"/>
    <col min="11476" max="11477" width="9.109375" style="54" customWidth="1"/>
    <col min="11478" max="11478" width="5.33203125" style="54" customWidth="1"/>
    <col min="11479" max="11729" width="9.109375" style="54" customWidth="1"/>
    <col min="11730" max="11730" width="6.33203125" style="54" customWidth="1"/>
    <col min="11731" max="11731" width="37.44140625" style="54" customWidth="1"/>
    <col min="11732" max="11733" width="9.109375" style="54" customWidth="1"/>
    <col min="11734" max="11734" width="5.33203125" style="54" customWidth="1"/>
    <col min="11735" max="11985" width="9.109375" style="54" customWidth="1"/>
    <col min="11986" max="11986" width="6.33203125" style="54" customWidth="1"/>
    <col min="11987" max="11987" width="37.44140625" style="54" customWidth="1"/>
    <col min="11988" max="11989" width="9.109375" style="54" customWidth="1"/>
    <col min="11990" max="11990" width="5.33203125" style="54" customWidth="1"/>
    <col min="11991" max="12241" width="9.109375" style="54" customWidth="1"/>
    <col min="12242" max="12242" width="6.33203125" style="54" customWidth="1"/>
    <col min="12243" max="12243" width="37.44140625" style="54" customWidth="1"/>
    <col min="12244" max="12245" width="9.109375" style="54" customWidth="1"/>
    <col min="12246" max="12246" width="5.33203125" style="54" customWidth="1"/>
    <col min="12247" max="12497" width="9.109375" style="54" customWidth="1"/>
    <col min="12498" max="12498" width="6.33203125" style="54" customWidth="1"/>
    <col min="12499" max="12499" width="37.44140625" style="54" customWidth="1"/>
    <col min="12500" max="12501" width="9.109375" style="54" customWidth="1"/>
    <col min="12502" max="12502" width="5.33203125" style="54" customWidth="1"/>
    <col min="12503" max="12753" width="9.109375" style="54" customWidth="1"/>
    <col min="12754" max="12754" width="6.33203125" style="54" customWidth="1"/>
    <col min="12755" max="12755" width="37.44140625" style="54" customWidth="1"/>
    <col min="12756" max="12757" width="9.109375" style="54" customWidth="1"/>
    <col min="12758" max="12758" width="5.33203125" style="54" customWidth="1"/>
    <col min="12759" max="13009" width="9.109375" style="54" customWidth="1"/>
    <col min="13010" max="13010" width="6.33203125" style="54" customWidth="1"/>
    <col min="13011" max="13011" width="37.44140625" style="54" customWidth="1"/>
    <col min="13012" max="13013" width="9.109375" style="54" customWidth="1"/>
    <col min="13014" max="13014" width="5.33203125" style="54" customWidth="1"/>
    <col min="13015" max="13265" width="9.109375" style="54" customWidth="1"/>
    <col min="13266" max="13266" width="6.33203125" style="54" customWidth="1"/>
    <col min="13267" max="13267" width="37.44140625" style="54" customWidth="1"/>
    <col min="13268" max="13269" width="9.109375" style="54" customWidth="1"/>
    <col min="13270" max="13270" width="5.33203125" style="54" customWidth="1"/>
    <col min="13271" max="13521" width="9.109375" style="54" customWidth="1"/>
    <col min="13522" max="13522" width="6.33203125" style="54" customWidth="1"/>
    <col min="13523" max="13523" width="37.44140625" style="54" customWidth="1"/>
    <col min="13524" max="13525" width="9.109375" style="54" customWidth="1"/>
    <col min="13526" max="13526" width="5.33203125" style="54" customWidth="1"/>
    <col min="13527" max="13777" width="9.109375" style="54" customWidth="1"/>
    <col min="13778" max="13778" width="6.33203125" style="54" customWidth="1"/>
    <col min="13779" max="13779" width="37.44140625" style="54" customWidth="1"/>
    <col min="13780" max="13781" width="9.109375" style="54" customWidth="1"/>
    <col min="13782" max="13782" width="5.33203125" style="54" customWidth="1"/>
    <col min="13783" max="14033" width="9.109375" style="54" customWidth="1"/>
    <col min="14034" max="14034" width="6.33203125" style="54" customWidth="1"/>
    <col min="14035" max="14035" width="37.44140625" style="54" customWidth="1"/>
    <col min="14036" max="14037" width="9.109375" style="54" customWidth="1"/>
    <col min="14038" max="14038" width="5.33203125" style="54" customWidth="1"/>
    <col min="14039" max="14289" width="9.109375" style="54" customWidth="1"/>
    <col min="14290" max="14290" width="6.33203125" style="54" customWidth="1"/>
    <col min="14291" max="14291" width="37.44140625" style="54" customWidth="1"/>
    <col min="14292" max="14293" width="9.109375" style="54" customWidth="1"/>
    <col min="14294" max="14294" width="5.33203125" style="54" customWidth="1"/>
    <col min="14295" max="14545" width="9.109375" style="54" customWidth="1"/>
    <col min="14546" max="14546" width="6.33203125" style="54" customWidth="1"/>
    <col min="14547" max="14547" width="37.44140625" style="54" customWidth="1"/>
    <col min="14548" max="14549" width="9.109375" style="54" customWidth="1"/>
    <col min="14550" max="14550" width="5.33203125" style="54" customWidth="1"/>
    <col min="14551" max="14801" width="9.109375" style="54" customWidth="1"/>
    <col min="14802" max="14802" width="6.33203125" style="54" customWidth="1"/>
    <col min="14803" max="14803" width="37.44140625" style="54" customWidth="1"/>
    <col min="14804" max="14805" width="9.109375" style="54" customWidth="1"/>
    <col min="14806" max="14806" width="5.33203125" style="54" customWidth="1"/>
    <col min="14807" max="15057" width="9.109375" style="54" customWidth="1"/>
    <col min="15058" max="15058" width="6.33203125" style="54" customWidth="1"/>
    <col min="15059" max="15059" width="37.44140625" style="54" customWidth="1"/>
    <col min="15060" max="15061" width="9.109375" style="54" customWidth="1"/>
    <col min="15062" max="15062" width="5.33203125" style="54" customWidth="1"/>
    <col min="15063" max="15313" width="9.109375" style="54" customWidth="1"/>
    <col min="15314" max="15314" width="6.33203125" style="54" customWidth="1"/>
    <col min="15315" max="15315" width="37.44140625" style="54" customWidth="1"/>
    <col min="15316" max="15317" width="9.109375" style="54" customWidth="1"/>
    <col min="15318" max="15318" width="5.33203125" style="54" customWidth="1"/>
    <col min="15319" max="15569" width="9.109375" style="54" customWidth="1"/>
    <col min="15570" max="15570" width="6.33203125" style="54" customWidth="1"/>
    <col min="15571" max="15571" width="37.44140625" style="54" customWidth="1"/>
    <col min="15572" max="15573" width="9.109375" style="54" customWidth="1"/>
    <col min="15574" max="15574" width="5.33203125" style="54" customWidth="1"/>
    <col min="15575" max="15825" width="9.109375" style="54" customWidth="1"/>
    <col min="15826" max="15826" width="6.33203125" style="54" customWidth="1"/>
    <col min="15827" max="15827" width="37.44140625" style="54" customWidth="1"/>
    <col min="15828" max="15829" width="9.109375" style="54" customWidth="1"/>
    <col min="15830" max="15830" width="5.33203125" style="54" customWidth="1"/>
    <col min="15831" max="16081" width="9.109375" style="54" customWidth="1"/>
    <col min="16082" max="16082" width="6.33203125" style="54" customWidth="1"/>
    <col min="16083" max="16083" width="37.44140625" style="54" customWidth="1"/>
    <col min="16084" max="16085" width="9.109375" style="54" customWidth="1"/>
    <col min="16086" max="16086" width="5.33203125" style="54" customWidth="1"/>
    <col min="16087" max="16384" width="9.109375" style="54" customWidth="1"/>
  </cols>
  <sheetData>
    <row r="1" spans="1:15" ht="28.2" customHeight="1" x14ac:dyDescent="0.25">
      <c r="A1" s="535" t="s">
        <v>0</v>
      </c>
      <c r="B1" s="516"/>
      <c r="C1" s="516"/>
      <c r="D1" s="516"/>
      <c r="E1" s="516"/>
      <c r="F1" s="516"/>
      <c r="G1" s="516"/>
      <c r="H1" s="516"/>
      <c r="I1" s="516"/>
      <c r="J1" s="516"/>
      <c r="K1" s="516"/>
      <c r="L1" s="516"/>
      <c r="M1" s="516"/>
      <c r="N1" s="517"/>
    </row>
    <row r="2" spans="1:15" x14ac:dyDescent="0.25">
      <c r="A2" s="566" t="s">
        <v>1</v>
      </c>
      <c r="B2" s="516"/>
      <c r="C2" s="516"/>
      <c r="D2" s="516"/>
      <c r="E2" s="516"/>
      <c r="F2" s="516"/>
      <c r="G2" s="516"/>
      <c r="H2" s="516"/>
      <c r="I2" s="516"/>
      <c r="J2" s="516"/>
      <c r="K2" s="516"/>
      <c r="L2" s="516"/>
      <c r="M2" s="516"/>
      <c r="N2" s="517"/>
    </row>
    <row r="3" spans="1:15" x14ac:dyDescent="0.25">
      <c r="A3" s="528" t="s">
        <v>2</v>
      </c>
      <c r="B3" s="516"/>
      <c r="C3" s="516"/>
      <c r="D3" s="516"/>
      <c r="E3" s="516"/>
      <c r="F3" s="516"/>
      <c r="G3" s="516"/>
      <c r="H3" s="516"/>
      <c r="I3" s="516"/>
      <c r="J3" s="516"/>
      <c r="K3" s="516"/>
      <c r="L3" s="516"/>
      <c r="M3" s="516"/>
      <c r="N3" s="517"/>
    </row>
    <row r="4" spans="1:15" s="60" customFormat="1" ht="27.6" customHeight="1" x14ac:dyDescent="0.25">
      <c r="A4" s="55" t="s">
        <v>3</v>
      </c>
      <c r="B4" s="56" t="s">
        <v>4</v>
      </c>
      <c r="C4" s="568" t="s">
        <v>5</v>
      </c>
      <c r="D4" s="516"/>
      <c r="E4" s="516"/>
      <c r="F4" s="516"/>
      <c r="G4" s="516"/>
      <c r="H4" s="516"/>
      <c r="I4" s="516"/>
      <c r="J4" s="517"/>
      <c r="K4" s="57" t="s">
        <v>6</v>
      </c>
      <c r="L4" s="58" t="s">
        <v>7</v>
      </c>
      <c r="M4" s="59" t="s">
        <v>8</v>
      </c>
      <c r="N4" s="216" t="s">
        <v>9</v>
      </c>
    </row>
    <row r="5" spans="1:15" s="60" customFormat="1" x14ac:dyDescent="0.25">
      <c r="A5" s="55"/>
      <c r="B5" s="56"/>
      <c r="C5" s="294"/>
      <c r="D5" s="295"/>
      <c r="E5" s="295"/>
      <c r="F5" s="295"/>
      <c r="G5" s="295"/>
      <c r="H5" s="295"/>
      <c r="I5" s="295"/>
      <c r="J5" s="295"/>
      <c r="K5" s="328"/>
      <c r="L5" s="58"/>
      <c r="M5" s="59"/>
      <c r="N5" s="216"/>
    </row>
    <row r="6" spans="1:15" s="239" customFormat="1" ht="75.599999999999994" customHeight="1" x14ac:dyDescent="0.25">
      <c r="A6" s="553">
        <v>1</v>
      </c>
      <c r="B6" s="561">
        <v>9.1</v>
      </c>
      <c r="C6" s="560" t="s">
        <v>161</v>
      </c>
      <c r="D6" s="516"/>
      <c r="E6" s="516"/>
      <c r="F6" s="516"/>
      <c r="G6" s="516"/>
      <c r="H6" s="516"/>
      <c r="I6" s="516"/>
      <c r="J6" s="516"/>
      <c r="K6" s="517"/>
      <c r="L6" s="275"/>
      <c r="M6" s="562"/>
      <c r="N6" s="567"/>
    </row>
    <row r="7" spans="1:15" s="239" customFormat="1" x14ac:dyDescent="0.25">
      <c r="A7" s="543"/>
      <c r="B7" s="543"/>
      <c r="C7" s="276" t="s">
        <v>305</v>
      </c>
      <c r="D7" s="275"/>
      <c r="E7" s="275"/>
      <c r="F7" s="275"/>
      <c r="G7" s="275"/>
      <c r="H7" s="273"/>
      <c r="I7" s="277"/>
      <c r="J7" s="278"/>
      <c r="K7" s="278"/>
      <c r="L7" s="275"/>
      <c r="M7" s="543"/>
      <c r="N7" s="543"/>
    </row>
    <row r="8" spans="1:15" s="239" customFormat="1" x14ac:dyDescent="0.25">
      <c r="A8" s="543"/>
      <c r="B8" s="543"/>
      <c r="C8" s="379" t="s">
        <v>162</v>
      </c>
      <c r="D8" s="220">
        <v>1</v>
      </c>
      <c r="E8" s="275" t="s">
        <v>13</v>
      </c>
      <c r="F8" s="275">
        <f>2.1+2.1+1.2</f>
        <v>5.4</v>
      </c>
      <c r="G8" s="275" t="s">
        <v>13</v>
      </c>
      <c r="H8" s="275">
        <v>7.4999999999999997E-2</v>
      </c>
      <c r="I8" s="275" t="s">
        <v>13</v>
      </c>
      <c r="J8" s="275">
        <v>0.1</v>
      </c>
      <c r="K8" s="281">
        <f>D8*F8*H8*J8</f>
        <v>4.1000000000000002E-2</v>
      </c>
      <c r="L8" s="277" t="s">
        <v>163</v>
      </c>
      <c r="M8" s="543"/>
      <c r="N8" s="543"/>
    </row>
    <row r="9" spans="1:15" s="239" customFormat="1" x14ac:dyDescent="0.25">
      <c r="A9" s="543"/>
      <c r="B9" s="543"/>
      <c r="C9" s="379" t="s">
        <v>164</v>
      </c>
      <c r="D9" s="220">
        <v>4</v>
      </c>
      <c r="E9" s="275"/>
      <c r="F9" s="275">
        <f>1.8*2+1.5*2</f>
        <v>6.6</v>
      </c>
      <c r="G9" s="275" t="s">
        <v>13</v>
      </c>
      <c r="H9" s="275">
        <v>0.08</v>
      </c>
      <c r="I9" s="275" t="s">
        <v>13</v>
      </c>
      <c r="J9" s="275">
        <v>0.1</v>
      </c>
      <c r="K9" s="281">
        <f>D9*F9*H9*J9</f>
        <v>0.21099999999999999</v>
      </c>
      <c r="L9" s="277" t="s">
        <v>163</v>
      </c>
      <c r="M9" s="543"/>
      <c r="N9" s="543"/>
    </row>
    <row r="10" spans="1:15" s="239" customFormat="1" x14ac:dyDescent="0.25">
      <c r="A10" s="543"/>
      <c r="B10" s="543"/>
      <c r="C10" s="379" t="s">
        <v>165</v>
      </c>
      <c r="D10" s="220">
        <v>5</v>
      </c>
      <c r="E10" s="275"/>
      <c r="F10" s="275">
        <f>0.9*2+0.45*2</f>
        <v>2.7</v>
      </c>
      <c r="G10" s="275" t="s">
        <v>13</v>
      </c>
      <c r="H10" s="275">
        <v>0.08</v>
      </c>
      <c r="I10" s="275" t="s">
        <v>13</v>
      </c>
      <c r="J10" s="275">
        <v>0.1</v>
      </c>
      <c r="K10" s="281">
        <f>D10*F10*H10*J10</f>
        <v>0.108</v>
      </c>
      <c r="L10" s="277" t="s">
        <v>163</v>
      </c>
      <c r="M10" s="544"/>
      <c r="N10" s="544"/>
    </row>
    <row r="11" spans="1:15" s="239" customFormat="1" x14ac:dyDescent="0.25">
      <c r="A11" s="544"/>
      <c r="B11" s="544"/>
      <c r="C11" s="556" t="s">
        <v>15</v>
      </c>
      <c r="D11" s="557"/>
      <c r="E11" s="557"/>
      <c r="F11" s="557"/>
      <c r="G11" s="557"/>
      <c r="H11" s="557"/>
      <c r="I11" s="557"/>
      <c r="J11" s="558"/>
      <c r="K11" s="273">
        <f>SUM(K8:K10)</f>
        <v>0.36</v>
      </c>
      <c r="L11" s="277" t="s">
        <v>163</v>
      </c>
      <c r="M11" s="282">
        <v>74199.7</v>
      </c>
      <c r="N11" s="280">
        <f>K11*M11</f>
        <v>26711.89</v>
      </c>
    </row>
    <row r="12" spans="1:15" s="239" customFormat="1" ht="102.75" customHeight="1" x14ac:dyDescent="0.25">
      <c r="A12" s="553">
        <v>2</v>
      </c>
      <c r="B12" s="561">
        <v>9.5</v>
      </c>
      <c r="C12" s="560" t="s">
        <v>167</v>
      </c>
      <c r="D12" s="516"/>
      <c r="E12" s="516"/>
      <c r="F12" s="516"/>
      <c r="G12" s="516"/>
      <c r="H12" s="516"/>
      <c r="I12" s="516"/>
      <c r="J12" s="516"/>
      <c r="K12" s="517"/>
      <c r="L12" s="275"/>
      <c r="M12" s="569"/>
      <c r="N12" s="559"/>
      <c r="O12" s="239">
        <f>M12*N12</f>
        <v>0</v>
      </c>
    </row>
    <row r="13" spans="1:15" s="239" customFormat="1" x14ac:dyDescent="0.25">
      <c r="A13" s="543"/>
      <c r="B13" s="543"/>
      <c r="C13" s="276" t="s">
        <v>305</v>
      </c>
      <c r="D13" s="275"/>
      <c r="E13" s="275"/>
      <c r="F13" s="275"/>
      <c r="G13" s="275"/>
      <c r="H13" s="273"/>
      <c r="I13" s="277"/>
      <c r="J13" s="278"/>
      <c r="K13" s="278"/>
      <c r="L13" s="275"/>
      <c r="M13" s="543"/>
      <c r="N13" s="543"/>
      <c r="O13" s="239">
        <v>-5</v>
      </c>
    </row>
    <row r="14" spans="1:15" s="239" customFormat="1" x14ac:dyDescent="0.25">
      <c r="A14" s="543"/>
      <c r="B14" s="543"/>
      <c r="C14" s="379" t="s">
        <v>162</v>
      </c>
      <c r="D14" s="220">
        <v>1</v>
      </c>
      <c r="E14" s="275" t="s">
        <v>13</v>
      </c>
      <c r="F14" s="275">
        <v>1.2</v>
      </c>
      <c r="G14" s="275"/>
      <c r="H14" s="275"/>
      <c r="I14" s="275" t="s">
        <v>13</v>
      </c>
      <c r="J14" s="275">
        <v>2.1</v>
      </c>
      <c r="K14" s="273">
        <f>D14*F14*J14</f>
        <v>2.52</v>
      </c>
      <c r="L14" s="277" t="s">
        <v>67</v>
      </c>
      <c r="M14" s="543"/>
      <c r="N14" s="543"/>
      <c r="O14" s="239">
        <v>-3</v>
      </c>
    </row>
    <row r="15" spans="1:15" s="239" customFormat="1" x14ac:dyDescent="0.25">
      <c r="A15" s="543"/>
      <c r="B15" s="543"/>
      <c r="C15" s="379" t="s">
        <v>164</v>
      </c>
      <c r="D15" s="220">
        <v>4</v>
      </c>
      <c r="E15" s="275" t="s">
        <v>13</v>
      </c>
      <c r="F15" s="275">
        <v>1.5</v>
      </c>
      <c r="G15" s="275"/>
      <c r="H15" s="275"/>
      <c r="I15" s="275" t="s">
        <v>13</v>
      </c>
      <c r="J15" s="275">
        <v>1.8</v>
      </c>
      <c r="K15" s="273">
        <f>D15*F15*J15</f>
        <v>10.8</v>
      </c>
      <c r="L15" s="277" t="s">
        <v>67</v>
      </c>
      <c r="M15" s="543"/>
      <c r="N15" s="543"/>
    </row>
    <row r="16" spans="1:15" s="239" customFormat="1" x14ac:dyDescent="0.25">
      <c r="A16" s="543"/>
      <c r="B16" s="543"/>
      <c r="C16" s="379" t="s">
        <v>165</v>
      </c>
      <c r="D16" s="220">
        <v>5</v>
      </c>
      <c r="E16" s="275" t="s">
        <v>13</v>
      </c>
      <c r="F16" s="275">
        <v>1.5</v>
      </c>
      <c r="G16" s="275"/>
      <c r="H16" s="275"/>
      <c r="I16" s="275" t="s">
        <v>13</v>
      </c>
      <c r="J16" s="275">
        <v>0.45</v>
      </c>
      <c r="K16" s="273">
        <f>D16*F16*J16</f>
        <v>3.38</v>
      </c>
      <c r="L16" s="277" t="s">
        <v>67</v>
      </c>
      <c r="M16" s="543"/>
      <c r="N16" s="543"/>
    </row>
    <row r="17" spans="1:19" s="239" customFormat="1" x14ac:dyDescent="0.25">
      <c r="A17" s="544"/>
      <c r="B17" s="544"/>
      <c r="C17" s="555" t="s">
        <v>15</v>
      </c>
      <c r="D17" s="516"/>
      <c r="E17" s="516"/>
      <c r="F17" s="516"/>
      <c r="G17" s="516"/>
      <c r="H17" s="516"/>
      <c r="I17" s="516"/>
      <c r="J17" s="517"/>
      <c r="K17" s="273">
        <f>SUM(K14:K16)</f>
        <v>16.7</v>
      </c>
      <c r="L17" s="277" t="s">
        <v>67</v>
      </c>
      <c r="M17" s="279">
        <v>2511.9499999999998</v>
      </c>
      <c r="N17" s="280">
        <f>K17*M17</f>
        <v>41949.57</v>
      </c>
      <c r="O17" s="239">
        <f>SUM(O6:O14)</f>
        <v>-8</v>
      </c>
    </row>
    <row r="18" spans="1:19" s="107" customFormat="1" ht="111.6" customHeight="1" x14ac:dyDescent="0.25">
      <c r="A18" s="565">
        <v>3</v>
      </c>
      <c r="B18" s="253">
        <v>11.41</v>
      </c>
      <c r="C18" s="534" t="s">
        <v>35</v>
      </c>
      <c r="D18" s="516"/>
      <c r="E18" s="516"/>
      <c r="F18" s="516"/>
      <c r="G18" s="516"/>
      <c r="H18" s="516"/>
      <c r="I18" s="516"/>
      <c r="J18" s="516"/>
      <c r="K18" s="517"/>
      <c r="L18" s="283"/>
      <c r="M18" s="542"/>
      <c r="N18" s="542"/>
    </row>
    <row r="19" spans="1:19" s="239" customFormat="1" x14ac:dyDescent="0.25">
      <c r="A19" s="543"/>
      <c r="B19" s="253"/>
      <c r="C19" s="379"/>
      <c r="D19" s="220">
        <v>1</v>
      </c>
      <c r="E19" s="275" t="s">
        <v>13</v>
      </c>
      <c r="F19" s="275">
        <v>5</v>
      </c>
      <c r="G19" s="275"/>
      <c r="H19" s="275"/>
      <c r="I19" s="275" t="s">
        <v>13</v>
      </c>
      <c r="J19" s="275">
        <v>7.5</v>
      </c>
      <c r="K19" s="273">
        <f>D19*F19*J19</f>
        <v>37.5</v>
      </c>
      <c r="L19" s="277" t="s">
        <v>67</v>
      </c>
      <c r="M19" s="543"/>
      <c r="N19" s="543"/>
      <c r="O19" s="239">
        <v>-3</v>
      </c>
    </row>
    <row r="20" spans="1:19" s="239" customFormat="1" x14ac:dyDescent="0.25">
      <c r="A20" s="543"/>
      <c r="B20" s="253"/>
      <c r="C20" s="379"/>
      <c r="D20" s="220">
        <v>1</v>
      </c>
      <c r="E20" s="275" t="s">
        <v>13</v>
      </c>
      <c r="F20" s="275">
        <v>2.2000000000000002</v>
      </c>
      <c r="G20" s="275"/>
      <c r="H20" s="275"/>
      <c r="I20" s="275" t="s">
        <v>13</v>
      </c>
      <c r="J20" s="275">
        <v>2.5</v>
      </c>
      <c r="K20" s="273">
        <f>D20*F20*J20</f>
        <v>5.5</v>
      </c>
      <c r="L20" s="277" t="s">
        <v>67</v>
      </c>
      <c r="M20" s="544"/>
      <c r="N20" s="544"/>
    </row>
    <row r="21" spans="1:19" s="239" customFormat="1" x14ac:dyDescent="0.25">
      <c r="A21" s="544"/>
      <c r="B21" s="253"/>
      <c r="C21" s="555" t="s">
        <v>15</v>
      </c>
      <c r="D21" s="516"/>
      <c r="E21" s="516"/>
      <c r="F21" s="516"/>
      <c r="G21" s="516"/>
      <c r="H21" s="516"/>
      <c r="I21" s="516"/>
      <c r="J21" s="517"/>
      <c r="K21" s="273">
        <f>SUM(K19:K20)</f>
        <v>43</v>
      </c>
      <c r="L21" s="277" t="s">
        <v>67</v>
      </c>
      <c r="M21" s="279">
        <v>1416.65</v>
      </c>
      <c r="N21" s="284">
        <f>K21*M21</f>
        <v>60915.95</v>
      </c>
      <c r="O21" s="239">
        <f>SUM(O10:O19)</f>
        <v>-19</v>
      </c>
    </row>
    <row r="22" spans="1:19" s="107" customFormat="1" ht="108.6" customHeight="1" x14ac:dyDescent="0.25">
      <c r="A22" s="565">
        <v>4</v>
      </c>
      <c r="B22" s="251">
        <v>8.31</v>
      </c>
      <c r="C22" s="534" t="s">
        <v>45</v>
      </c>
      <c r="D22" s="516"/>
      <c r="E22" s="516"/>
      <c r="F22" s="516"/>
      <c r="G22" s="516"/>
      <c r="H22" s="516"/>
      <c r="I22" s="516"/>
      <c r="J22" s="516"/>
      <c r="K22" s="517"/>
      <c r="L22" s="252"/>
      <c r="M22" s="563"/>
      <c r="N22" s="542"/>
    </row>
    <row r="23" spans="1:19" s="239" customFormat="1" x14ac:dyDescent="0.25">
      <c r="A23" s="543"/>
      <c r="B23" s="253"/>
      <c r="C23" s="379"/>
      <c r="D23" s="220">
        <v>2</v>
      </c>
      <c r="E23" s="275" t="s">
        <v>13</v>
      </c>
      <c r="F23" s="275">
        <v>2.1</v>
      </c>
      <c r="G23" s="275"/>
      <c r="H23" s="275"/>
      <c r="I23" s="275" t="s">
        <v>13</v>
      </c>
      <c r="J23" s="275">
        <v>1.5</v>
      </c>
      <c r="K23" s="273">
        <f>D23*F23*J23</f>
        <v>6.3</v>
      </c>
      <c r="L23" s="277" t="s">
        <v>67</v>
      </c>
      <c r="M23" s="543"/>
      <c r="N23" s="543"/>
      <c r="O23" s="239">
        <v>-3</v>
      </c>
    </row>
    <row r="24" spans="1:19" s="239" customFormat="1" x14ac:dyDescent="0.25">
      <c r="A24" s="543"/>
      <c r="B24" s="253"/>
      <c r="C24" s="379"/>
      <c r="D24" s="220">
        <v>2</v>
      </c>
      <c r="E24" s="275" t="s">
        <v>13</v>
      </c>
      <c r="F24" s="275">
        <v>2.5</v>
      </c>
      <c r="G24" s="275"/>
      <c r="H24" s="275"/>
      <c r="I24" s="275" t="s">
        <v>13</v>
      </c>
      <c r="J24" s="275">
        <v>1.5</v>
      </c>
      <c r="K24" s="273">
        <f>D24*F24*J24</f>
        <v>7.5</v>
      </c>
      <c r="L24" s="277" t="s">
        <v>67</v>
      </c>
      <c r="M24" s="543"/>
      <c r="N24" s="543"/>
    </row>
    <row r="25" spans="1:19" s="239" customFormat="1" x14ac:dyDescent="0.25">
      <c r="A25" s="543"/>
      <c r="B25" s="253"/>
      <c r="C25" s="379" t="s">
        <v>48</v>
      </c>
      <c r="D25" s="220">
        <v>-1</v>
      </c>
      <c r="E25" s="275" t="s">
        <v>13</v>
      </c>
      <c r="F25" s="275">
        <v>1.2</v>
      </c>
      <c r="G25" s="275"/>
      <c r="H25" s="275"/>
      <c r="I25" s="275" t="s">
        <v>13</v>
      </c>
      <c r="J25" s="275">
        <v>1.5</v>
      </c>
      <c r="K25" s="273">
        <f>D25*F25*J25</f>
        <v>-1.8</v>
      </c>
      <c r="L25" s="277" t="s">
        <v>67</v>
      </c>
      <c r="M25" s="544"/>
      <c r="N25" s="544"/>
    </row>
    <row r="26" spans="1:19" s="239" customFormat="1" x14ac:dyDescent="0.25">
      <c r="A26" s="544"/>
      <c r="B26" s="253"/>
      <c r="C26" s="555" t="s">
        <v>15</v>
      </c>
      <c r="D26" s="516"/>
      <c r="E26" s="516"/>
      <c r="F26" s="516"/>
      <c r="G26" s="516"/>
      <c r="H26" s="516"/>
      <c r="I26" s="516"/>
      <c r="J26" s="517"/>
      <c r="K26" s="273">
        <f>SUM(K23:K25)</f>
        <v>12</v>
      </c>
      <c r="L26" s="277" t="s">
        <v>67</v>
      </c>
      <c r="M26" s="279">
        <v>1063.45</v>
      </c>
      <c r="N26" s="284">
        <f>K26*M26</f>
        <v>12761.4</v>
      </c>
      <c r="O26" s="239">
        <f>SUM(O16:O23)</f>
        <v>-33</v>
      </c>
    </row>
    <row r="27" spans="1:19" s="239" customFormat="1" ht="52.8" customHeight="1" x14ac:dyDescent="0.25">
      <c r="A27" s="545">
        <v>5</v>
      </c>
      <c r="B27" s="550" t="s">
        <v>154</v>
      </c>
      <c r="C27" s="549" t="s">
        <v>155</v>
      </c>
      <c r="D27" s="516"/>
      <c r="E27" s="516"/>
      <c r="F27" s="516"/>
      <c r="G27" s="516"/>
      <c r="H27" s="516"/>
      <c r="I27" s="516"/>
      <c r="J27" s="517"/>
      <c r="K27" s="285"/>
      <c r="L27" s="272"/>
      <c r="M27" s="552"/>
      <c r="N27" s="552"/>
      <c r="O27" s="240"/>
      <c r="P27" s="241">
        <f>SQRT(((R27)^2)+((S27)^2))</f>
        <v>3.9820000000000002</v>
      </c>
      <c r="Q27" s="241">
        <f>(5.2+0.5+0.5)/2</f>
        <v>3.1</v>
      </c>
      <c r="R27" s="239">
        <v>2.5</v>
      </c>
      <c r="S27" s="242">
        <f>Q27</f>
        <v>3.1</v>
      </c>
    </row>
    <row r="28" spans="1:19" ht="18" customHeight="1" x14ac:dyDescent="0.25">
      <c r="A28" s="543"/>
      <c r="B28" s="543"/>
      <c r="C28" s="286" t="s">
        <v>156</v>
      </c>
      <c r="D28" s="287">
        <v>2</v>
      </c>
      <c r="E28" s="287"/>
      <c r="F28" s="287"/>
      <c r="G28" s="287"/>
      <c r="H28" s="287"/>
      <c r="I28" s="287"/>
      <c r="J28" s="287"/>
      <c r="K28" s="38">
        <f>D28</f>
        <v>2</v>
      </c>
      <c r="L28" s="38" t="s">
        <v>157</v>
      </c>
      <c r="M28" s="543"/>
      <c r="N28" s="543"/>
      <c r="O28" s="240"/>
      <c r="P28" s="241"/>
      <c r="Q28" s="241"/>
    </row>
    <row r="29" spans="1:19" ht="18" customHeight="1" x14ac:dyDescent="0.25">
      <c r="A29" s="543"/>
      <c r="B29" s="543"/>
      <c r="C29" s="286" t="s">
        <v>158</v>
      </c>
      <c r="D29" s="287">
        <v>4</v>
      </c>
      <c r="E29" s="287"/>
      <c r="F29" s="287"/>
      <c r="G29" s="287"/>
      <c r="H29" s="287"/>
      <c r="I29" s="287"/>
      <c r="J29" s="287"/>
      <c r="K29" s="38">
        <f>D29</f>
        <v>4</v>
      </c>
      <c r="L29" s="38" t="s">
        <v>157</v>
      </c>
      <c r="M29" s="543"/>
      <c r="N29" s="543"/>
      <c r="O29" s="240"/>
      <c r="P29" s="241"/>
      <c r="Q29" s="241"/>
    </row>
    <row r="30" spans="1:19" ht="18" customHeight="1" x14ac:dyDescent="0.25">
      <c r="A30" s="543"/>
      <c r="B30" s="543"/>
      <c r="C30" s="286" t="s">
        <v>159</v>
      </c>
      <c r="D30" s="287">
        <v>5</v>
      </c>
      <c r="E30" s="287"/>
      <c r="F30" s="287"/>
      <c r="G30" s="287"/>
      <c r="H30" s="287"/>
      <c r="I30" s="287"/>
      <c r="J30" s="287"/>
      <c r="K30" s="38">
        <f>D30</f>
        <v>5</v>
      </c>
      <c r="L30" s="38" t="s">
        <v>157</v>
      </c>
      <c r="M30" s="544"/>
      <c r="N30" s="544"/>
      <c r="O30" s="240"/>
      <c r="P30" s="241"/>
      <c r="Q30" s="241"/>
    </row>
    <row r="31" spans="1:19" ht="13.2" customHeight="1" x14ac:dyDescent="0.25">
      <c r="A31" s="544"/>
      <c r="B31" s="544"/>
      <c r="C31" s="564" t="s">
        <v>215</v>
      </c>
      <c r="D31" s="516"/>
      <c r="E31" s="516"/>
      <c r="F31" s="516"/>
      <c r="G31" s="516"/>
      <c r="H31" s="516"/>
      <c r="I31" s="516"/>
      <c r="J31" s="517"/>
      <c r="K31" s="288">
        <f>SUM(K28:K30)</f>
        <v>11</v>
      </c>
      <c r="L31" s="38" t="s">
        <v>157</v>
      </c>
      <c r="M31" s="279">
        <v>302.7</v>
      </c>
      <c r="N31" s="61">
        <f>ROUND(K31*M31,2)</f>
        <v>3329.7</v>
      </c>
      <c r="O31" s="240"/>
      <c r="P31" s="241"/>
      <c r="Q31" s="241"/>
    </row>
    <row r="32" spans="1:19" s="239" customFormat="1" ht="52.8" customHeight="1" x14ac:dyDescent="0.25">
      <c r="A32" s="545">
        <v>6</v>
      </c>
      <c r="B32" s="550" t="s">
        <v>306</v>
      </c>
      <c r="C32" s="549" t="s">
        <v>307</v>
      </c>
      <c r="D32" s="516"/>
      <c r="E32" s="516"/>
      <c r="F32" s="516"/>
      <c r="G32" s="516"/>
      <c r="H32" s="516"/>
      <c r="I32" s="516"/>
      <c r="J32" s="517"/>
      <c r="K32" s="285"/>
      <c r="L32" s="272"/>
      <c r="M32" s="554"/>
      <c r="N32" s="554"/>
      <c r="O32" s="240"/>
      <c r="P32" s="241">
        <f>SQRT(((R32)^2)+((S32)^2))</f>
        <v>3.9820000000000002</v>
      </c>
      <c r="Q32" s="241">
        <f>(5.2+0.5+0.5)/2</f>
        <v>3.1</v>
      </c>
      <c r="R32" s="239">
        <v>2.5</v>
      </c>
      <c r="S32" s="242">
        <f>Q32</f>
        <v>3.1</v>
      </c>
    </row>
    <row r="33" spans="1:135" ht="18" customHeight="1" x14ac:dyDescent="0.25">
      <c r="A33" s="543"/>
      <c r="B33" s="543"/>
      <c r="C33" s="379"/>
      <c r="D33" s="220">
        <v>1</v>
      </c>
      <c r="E33" s="275" t="s">
        <v>13</v>
      </c>
      <c r="F33" s="275">
        <v>5</v>
      </c>
      <c r="G33" s="275"/>
      <c r="H33" s="275"/>
      <c r="I33" s="275" t="s">
        <v>13</v>
      </c>
      <c r="J33" s="275">
        <v>7.5</v>
      </c>
      <c r="K33" s="273">
        <f>D33*F33*J33</f>
        <v>37.5</v>
      </c>
      <c r="L33" s="277" t="s">
        <v>67</v>
      </c>
      <c r="M33" s="543"/>
      <c r="N33" s="543"/>
      <c r="O33" s="240"/>
      <c r="P33" s="241"/>
      <c r="Q33" s="241"/>
    </row>
    <row r="34" spans="1:135" ht="18" customHeight="1" x14ac:dyDescent="0.25">
      <c r="A34" s="543"/>
      <c r="B34" s="543"/>
      <c r="C34" s="379"/>
      <c r="D34" s="220">
        <v>1</v>
      </c>
      <c r="E34" s="275" t="s">
        <v>13</v>
      </c>
      <c r="F34" s="275">
        <v>2.2000000000000002</v>
      </c>
      <c r="G34" s="275"/>
      <c r="H34" s="275"/>
      <c r="I34" s="275" t="s">
        <v>13</v>
      </c>
      <c r="J34" s="275">
        <v>2.5</v>
      </c>
      <c r="K34" s="273">
        <f>D34*F34*J34</f>
        <v>5.5</v>
      </c>
      <c r="L34" s="277" t="s">
        <v>67</v>
      </c>
      <c r="M34" s="543"/>
      <c r="N34" s="543"/>
      <c r="O34" s="240"/>
      <c r="P34" s="241"/>
      <c r="Q34" s="241"/>
    </row>
    <row r="35" spans="1:135" ht="13.2" customHeight="1" x14ac:dyDescent="0.25">
      <c r="A35" s="544"/>
      <c r="B35" s="544"/>
      <c r="C35" s="564" t="s">
        <v>215</v>
      </c>
      <c r="D35" s="516"/>
      <c r="E35" s="516"/>
      <c r="F35" s="516"/>
      <c r="G35" s="516"/>
      <c r="H35" s="516"/>
      <c r="I35" s="516"/>
      <c r="J35" s="517"/>
      <c r="K35" s="288">
        <f>SUM(K33:K34)</f>
        <v>43</v>
      </c>
      <c r="L35" s="38" t="s">
        <v>157</v>
      </c>
      <c r="M35" s="279">
        <v>60.5</v>
      </c>
      <c r="N35" s="61">
        <f>ROUND(K35*M35,2)</f>
        <v>2601.5</v>
      </c>
      <c r="O35" s="240"/>
      <c r="P35" s="241"/>
      <c r="Q35" s="241"/>
    </row>
    <row r="36" spans="1:135" s="39" customFormat="1" x14ac:dyDescent="0.25">
      <c r="A36" s="551" t="s">
        <v>214</v>
      </c>
      <c r="B36" s="516"/>
      <c r="C36" s="516"/>
      <c r="D36" s="516"/>
      <c r="E36" s="516"/>
      <c r="F36" s="516"/>
      <c r="G36" s="516"/>
      <c r="H36" s="516"/>
      <c r="I36" s="516"/>
      <c r="J36" s="516"/>
      <c r="K36" s="516"/>
      <c r="L36" s="516"/>
      <c r="M36" s="517"/>
      <c r="N36" s="64">
        <f>SUM(N6:N35)</f>
        <v>148270.01</v>
      </c>
    </row>
    <row r="37" spans="1:135" ht="15.6" customHeight="1" x14ac:dyDescent="0.25">
      <c r="A37" s="541" t="s">
        <v>215</v>
      </c>
      <c r="B37" s="516"/>
      <c r="C37" s="516"/>
      <c r="D37" s="516"/>
      <c r="E37" s="516"/>
      <c r="F37" s="516"/>
      <c r="G37" s="516"/>
      <c r="H37" s="516"/>
      <c r="I37" s="516"/>
      <c r="J37" s="516"/>
      <c r="K37" s="516"/>
      <c r="L37" s="516"/>
      <c r="M37" s="517"/>
      <c r="N37" s="65">
        <f>ROUND(N36,0)</f>
        <v>148270</v>
      </c>
    </row>
    <row r="38" spans="1:135" ht="25.2" customHeight="1" x14ac:dyDescent="0.25">
      <c r="C38" s="538" t="str">
        <f>CU44</f>
        <v>(Rupees one lakh forty eight thousand two hundred seventy ) only.</v>
      </c>
      <c r="D38" s="539"/>
      <c r="E38" s="539"/>
      <c r="F38" s="539"/>
      <c r="G38" s="539"/>
      <c r="H38" s="539"/>
      <c r="I38" s="539"/>
      <c r="J38" s="539"/>
      <c r="K38" s="546"/>
      <c r="L38" s="547"/>
      <c r="M38" s="548"/>
    </row>
    <row r="40" spans="1:135" x14ac:dyDescent="0.25">
      <c r="Q40" s="54" t="s">
        <v>308</v>
      </c>
    </row>
    <row r="41" spans="1:135" x14ac:dyDescent="0.25">
      <c r="Q41" s="54" t="s">
        <v>309</v>
      </c>
    </row>
    <row r="42" spans="1:135" x14ac:dyDescent="0.25">
      <c r="Q42" s="54" t="s">
        <v>310</v>
      </c>
    </row>
    <row r="43" spans="1:135" ht="14.4" customHeight="1" thickBot="1" x14ac:dyDescent="0.3"/>
    <row r="44" spans="1:135" s="53" customFormat="1" ht="12.75" customHeight="1" thickBot="1" x14ac:dyDescent="0.35">
      <c r="A44" s="42">
        <f>N37</f>
        <v>148270</v>
      </c>
      <c r="B44" s="43" t="s">
        <v>263</v>
      </c>
      <c r="C44" s="381">
        <v>1</v>
      </c>
      <c r="D44" s="45" t="s">
        <v>264</v>
      </c>
      <c r="E44" s="44">
        <v>2</v>
      </c>
      <c r="F44" s="45" t="s">
        <v>265</v>
      </c>
      <c r="G44" s="44">
        <v>3</v>
      </c>
      <c r="H44" s="45" t="s">
        <v>266</v>
      </c>
      <c r="I44" s="44">
        <v>4</v>
      </c>
      <c r="J44" s="45" t="s">
        <v>267</v>
      </c>
      <c r="K44" s="44">
        <v>5</v>
      </c>
      <c r="L44" s="45" t="s">
        <v>268</v>
      </c>
      <c r="M44" s="44">
        <v>6</v>
      </c>
      <c r="N44" s="217" t="s">
        <v>269</v>
      </c>
      <c r="O44" s="44">
        <v>7</v>
      </c>
      <c r="P44" s="45" t="s">
        <v>270</v>
      </c>
      <c r="Q44" s="44">
        <v>8</v>
      </c>
      <c r="R44" s="45" t="s">
        <v>271</v>
      </c>
      <c r="S44" s="44">
        <v>9</v>
      </c>
      <c r="T44" s="45" t="s">
        <v>272</v>
      </c>
      <c r="U44" s="44">
        <v>10</v>
      </c>
      <c r="V44" s="45" t="s">
        <v>273</v>
      </c>
      <c r="W44" s="44">
        <v>11</v>
      </c>
      <c r="X44" s="45" t="s">
        <v>274</v>
      </c>
      <c r="Y44" s="44">
        <v>12</v>
      </c>
      <c r="Z44" s="45" t="s">
        <v>275</v>
      </c>
      <c r="AA44" s="44">
        <v>13</v>
      </c>
      <c r="AB44" s="45" t="s">
        <v>276</v>
      </c>
      <c r="AC44" s="44">
        <v>14</v>
      </c>
      <c r="AD44" s="45" t="s">
        <v>277</v>
      </c>
      <c r="AE44" s="44">
        <v>15</v>
      </c>
      <c r="AF44" s="45" t="s">
        <v>278</v>
      </c>
      <c r="AG44" s="44">
        <v>16</v>
      </c>
      <c r="AH44" s="45" t="s">
        <v>279</v>
      </c>
      <c r="AI44" s="44">
        <v>17</v>
      </c>
      <c r="AJ44" s="45" t="s">
        <v>280</v>
      </c>
      <c r="AK44" s="44">
        <v>18</v>
      </c>
      <c r="AL44" s="45" t="s">
        <v>281</v>
      </c>
      <c r="AM44" s="44">
        <v>19</v>
      </c>
      <c r="AN44" s="45" t="s">
        <v>282</v>
      </c>
      <c r="AO44" s="46" t="s">
        <v>283</v>
      </c>
      <c r="AP44" s="47" t="s">
        <v>284</v>
      </c>
      <c r="AQ44" s="48" t="s">
        <v>285</v>
      </c>
      <c r="AR44" s="48" t="str">
        <f>IF(AX44="","",IF(AX44&gt;=90,"ninety "&amp;IF((AX44-ROUNDDOWN(AX44,-1))=C44,D44,"")&amp;IF((AX44-ROUNDDOWN(AX44,-1))=E44,F44,"")&amp;IF((AX44-ROUNDDOWN(AX44,-1))=G44,H44,"")&amp;IF((AX44-ROUNDDOWN(AX44,-1))=I44,J44,"")&amp;IF((AX44-ROUNDDOWN(AX44,-1))=K44,L44,"")&amp;IF((AX44-ROUNDDOWN(AX44,-1))=M44,N44,"")&amp;IF((AX44-ROUNDDOWN(AX44,-1))=O44,P44,"")&amp;IF((AX44-ROUNDDOWN(AX44,-1))=Q44,R44,"")&amp;IF((AX44-ROUNDDOWN(AX44,-1))=S44,T44,""),IF(AX44&gt;=80,"eighty "&amp;IF((AX44-ROUNDDOWN(AX44,-1))=1,D44,"")&amp;IF((AX44-ROUNDDOWN(AX44,-1))=2,F44,"")&amp;IF((AX44-ROUNDDOWN(AX44,-1))=G44,H44,"")&amp;IF((AX44-ROUNDDOWN(AX44,-1))=I44,J44,"")&amp;IF((AX44-ROUNDDOWN(AX44,-1))=K44,L44,"")&amp;IF((AX44-ROUNDDOWN(AX44,-1))=M44,N44,"")&amp;IF((AX44-ROUNDDOWN(AX44,-1))=O44,P44,"")&amp;IF((AX44-ROUNDDOWN(AX44,-1))=Q44,R44,"")&amp;IF((AX44-ROUNDDOWN(AX44,-1))=S44,T44,""),"")))</f>
        <v/>
      </c>
      <c r="AS44" s="48" t="str">
        <f>IF(AX44="","",IF(AX44&gt;79,"",IF(AX44&gt;=70,"seventy "&amp;IF((AX44-ROUNDDOWN(AX44,-1))=C44,D44,"")&amp;IF((AX44-ROUNDDOWN(AX44,-1))=E44,F44,"")&amp;IF((AX44-ROUNDDOWN(AX44,-1))=G44,H44,"")&amp;IF((AX44-ROUNDDOWN(AX44,-1))=I44,J44,"")&amp;IF((AX44-ROUNDDOWN(AX44,-1))=K44,L44,"")&amp;IF((AX44-ROUNDDOWN(AX44,-1))=M44,N44,"")&amp;IF((AX44-ROUNDDOWN(AX44,-1))=O44,P44,"")&amp;IF((AX44-ROUNDDOWN(AX44,-1))=Q44,R44,"")&amp;IF((AX44-ROUNDDOWN(AX44,-1))=S44,T44,""),IF(AX44&gt;=60,"sixty "&amp;IF((AX44-ROUNDDOWN(AX44,-1))=1,D44,"")&amp;IF((AX44-ROUNDDOWN(AX44,-1))=2,F44,"")&amp;IF((AX44-ROUNDDOWN(AX44,-1))=G44,H44,"")&amp;IF((AX44-ROUNDDOWN(AX44,-1))=I44,J44,"")&amp;IF((AX44-ROUNDDOWN(AX44,-1))=K44,L44,"")&amp;IF((AX44-ROUNDDOWN(AX44,-1))=M44,N44,"")&amp;IF((AX44-ROUNDDOWN(AX44,-1))=O44,P44,"")&amp;IF((AX44-ROUNDDOWN(AX44,-1))=Q44,R44,"")&amp;IF((AX44-ROUNDDOWN(AX44,-1))=S44,T44,""),""))))</f>
        <v/>
      </c>
      <c r="AT44" s="48" t="str">
        <f>IF(AX44="","",IF(AX44&gt;59,"",IF(AX44&gt;=50,"fifty "&amp;IF((AX44-ROUNDDOWN(AX44,-1))=C44,D44,"")&amp;IF((AX44-ROUNDDOWN(AX44,-1))=E44,F44,"")&amp;IF((AX44-ROUNDDOWN(AX44,-1))=G44,H44,"")&amp;IF((AX44-ROUNDDOWN(AX44,-1))=I44,J44,"")&amp;IF((AX44-ROUNDDOWN(AX44,-1))=K44,L44,"")&amp;IF((AX44-ROUNDDOWN(AX44,-1))=M44,N44,"")&amp;IF((AX44-ROUNDDOWN(AX44,-1))=O44,P44,"")&amp;IF((AX44-ROUNDDOWN(AX44,-1))=Q44,R44,"")&amp;IF((AX44-ROUNDDOWN(AX44,-1))=S44,T44,""),IF(AX44&gt;=40,"forty "&amp;IF((AX44-ROUNDDOWN(AX44,-1))=1,D44,"")&amp;IF((AX44-ROUNDDOWN(AX44,-1))=2,F44,"")&amp;IF((AX44-ROUNDDOWN(AX44,-1))=G44,H44,"")&amp;IF((AX44-ROUNDDOWN(AX44,-1))=I44,J44,"")&amp;IF((AX44-ROUNDDOWN(AX44,-1))=K44,L44,"")&amp;IF((AX44-ROUNDDOWN(AX44,-1))=M44,N44,"")&amp;IF((AX44-ROUNDDOWN(AX44,-1))=O44,P44,"")&amp;IF((AX44-ROUNDDOWN(AX44,-1))=Q44,R44,"")&amp;IF((AX44-ROUNDDOWN(AX44,-1))=S44,T44,""),""))))</f>
        <v/>
      </c>
      <c r="AU44" s="48" t="str">
        <f>IF(AX44="","",IF(AX44&gt;39,"",IF(AX44&gt;=30,"thirty "&amp;IF((AX44-ROUNDDOWN(AX44,-1))=C44,D44,"")&amp;IF((AX44-ROUNDDOWN(AX44,-1))=E44,F44,"")&amp;IF((AX44-ROUNDDOWN(AX44,-1))=G44,H44,"")&amp;IF((AX44-ROUNDDOWN(AX44,-1))=I44,J44,"")&amp;IF((AX44-ROUNDDOWN(AX44,-1))=K44,L44,"")&amp;IF((AX44-ROUNDDOWN(AX44,-1))=M44,N44,"")&amp;IF((AX44-ROUNDDOWN(AX44,-1))=O44,P44,"")&amp;IF((AX44-ROUNDDOWN(AX44,-1))=Q44,R44,"")&amp;IF((AX44-ROUNDDOWN(AX44,-1))=S44,T44,""),IF(AX44&gt;=20,"twenty "&amp;IF((AX44-ROUNDDOWN(AX44,-1))=1,D44,"")&amp;IF((AX44-ROUNDDOWN(AX44,-1))=2,F44,"")&amp;IF((AX44-ROUNDDOWN(AX44,-1))=G44,H44,"")&amp;IF((AX44-ROUNDDOWN(AX44,-1))=I44,J44,"")&amp;IF((AX44-ROUNDDOWN(AX44,-1))=K44,L44,"")&amp;IF((AX44-ROUNDDOWN(AX44,-1))=M44,N44,"")&amp;IF((AX44-ROUNDDOWN(AX44,-1))=O44,P44,"")&amp;IF((AX44-ROUNDDOWN(AX44,-1))=Q44,R44,"")&amp;IF((AX44-ROUNDDOWN(AX44,-1))=S44,T44,""),""))))</f>
        <v/>
      </c>
      <c r="AV44" s="48" t="str">
        <f>IF(AX44="","",IF(AX44=C44,D44,"")&amp;IF(AX44=E44,F44,"")&amp;IF(AX44=G44,H44,"")&amp;IF(AX44=I44,J44,"")&amp;IF(AX44=K44,L44,"")&amp;IF(AX44=M44,N44,"")&amp;IF(AX44=O44,P44,"")&amp;IF(AX44=Q44,R44,"")&amp;IF(AX44=S44,T44,"")&amp;IF(AX44=U44,V44,"")&amp;IF(AX44=W44,X44,"")&amp;IF(AX44=Y44,Z44,"")&amp;IF(AX44=AA44,AB44,"")&amp;IF(AX44=AC44,AD44,"")&amp;IF(AX44=AE44,AF44,"")&amp;IF(AX44=AG44,AH44,"")&amp;IF(AX44=AI44,AJ44,"")&amp;IF(AX44=AK44,AL44,"")&amp;IF(AX44=AM44,AN44,""))</f>
        <v/>
      </c>
      <c r="AW44" s="49"/>
      <c r="AX44" s="48" t="str">
        <f>IF(A44&gt;=10000000,ROUNDDOWN(A44,-7)/10000000,"")</f>
        <v/>
      </c>
      <c r="AY44" s="48" t="str">
        <f>IF(AR44="","",AR44)&amp;IF(AS44="","",AS44)&amp;IF(AT44="","",AT44)&amp;IF(AU44="","",AU44)&amp;IF(AV44="","",AV44)</f>
        <v/>
      </c>
      <c r="AZ44" s="48" t="s">
        <v>286</v>
      </c>
      <c r="BA44" s="48" t="str">
        <f>IF(BG44="","",IF(BG44&gt;=90,"ninety "&amp;IF((BG44-ROUNDDOWN(BG44,-1))=C44,D44,"")&amp;IF((BG44-ROUNDDOWN(BG44,-1))=E44,F44,"")&amp;IF((BG44-ROUNDDOWN(BG44,-1))=G44,H44,"")&amp;IF((BG44-ROUNDDOWN(BG44,-1))=I44,J44,"")&amp;IF((BG44-ROUNDDOWN(BG44,-1))=K44,L44,"")&amp;IF((BG44-ROUNDDOWN(BG44,-1))=M44,N44,"")&amp;IF((BG44-ROUNDDOWN(BG44,-1))=O44,P44,"")&amp;IF((BG44-ROUNDDOWN(BG44,-1))=Q44,R44,"")&amp;IF((BG44-ROUNDDOWN(BG44,-1))=S44,T44,""),IF(BG44&gt;=80,"eighty "&amp;IF((BG44-ROUNDDOWN(BG44,-1))=1,D44,"")&amp;IF((BG44-ROUNDDOWN(BG44,-1))=2,F44,"")&amp;IF((BG44-ROUNDDOWN(BG44,-1))=G44,H44,"")&amp;IF((BG44-ROUNDDOWN(BG44,-1))=I44,J44,"")&amp;IF((BG44-ROUNDDOWN(BG44,-1))=K44,L44,"")&amp;IF((BG44-ROUNDDOWN(BG44,-1))=M44,N44,"")&amp;IF((BG44-ROUNDDOWN(BG44,-1))=O44,P44,"")&amp;IF((BG44-ROUNDDOWN(BG44,-1))=Q44,R44,"")&amp;IF((BG44-ROUNDDOWN(BG44,-1))=S44,T44,""),"")))</f>
        <v/>
      </c>
      <c r="BB44" s="48" t="str">
        <f>IF(BG44="","",IF(BG44&gt;79,"",IF(BG44&gt;=70,"seventy "&amp;IF((BG44-ROUNDDOWN(BG44,-1))=C44,D44,"")&amp;IF((BG44-ROUNDDOWN(BG44,-1))=E44,F44,"")&amp;IF((BG44-ROUNDDOWN(BG44,-1))=G44,H44,"")&amp;IF((BG44-ROUNDDOWN(BG44,-1))=I44,J44,"")&amp;IF((BG44-ROUNDDOWN(BG44,-1))=K44,L44,"")&amp;IF((BG44-ROUNDDOWN(BG44,-1))=M44,N44,"")&amp;IF((BG44-ROUNDDOWN(BG44,-1))=O44,P44,"")&amp;IF((BG44-ROUNDDOWN(BG44,-1))=Q44,R44,"")&amp;IF((BG44-ROUNDDOWN(BG44,-1))=S44,T44,""),IF(BG44&gt;=60,"sixty "&amp;IF((BG44-ROUNDDOWN(BG44,-1))=1,D44,"")&amp;IF((BG44-ROUNDDOWN(BG44,-1))=2,F44,"")&amp;IF((BG44-ROUNDDOWN(BG44,-1))=G44,H44,"")&amp;IF((BG44-ROUNDDOWN(BG44,-1))=I44,J44,"")&amp;IF((BG44-ROUNDDOWN(BG44,-1))=K44,L44,"")&amp;IF((BG44-ROUNDDOWN(BG44,-1))=M44,N44,"")&amp;IF((BG44-ROUNDDOWN(BG44,-1))=O44,P44,"")&amp;IF((BG44-ROUNDDOWN(BG44,-1))=Q44,R44,"")&amp;IF((BG44-ROUNDDOWN(BG44,-1))=S44,T44,""),""))))</f>
        <v/>
      </c>
      <c r="BC44" s="48" t="str">
        <f>IF(BG44="","",IF(BG44&gt;59,"",IF(BG44&gt;=50,"fifty "&amp;IF((BG44-ROUNDDOWN(BG44,-1))=C44,D44,"")&amp;IF((BG44-ROUNDDOWN(BG44,-1))=E44,F44,"")&amp;IF((BG44-ROUNDDOWN(BG44,-1))=G44,H44,"")&amp;IF((BG44-ROUNDDOWN(BG44,-1))=I44,J44,"")&amp;IF((BG44-ROUNDDOWN(BG44,-1))=K44,L44,"")&amp;IF((BG44-ROUNDDOWN(BG44,-1))=M44,N44,"")&amp;IF((BG44-ROUNDDOWN(BG44,-1))=O44,P44,"")&amp;IF((BG44-ROUNDDOWN(BG44,-1))=Q44,R44,"")&amp;IF((BG44-ROUNDDOWN(BG44,-1))=S44,T44,""),IF(BG44&gt;=40,"forty "&amp;IF((BG44-ROUNDDOWN(BG44,-1))=1,D44,"")&amp;IF((BG44-ROUNDDOWN(BG44,-1))=2,F44,"")&amp;IF((BG44-ROUNDDOWN(BG44,-1))=G44,H44,"")&amp;IF((BG44-ROUNDDOWN(BG44,-1))=I44,J44,"")&amp;IF((BG44-ROUNDDOWN(BG44,-1))=K44,L44,"")&amp;IF((BG44-ROUNDDOWN(BG44,-1))=M44,N44,"")&amp;IF((BG44-ROUNDDOWN(BG44,-1))=O44,P44,"")&amp;IF((BG44-ROUNDDOWN(BG44,-1))=Q44,R44,"")&amp;IF((BG44-ROUNDDOWN(BG44,-1))=S44,T44,""),""))))</f>
        <v/>
      </c>
      <c r="BD44" s="48" t="str">
        <f>IF(BG44="","",IF(BG44&gt;39,"",IF(BG44&gt;=30,"thirty "&amp;IF((BG44-ROUNDDOWN(BG44,-1))=C44,D44,"")&amp;IF((BG44-ROUNDDOWN(BG44,-1))=E44,F44,"")&amp;IF((BG44-ROUNDDOWN(BG44,-1))=G44,H44,"")&amp;IF((BG44-ROUNDDOWN(BG44,-1))=I44,J44,"")&amp;IF((BG44-ROUNDDOWN(BG44,-1))=K44,L44,"")&amp;IF((BG44-ROUNDDOWN(BG44,-1))=M44,N44,"")&amp;IF((BG44-ROUNDDOWN(BG44,-1))=O44,P44,"")&amp;IF((BG44-ROUNDDOWN(BG44,-1))=Q44,R44,"")&amp;IF((BG44-ROUNDDOWN(BG44,-1))=S44,T44,""),IF(BG44&gt;=20,"twenty "&amp;IF((BG44-ROUNDDOWN(BG44,-1))=1,D44,"")&amp;IF((BG44-ROUNDDOWN(BG44,-1))=2,F44,"")&amp;IF((BG44-ROUNDDOWN(BG44,-1))=G44,H44,"")&amp;IF((BG44-ROUNDDOWN(BG44,-1))=I44,J44,"")&amp;IF((BG44-ROUNDDOWN(BG44,-1))=K44,L44,"")&amp;IF((BG44-ROUNDDOWN(BG44,-1))=M44,N44,"")&amp;IF((BG44-ROUNDDOWN(BG44,-1))=O44,P44,"")&amp;IF((BG44-ROUNDDOWN(BG44,-1))=Q44,R44,"")&amp;IF((BG44-ROUNDDOWN(BG44,-1))=S44,T44,""),""))))</f>
        <v/>
      </c>
      <c r="BE44" s="48" t="str">
        <f>IF(BG44="","",IF(BG44=C44,D44,"")&amp;IF(BG44=E44,F44,"")&amp;IF(BG44=G44,H44,"")&amp;IF(BG44=I44,J44,"")&amp;IF(BG44=K44,L44,"")&amp;IF(BG44=M44,N44,"")&amp;IF(BG44=O44,P44,"")&amp;IF(BG44=Q44,R44,"")&amp;IF(BG44=S44,T44,"")&amp;IF(BG44=U44,V44,"")&amp;IF(BG44=W44,X44,"")&amp;IF(BG44=Y44,Z44,"")&amp;IF(BG44=AA44,AB44,"")&amp;IF(BG44=AC44,AD44,"")&amp;IF(BG44=AE44,AF44,"")&amp;IF(BG44=AG44,AH44,"")&amp;IF(BG44=AI44,AJ44,"")&amp;IF(BG44=AK44,AL44,"")&amp;IF(BG44=AM44,AN44,""))</f>
        <v>one</v>
      </c>
      <c r="BF44" s="48"/>
      <c r="BG44" s="48">
        <f>IF(A44&gt;=100000,ROUNDDOWN((ROUND(A44,-4)-ROUNDDOWN(A44,-7))/100000,0),"")</f>
        <v>1</v>
      </c>
      <c r="BH44" s="48" t="str">
        <f>IF(BA44="","",BA44)&amp;IF(BB44="","",BB44)&amp;IF(BC44="","",BC44)&amp;IF(BD44="","",BD44)&amp;IF(BE44="","",BE44)</f>
        <v>one</v>
      </c>
      <c r="BI44" s="48" t="s">
        <v>287</v>
      </c>
      <c r="BJ44" s="48" t="str">
        <f>IF(BP44="","",IF(BP44&gt;=90,"ninety "&amp;IF((BP44-ROUNDDOWN(BP44,-1))=1,D44,"")&amp;IF((BP44-ROUNDDOWN(BP44,-1))=2,F44,"")&amp;IF((BP44-ROUNDDOWN(BP44,-1))=G44,H44,"")&amp;IF((BP44-ROUNDDOWN(BP44,-1))=I44,J44,"")&amp;IF((BP44-ROUNDDOWN(BP44,-1))=K44,L44,"")&amp;IF((BP44-ROUNDDOWN(BP44,-1))=M44,N44,"")&amp;IF((BP44-ROUNDDOWN(BP44,-1))=O44,P44,"")&amp;IF((BP44-ROUNDDOWN(BP44,-1))=Q44,R44,"")&amp;IF((BP44-ROUNDDOWN(BP44,-1))=S44,T44,""),IF(BP44&gt;=80,"eighty "&amp;IF((BP44-ROUNDDOWN(BP44,-1))=1,D44,"")&amp;IF((BP44-ROUNDDOWN(BP44,-1))=2,F44,"")&amp;IF((BP44-ROUNDDOWN(BP44,-1))=G44,H44,"")&amp;IF((BP44-ROUNDDOWN(BP44,-1))=I44,J44,"")&amp;IF((BP44-ROUNDDOWN(BP44,-1))=K44,L44,"")&amp;IF((BP44-ROUNDDOWN(BP44,-1))=M44,N44,"")&amp;IF((BP44-ROUNDDOWN(BP44,-1))=O44,P44,"")&amp;IF((BP44-ROUNDDOWN(BP44,-1))=Q44,R44,"")&amp;IF((BP44-ROUNDDOWN(BP44,-1))=S44,T44,""),"")))</f>
        <v/>
      </c>
      <c r="BK44" s="48" t="str">
        <f>IF(BP44="","",IF(BP44&gt;79,"",IF(BP44&gt;=70,"seventy "&amp;IF((BP44-ROUNDDOWN(BP44,-1))=1,D44,"")&amp;IF((BP44-ROUNDDOWN(BP44,-1))=2,F44,"")&amp;IF((BP44-ROUNDDOWN(BP44,-1))=G44,H44,"")&amp;IF((BP44-ROUNDDOWN(BP44,-1))=I44,J44,"")&amp;IF((BP44-ROUNDDOWN(BP44,-1))=K44,L44,"")&amp;IF((BP44-ROUNDDOWN(BP44,-1))=M44,N44,"")&amp;IF((BP44-ROUNDDOWN(BP44,-1))=O44,P44,"")&amp;IF((BP44-ROUNDDOWN(BP44,-1))=Q44,R44,"")&amp;IF((BP44-ROUNDDOWN(BP44,-1))=S44,T44,""),IF(BP44&gt;=60,"sixty "&amp;IF((BP44-ROUNDDOWN(BP44,-1))=1,D44,"")&amp;IF((BP44-ROUNDDOWN(BP44,-1))=2,F44,"")&amp;IF((BP44-ROUNDDOWN(BP44,-1))=G44,H44,"")&amp;IF((BP44-ROUNDDOWN(BP44,-1))=I44,J44,"")&amp;IF((BP44-ROUNDDOWN(BP44,-1))=K44,L44,"")&amp;IF((BP44-ROUNDDOWN(BP44,-1))=M44,N44,"")&amp;IF((BP44-ROUNDDOWN(BP44,-1))=O44,P44,"")&amp;IF((BP44-ROUNDDOWN(BP44,-1))=Q44,R44,"")&amp;IF((BP44-ROUNDDOWN(BP44,-1))=S44,T44,""),""))))</f>
        <v/>
      </c>
      <c r="BL44" s="48" t="str">
        <f>IF(BP44="","",IF(BP44&gt;59,"",IF(BP44&gt;=50,"fifty "&amp;IF((BP44-ROUNDDOWN(BP44,-1))=1,D44,"")&amp;IF((BP44-ROUNDDOWN(BP44,-1))=2,F44,"")&amp;IF((BP44-ROUNDDOWN(BP44,-1))=G44,H44,"")&amp;IF((BP44-ROUNDDOWN(BP44,-1))=I44,J44,"")&amp;IF((BP44-ROUNDDOWN(BP44,-1))=K44,L44,"")&amp;IF((BP44-ROUNDDOWN(BP44,-1))=M44,N44,"")&amp;IF((BP44-ROUNDDOWN(BP44,-1))=O44,P44,"")&amp;IF((BP44-ROUNDDOWN(BP44,-1))=Q44,R44,"")&amp;IF((BP44-ROUNDDOWN(BP44,-1))=S44,T44,""),IF(BP44&gt;=40,"forty "&amp;IF((BP44-ROUNDDOWN(BP44,-1))=1,D44,"")&amp;IF((BP44-ROUNDDOWN(BP44,-1))=2,F44,"")&amp;IF((BP44-ROUNDDOWN(BP44,-1))=G44,H44,"")&amp;IF((BP44-ROUNDDOWN(BP44,-1))=I44,J44,"")&amp;IF((BP44-ROUNDDOWN(BP44,-1))=K44,L44,"")&amp;IF((BP44-ROUNDDOWN(BP44,-1))=M44,N44,"")&amp;IF((BP44-ROUNDDOWN(BP44,-1))=O44,P44,"")&amp;IF((BP44-ROUNDDOWN(BP44,-1))=Q44,R44,"")&amp;IF((BP44-ROUNDDOWN(BP44,-1))=S44,T44,""),""))))</f>
        <v>forty eight</v>
      </c>
      <c r="BM44" s="48" t="str">
        <f>IF(BP44="","",IF(BP44&gt;39,"",IF(BP44&gt;=30,"thirty "&amp;IF((BP44-ROUNDDOWN(BP44,-1))=1,D44,"")&amp;IF((BP44-ROUNDDOWN(BP44,-1))=2,F44,"")&amp;IF((BP44-ROUNDDOWN(BP44,-1))=G44,H44,"")&amp;IF((BP44-ROUNDDOWN(BP44,-1))=I44,J44,"")&amp;IF((BP44-ROUNDDOWN(BP44,-1))=K44,L44,"")&amp;IF((BP44-ROUNDDOWN(BP44,-1))=M44,N44,"")&amp;IF((BP44-ROUNDDOWN(BP44,-1))=O44,P44,"")&amp;IF((BP44-ROUNDDOWN(BP44,-1))=Q44,R44,"")&amp;IF((BP44-ROUNDDOWN(BP44,-1))=S44,T44,""),IF(BP44&gt;=20,"twenty "&amp;IF((BP44-ROUNDDOWN(BP44,-1))=1,D44,"")&amp;IF((BP44-ROUNDDOWN(BP44,-1))=2,F44,"")&amp;IF((BP44-ROUNDDOWN(BP44,-1))=G44,H44,"")&amp;IF((BP44-ROUNDDOWN(BP44,-1))=I44,J44,"")&amp;IF((BP44-ROUNDDOWN(BP44,-1))=K44,L44,"")&amp;IF((BP44-ROUNDDOWN(BP44,-1))=M44,N44,"")&amp;IF((BP44-ROUNDDOWN(BP44,-1))=O44,P44,"")&amp;IF((BP44-ROUNDDOWN(BP44,-1))=Q44,R44,"")&amp;IF((BP44-ROUNDDOWN(BP44,-1))=S44,T44,""),""))))</f>
        <v/>
      </c>
      <c r="BN44" s="48" t="str">
        <f>IF(BP44="","",IF(BP44=C44,D44,"")&amp;IF(BP44=E44,F44,"")&amp;IF(BP44=G44,H44,"")&amp;IF(BP44=I44,J44,"")&amp;IF(BP44=K44,L44,"")&amp;IF(BP44=M44,N44,"")&amp;IF(BP44=O44,P44,"")&amp;IF(BP44=Q44,R44,"")&amp;IF(BP44=S44,T44,"")&amp;IF(BP44=U44,V44,"")&amp;IF(BP44=W44,X44,"")&amp;IF(BP44=Y44,Z44,"")&amp;IF(BP44=AA44,AB44,"")&amp;IF(BP44=AC44,AD44,"")&amp;IF(BP44=AE44,AF44,"")&amp;IF(BP44=AG44,AH44,"")&amp;IF(BP44=AI44,AJ44,"")&amp;IF(BP44=AK44,AL44,"")&amp;IF(BP44=AM44,AN44,""))</f>
        <v/>
      </c>
      <c r="BO44" s="48"/>
      <c r="BP44" s="48">
        <f>IF(A44&gt;=1000,ROUNDDOWN((A44-ROUNDDOWN(A44,-5))/1000,0),"")</f>
        <v>48</v>
      </c>
      <c r="BQ44" s="48" t="str">
        <f>IF(BJ44="","",BJ44)&amp;IF(BK44="","",BK44)&amp;IF(BL44="","",BL44)&amp;IF(BM44="","",BM44)&amp;IF(BN44="","",BN44)</f>
        <v>forty eight</v>
      </c>
      <c r="BR44" s="48" t="s">
        <v>288</v>
      </c>
      <c r="BS44" s="48" t="str">
        <f>IF(BY44="","",IF(BY44&gt;=90,"ninety "&amp;IF((BY44-ROUNDDOWN(BY44,-1))=1,D44,"")&amp;IF((BY44-ROUNDDOWN(BY44,-1))=2,F44,"")&amp;IF((BY44-ROUNDDOWN(BY44,-1))=G44,H44,"")&amp;IF((BY44-ROUNDDOWN(BY44,-1))=I44,J44,"")&amp;IF((BY44-ROUNDDOWN(BY44,-1))=K44,L44,"")&amp;IF((BY44-ROUNDDOWN(BY44,-1))=M44,N44,"")&amp;IF((BY44-ROUNDDOWN(BY44,-1))=O44,P44,"")&amp;IF((BY44-ROUNDDOWN(BY44,-1))=Q44,R44,"")&amp;IF((BY44-ROUNDDOWN(BY44,-1))=S44,T44,""),IF(BY44&gt;=80,"eighty "&amp;IF((BY44-ROUNDDOWN(BY44,-1))=1,D44,"")&amp;IF((BY44-ROUNDDOWN(BY44,-1))=2,F44,"")&amp;IF((BY44-ROUNDDOWN(BY44,-1))=G44,H44,"")&amp;IF((BY44-ROUNDDOWN(BY44,-1))=I44,J44,"")&amp;IF((BY44-ROUNDDOWN(BY44,-1))=K44,L44,"")&amp;IF((BY44-ROUNDDOWN(BY44,-1))=M44,N44,"")&amp;IF((BY44-ROUNDDOWN(BY44,-1))=O44,P44,"")&amp;IF((BY44-ROUNDDOWN(BY44,-1))=Q44,R44,"")&amp;IF((BY44-ROUNDDOWN(BY44,-1))=S44,T44,""),"")))</f>
        <v/>
      </c>
      <c r="BT44" s="48" t="str">
        <f>IF(BY44="","",IF(BY44&gt;79,"",IF(BY44&gt;=70,"seventy "&amp;IF((BY44-ROUNDDOWN(BY44,-1))=1,D44,"")&amp;IF((BY44-ROUNDDOWN(BY44,-1))=2,F44,"")&amp;IF((BY44-ROUNDDOWN(BY44,-1))=G44,H44,"")&amp;IF((BY44-ROUNDDOWN(BY44,-1))=I44,J44,"")&amp;IF((BY44-ROUNDDOWN(BY44,-1))=K44,L44,"")&amp;IF((BY44-ROUNDDOWN(BY44,-1))=M44,N44,"")&amp;IF((BY44-ROUNDDOWN(BY44,-1))=O44,P44,"")&amp;IF((BY44-ROUNDDOWN(BY44,-1))=Q44,R44,"")&amp;IF((BY44-ROUNDDOWN(BY44,-1))=S44,T44,""),IF(BY44&gt;=60,"sixty "&amp;IF((BY44-ROUNDDOWN(BY44,-1))=1,D44,"")&amp;IF((BY44-ROUNDDOWN(BY44,-1))=2,F44,"")&amp;IF((BY44-ROUNDDOWN(BY44,-1))=G44,H44,"")&amp;IF((BY44-ROUNDDOWN(BY44,-1))=I44,J44,"")&amp;IF((BY44-ROUNDDOWN(BY44,-1))=K44,L44,"")&amp;IF((BY44-ROUNDDOWN(BY44,-1))=M44,N44,"")&amp;IF((BY44-ROUNDDOWN(BY44,-1))=O44,P44,"")&amp;IF((BY44-ROUNDDOWN(BY44,-1))=Q44,R44,"")&amp;IF((BY44-ROUNDDOWN(BY44,-1))=S44,T44,""),""))))</f>
        <v/>
      </c>
      <c r="BU44" s="48" t="str">
        <f>IF(BY44="","",IF(BY44&gt;59,"",IF(BY44&gt;=50,"fifty "&amp;IF((BY44-ROUNDDOWN(BY44,-1))=1,D44,"")&amp;IF((BY44-ROUNDDOWN(BY44,-1))=2,F44,"")&amp;IF((BY44-ROUNDDOWN(BY44,-1))=G44,H44,"")&amp;IF((BY44-ROUNDDOWN(BY44,-1))=I44,J44,"")&amp;IF((BY44-ROUNDDOWN(BY44,-1))=K44,L44,"")&amp;IF((BY44-ROUNDDOWN(BY44,-1))=M44,N44,"")&amp;IF((BY44-ROUNDDOWN(BY44,-1))=O44,P44,"")&amp;IF((BY44-ROUNDDOWN(BY44,-1))=Q44,R44,"")&amp;IF((BY44-ROUNDDOWN(BY44,-1))=S44,T44,""),IF(BY44&gt;=40,"forty "&amp;IF((BY44-ROUNDDOWN(BY44,-1))=1,D44,"")&amp;IF((BY44-ROUNDDOWN(BY44,-1))=2,F44,"")&amp;IF((BY44-ROUNDDOWN(BY44,-1))=G44,H44,"")&amp;IF((BY44-ROUNDDOWN(BY44,-1))=I44,J44,"")&amp;IF((BY44-ROUNDDOWN(BY44,-1))=K44,L44,"")&amp;IF((BY44-ROUNDDOWN(BY44,-1))=M44,N44,"")&amp;IF((BY44-ROUNDDOWN(BY44,-1))=O44,P44,"")&amp;IF((BY44-ROUNDDOWN(BY44,-1))=Q44,R44,"")&amp;IF((BY44-ROUNDDOWN(BY44,-1))=S44,T44,""),""))))</f>
        <v/>
      </c>
      <c r="BV44" s="48" t="str">
        <f>IF(BY44="","",IF(BY44&gt;39,"",IF(BY44&gt;=30,"thirty "&amp;IF((BY44-ROUNDDOWN(BY44,-1))=1,D44,"")&amp;IF((BY44-ROUNDDOWN(BY44,-1))=2,F44,"")&amp;IF((BY44-ROUNDDOWN(BY44,-1))=G44,H44,"")&amp;IF((BY44-ROUNDDOWN(BY44,-1))=I44,J44,"")&amp;IF((BY44-ROUNDDOWN(BY44,-1))=K44,L44,"")&amp;IF((BY44-ROUNDDOWN(BY44,-1))=M44,N44,"")&amp;IF((BY44-ROUNDDOWN(BY44,-1))=O44,P44,"")&amp;IF((BY44-ROUNDDOWN(BY44,-1))=Q44,R44,"")&amp;IF((BY44-ROUNDDOWN(BY44,-1))=S44,T44,""),IF(BY44&gt;=20,"twenty "&amp;IF((BY44-ROUNDDOWN(BY44,-1))=1,D44,"")&amp;IF((BY44-ROUNDDOWN(BY44,-1))=2,F44,"")&amp;IF((BY44-ROUNDDOWN(BY44,-1))=G44,H44,"")&amp;IF((BY44-ROUNDDOWN(BY44,-1))=I44,J44,"")&amp;IF((BY44-ROUNDDOWN(BY44,-1))=K44,L44,"")&amp;IF((BY44-ROUNDDOWN(BY44,-1))=M44,N44,"")&amp;IF((BY44-ROUNDDOWN(BY44,-1))=O44,P44,"")&amp;IF((BY44-ROUNDDOWN(BY44,-1))=Q44,R44,"")&amp;IF((BY44-ROUNDDOWN(BY44,-1))=S44,T44,""),""))))</f>
        <v/>
      </c>
      <c r="BW44" s="48" t="str">
        <f>IF(BY44="","",IF(BY44=C44,D44,"")&amp;IF(BY44=E44,F44,"")&amp;IF(BY44=G44,H44,"")&amp;IF(BY44=I44,J44,"")&amp;IF(BY44=K44,L44,"")&amp;IF(BY44=M44,N44,"")&amp;IF(BY44=O44,P44,"")&amp;IF(BY44=Q44,R44,"")&amp;IF(BY44=S44,T44,"")&amp;IF(BY44=U44,V44,"")&amp;IF(BY44=W44,X44,"")&amp;IF(BY44=Y44,Z44,"")&amp;IF(BY44=AA44,AB44,"")&amp;IF(BY44=AC44,AD44,"")&amp;IF(BY44=AE44,AF44,"")&amp;IF(BY44=AG44,AH44,"")&amp;IF(BY44=AI44,AJ44,"")&amp;IF(BY44=AK44,AL44,"")&amp;IF(BY44=AM44,AN44,""))</f>
        <v>two</v>
      </c>
      <c r="BX44" s="49"/>
      <c r="BY44" s="48">
        <f>IF(A44&gt;=100,ROUNDDOWN((A44-ROUNDDOWN(A44,-3))/100,0),"")</f>
        <v>2</v>
      </c>
      <c r="BZ44" s="48" t="str">
        <f>IF(BS44="","",BS44)&amp;IF(BT44="","",BT44)&amp;IF(BU44="","",BU44)&amp;IF(BV44="","",BV44)&amp;IF(BW44="","",BW44)</f>
        <v>two</v>
      </c>
      <c r="CA44" s="48" t="s">
        <v>289</v>
      </c>
      <c r="CB44" s="48" t="str">
        <f>IF(CH44="","",IF(CH44&gt;=90,"ninety "&amp;IF((CH44-ROUNDDOWN(CH44,-1))=1,D44,"")&amp;IF((CH44-ROUNDDOWN(CH44,-1))=2,F44,"")&amp;IF((CH44-ROUNDDOWN(CH44,-1))=G44,H44,"")&amp;IF((CH44-ROUNDDOWN(CH44,-1))=I44,J44,"")&amp;IF((CH44-ROUNDDOWN(CH44,-1))=K44,L44,"")&amp;IF((CH44-ROUNDDOWN(CH44,-1))=M44,N44,"")&amp;IF((CH44-ROUNDDOWN(CH44,-1))=O44,P44,"")&amp;IF((CH44-ROUNDDOWN(CH44,-1))=Q44,R44,"")&amp;IF((CH44-ROUNDDOWN(CH44,-1))=S44,T44,""),IF(CH44&gt;=80,"eighty "&amp;IF((CH44-ROUNDDOWN(CH44,-1))=1,D44,"")&amp;IF((CH44-ROUNDDOWN(CH44,-1))=2,F44,"")&amp;IF((CH44-ROUNDDOWN(CH44,-1))=G44,H44,"")&amp;IF((CH44-ROUNDDOWN(CH44,-1))=I44,J44,"")&amp;IF((CH44-ROUNDDOWN(CH44,-1))=K44,L44,"")&amp;IF((CH44-ROUNDDOWN(CH44,-1))=M44,N44,"")&amp;IF((CH44-ROUNDDOWN(CH44,-1))=O44,P44,"")&amp;IF((CH44-ROUNDDOWN(CH44,-1))=Q44,R44,"")&amp;IF((CH44-ROUNDDOWN(CH44,-1))=S44,T44,""),"")))</f>
        <v/>
      </c>
      <c r="CC44" s="48" t="str">
        <f>IF(CH44="","",IF(CH44&gt;79,"",IF(CH44&gt;=70,"seventy "&amp;IF((CH44-ROUNDDOWN(CH44,-1))=1,D44,"")&amp;IF((CH44-ROUNDDOWN(CH44,-1))=2,F44,"")&amp;IF((CH44-ROUNDDOWN(CH44,-1))=G44,H44,"")&amp;IF((CH44-ROUNDDOWN(CH44,-1))=I44,J44,"")&amp;IF((CH44-ROUNDDOWN(CH44,-1))=K44,L44,"")&amp;IF((CH44-ROUNDDOWN(CH44,-1))=M44,N44,"")&amp;IF((CH44-ROUNDDOWN(CH44,-1))=O44,P44,"")&amp;IF((CH44-ROUNDDOWN(CH44,-1))=Q44,R44,"")&amp;IF((CH44-ROUNDDOWN(CH44,-1))=S44,T44,""),IF(CH44&gt;=60,"sixty "&amp;IF((CH44-ROUNDDOWN(CH44,-1))=1,D44,"")&amp;IF((CH44-ROUNDDOWN(CH44,-1))=2,F44,"")&amp;IF((CH44-ROUNDDOWN(CH44,-1))=G44,H44,"")&amp;IF((CH44-ROUNDDOWN(CH44,-1))=I44,J44,"")&amp;IF((CH44-ROUNDDOWN(CH44,-1))=K44,L44,"")&amp;IF((CH44-ROUNDDOWN(CH44,-1))=M44,N44,"")&amp;IF((CH44-ROUNDDOWN(CH44,-1))=O44,P44,"")&amp;IF((CH44-ROUNDDOWN(CH44,-1))=Q44,R44,"")&amp;IF((CH44-ROUNDDOWN(CH44,-1))=S44,T44,""),""))))</f>
        <v xml:space="preserve">seventy </v>
      </c>
      <c r="CD44" s="48" t="str">
        <f>IF(CH44="","",IF(CH44&gt;59,"",IF(CH44&gt;=50,"fifty "&amp;IF((CH44-ROUNDDOWN(CH44,-1))=1,D44,"")&amp;IF((CH44-ROUNDDOWN(CH44,-1))=2,F44,"")&amp;IF((CH44-ROUNDDOWN(CH44,-1))=G44,H44,"")&amp;IF((CH44-ROUNDDOWN(CH44,-1))=I44,J44,"")&amp;IF((CH44-ROUNDDOWN(CH44,-1))=K44,L44,"")&amp;IF((CH44-ROUNDDOWN(CH44,-1))=M44,N44,"")&amp;IF((CH44-ROUNDDOWN(CH44,-1))=O44,P44,"")&amp;IF((CH44-ROUNDDOWN(CH44,-1))=Q44,R44,"")&amp;IF((CH44-ROUNDDOWN(CH44,-1))=S44,T44,""),IF(CH44&gt;=40,"forty "&amp;IF((CH44-ROUNDDOWN(CH44,-1))=1,D44,"")&amp;IF((CH44-ROUNDDOWN(CH44,-1))=2,F44,"")&amp;IF((CH44-ROUNDDOWN(CH44,-1))=G44,H44,"")&amp;IF((CH44-ROUNDDOWN(CH44,-1))=I44,J44,"")&amp;IF((CH44-ROUNDDOWN(CH44,-1))=K44,L44,"")&amp;IF((CH44-ROUNDDOWN(CH44,-1))=M44,N44,"")&amp;IF((CH44-ROUNDDOWN(CH44,-1))=O44,P44,"")&amp;IF((CH44-ROUNDDOWN(CH44,-1))=Q44,R44,"")&amp;IF((CH44-ROUNDDOWN(CH44,-1))=S44,T44,""),""))))</f>
        <v/>
      </c>
      <c r="CE44" s="48" t="str">
        <f>IF(CH44="","",IF(CH44&gt;39,"",IF(CH44&gt;=30,"thirty "&amp;IF((CH44-ROUNDDOWN(CH44,-1))=1,D44,"")&amp;IF((CH44-ROUNDDOWN(CH44,-1))=2,F44,"")&amp;IF((CH44-ROUNDDOWN(CH44,-1))=G44,H44,"")&amp;IF((CH44-ROUNDDOWN(CH44,-1))=I44,J44,"")&amp;IF((CH44-ROUNDDOWN(CH44,-1))=K44,L44,"")&amp;IF((CH44-ROUNDDOWN(CH44,-1))=M44,N44,"")&amp;IF((CH44-ROUNDDOWN(CH44,-1))=O44,P44,"")&amp;IF((CH44-ROUNDDOWN(CH44,-1))=Q44,R44,"")&amp;IF((CH44-ROUNDDOWN(CH44,-1))=S44,T44,""),IF(CH44&gt;=20,"twenty "&amp;IF((CH44-ROUNDDOWN(CH44,-1))=1,D44,"")&amp;IF((CH44-ROUNDDOWN(CH44,-1))=2,F44,"")&amp;IF((CH44-ROUNDDOWN(CH44,-1))=G44,H44,"")&amp;IF((CH44-ROUNDDOWN(CH44,-1))=I44,J44,"")&amp;IF((CH44-ROUNDDOWN(CH44,-1))=K44,L44,"")&amp;IF((CH44-ROUNDDOWN(CH44,-1))=M44,N44,"")&amp;IF((CH44-ROUNDDOWN(CH44,-1))=O44,P44,"")&amp;IF((CH44-ROUNDDOWN(CH44,-1))=Q44,R44,"")&amp;IF((CH44-ROUNDDOWN(CH44,-1))=S44,T44,""),""))))</f>
        <v/>
      </c>
      <c r="CF44" s="48" t="str">
        <f>IF(CH44="","",IF(CH44=C44,D44,"")&amp;IF(CH44=E44,F44,"")&amp;IF(CH44=G44,H44,"")&amp;IF(CH44=I44,J44,"")&amp;IF(CH44=K44,L44,"")&amp;IF(CH44=M44,N44,"")&amp;IF(CH44=O44,P44,"")&amp;IF(CH44=Q44,R44,"")&amp;IF(CH44=S44,T44,"")&amp;IF(CH44=U44,V44,"")&amp;IF(CH44=W44,X44,"")&amp;IF(CH44=Y44,Z44,"")&amp;IF(CH44=AA44,AB44,"")&amp;IF(CH44=AC44,AD44,"")&amp;IF(CH44=AE44,AF44,"")&amp;IF(CH44=AG44,AH44,"")&amp;IF(CH44=AI44,AJ44,"")&amp;IF(CH44=AK44,AL44,"")&amp;IF(CH44=AM44,AN44,""))</f>
        <v/>
      </c>
      <c r="CG44" s="49"/>
      <c r="CH44" s="48">
        <f>IF(A44&gt;=1,ROUNDDOWN(A44-ROUNDDOWN(A44,-2),0),"")</f>
        <v>70</v>
      </c>
      <c r="CI44" s="48" t="str">
        <f>IF(CB44="","",CB44)&amp;IF(CC44="","",CC44)&amp;IF(CD44="","",CD44)&amp;IF(CE44="","",CE44)&amp;IF(CF44="","",CF44)</f>
        <v xml:space="preserve">seventy </v>
      </c>
      <c r="CJ44" s="48" t="s">
        <v>290</v>
      </c>
      <c r="CK44" s="48" t="str">
        <f>IF(CQ44="","",IF(CQ44&gt;=90,"ninety "&amp;IF((CQ44-ROUNDDOWN(CQ44,-1))=1,D44,"")&amp;IF((CQ44-ROUNDDOWN(CQ44,-1))=2,F44,"")&amp;IF((CQ44-ROUNDDOWN(CQ44,-1))=G44,H44,"")&amp;IF((CQ44-ROUNDDOWN(CQ44,-1))=I44,J44,"")&amp;IF((CQ44-ROUNDDOWN(CQ44,-1))=K44,L44,"")&amp;IF((CQ44-ROUNDDOWN(CQ44,-1))=M44,N44,"")&amp;IF((CQ44-ROUNDDOWN(CQ44,-1))=O44,P44,"")&amp;IF((CQ44-ROUNDDOWN(CQ44,-1))=Q44,R44,"")&amp;IF((CQ44-ROUNDDOWN(CQ44,-1))=S44,T44,""),IF(CQ44&gt;=80,"eighty "&amp;IF((CQ44-ROUNDDOWN(CQ44,-1))=1,D44,"")&amp;IF((CQ44-ROUNDDOWN(CQ44,-1))=2,F44,"")&amp;IF((CQ44-ROUNDDOWN(CQ44,-1))=G44,H44,"")&amp;IF((CQ44-ROUNDDOWN(CQ44,-1))=I44,J44,"")&amp;IF((CQ44-ROUNDDOWN(CQ44,-1))=K44,L44,"")&amp;IF((CQ44-ROUNDDOWN(CQ44,-1))=M44,N44,"")&amp;IF((CQ44-ROUNDDOWN(CQ44,-1))=O44,P44,"")&amp;IF((CQ44-ROUNDDOWN(CQ44,-1))=Q44,R44,"")&amp;IF((CQ44-ROUNDDOWN(CQ44,-1))=S44,T44,""),"")))</f>
        <v/>
      </c>
      <c r="CL44" s="48" t="str">
        <f>IF(CQ44="","",IF(CQ44&gt;79,"",IF(CQ44&gt;=70,"seventy "&amp;IF((CQ44-ROUNDDOWN(CQ44,-1))=1,D44,"")&amp;IF((CQ44-ROUNDDOWN(CQ44,-1))=2,F44,"")&amp;IF((CQ44-ROUNDDOWN(CQ44,-1))=G44,H44,"")&amp;IF((CQ44-ROUNDDOWN(CQ44,-1))=I44,J44,"")&amp;IF((CQ44-ROUNDDOWN(CQ44,-1))=K44,L44,"")&amp;IF((CQ44-ROUNDDOWN(CQ44,-1))=M44,N44,"")&amp;IF((CQ44-ROUNDDOWN(CQ44,-1))=O44,P44,"")&amp;IF((CQ44-ROUNDDOWN(CQ44,-1))=Q44,R44,"")&amp;IF((CQ44-ROUNDDOWN(CQ44,-1))=S44,T44,""),IF(CQ44&gt;=60,"sixty "&amp;IF((CQ44-ROUNDDOWN(CQ44,-1))=1,D44,"")&amp;IF((CQ44-ROUNDDOWN(CQ44,-1))=2,F44,"")&amp;IF((CQ44-ROUNDDOWN(CQ44,-1))=G44,H44,"")&amp;IF((CQ44-ROUNDDOWN(CQ44,-1))=I44,J44,"")&amp;IF((CQ44-ROUNDDOWN(CQ44,-1))=K44,L44,"")&amp;IF((CQ44-ROUNDDOWN(CQ44,-1))=M44,N44,"")&amp;IF((CQ44-ROUNDDOWN(CQ44,-1))=O44,P44,"")&amp;IF((CQ44-ROUNDDOWN(CQ44,-1))=Q44,R44,"")&amp;IF((CQ44-ROUNDDOWN(CQ44,-1))=S44,T44,""),""))))</f>
        <v/>
      </c>
      <c r="CM44" s="48" t="str">
        <f>IF(CQ44="","",IF(CQ44&gt;59,"",IF(CQ44&gt;=50,"fifty "&amp;IF((CQ44-ROUNDDOWN(CQ44,-1))=1,D44,"")&amp;IF((CQ44-ROUNDDOWN(CQ44,-1))=2,F44,"")&amp;IF((CQ44-ROUNDDOWN(CQ44,-1))=G44,H44,"")&amp;IF((CQ44-ROUNDDOWN(CQ44,-1))=I44,J44,"")&amp;IF((CQ44-ROUNDDOWN(CQ44,-1))=K44,L44,"")&amp;IF((CQ44-ROUNDDOWN(CQ44,-1))=M44,N44,"")&amp;IF((CQ44-ROUNDDOWN(CQ44,-1))=O44,P44,"")&amp;IF((CQ44-ROUNDDOWN(CQ44,-1))=Q44,R44,"")&amp;IF((CQ44-ROUNDDOWN(CQ44,-1))=S44,T44,""),IF(CQ44&gt;=40,"forty "&amp;IF((CQ44-ROUNDDOWN(CQ44,-1))=1,D44,"")&amp;IF((CQ44-ROUNDDOWN(CQ44,-1))=2,F44,"")&amp;IF((CQ44-ROUNDDOWN(CQ44,-1))=G44,H44,"")&amp;IF((CQ44-ROUNDDOWN(CQ44,-1))=I44,J44,"")&amp;IF((CQ44-ROUNDDOWN(CQ44,-1))=K44,L44,"")&amp;IF((CQ44-ROUNDDOWN(CQ44,-1))=M44,N44,"")&amp;IF((CQ44-ROUNDDOWN(CQ44,-1))=O44,P44,"")&amp;IF((CQ44-ROUNDDOWN(CQ44,-1))=Q44,R44,"")&amp;IF((CQ44-ROUNDDOWN(CQ44,-1))=S44,T44,""),""))))</f>
        <v/>
      </c>
      <c r="CN44" s="48" t="str">
        <f>IF(CQ44="","",IF(CQ44&gt;39,"",IF(CQ44&gt;=30,"thirty "&amp;IF((CQ44-ROUNDDOWN(CQ44,-1))=1,D44,"")&amp;IF((CQ44-ROUNDDOWN(CQ44,-1))=2,F44,"")&amp;IF((CQ44-ROUNDDOWN(CQ44,-1))=G44,H44,"")&amp;IF((CQ44-ROUNDDOWN(CQ44,-1))=I44,J44,"")&amp;IF((CQ44-ROUNDDOWN(CQ44,-1))=K44,L44,"")&amp;IF((CQ44-ROUNDDOWN(CQ44,-1))=M44,N44,"")&amp;IF((CQ44-ROUNDDOWN(CQ44,-1))=O44,P44,"")&amp;IF((CQ44-ROUNDDOWN(CQ44,-1))=Q44,R44,"")&amp;IF((CQ44-ROUNDDOWN(CQ44,-1))=S44,T44,""),IF(CQ44&gt;=20,"twenty "&amp;IF((CQ44-ROUNDDOWN(CQ44,-1))=1,D44,"")&amp;IF((CQ44-ROUNDDOWN(CQ44,-1))=2,F44,"")&amp;IF((CQ44-ROUNDDOWN(CQ44,-1))=G44,H44,"")&amp;IF((CQ44-ROUNDDOWN(CQ44,-1))=I44,J44,"")&amp;IF((CQ44-ROUNDDOWN(CQ44,-1))=K44,L44,"")&amp;IF((CQ44-ROUNDDOWN(CQ44,-1))=M44,N44,"")&amp;IF((CQ44-ROUNDDOWN(CQ44,-1))=O44,P44,"")&amp;IF((CQ44-ROUNDDOWN(CQ44,-1))=Q44,R44,"")&amp;IF((CQ44-ROUNDDOWN(CQ44,-1))=S44,T44,""),""))))</f>
        <v/>
      </c>
      <c r="CO44" s="48" t="str">
        <f>IF(CQ44="","",IF(CQ44=C44,D44,"")&amp;IF(CQ44=E44,F44,"")&amp;IF(CQ44=G44,H44,"")&amp;IF(CQ44=I44,J44,"")&amp;IF(CQ44=K44,L44,"")&amp;IF(CQ44=M44,N44,"")&amp;IF(CQ44=O44,P44,"")&amp;IF(CQ44=Q44,R44,"")&amp;IF(CQ44=S44,T44,"")&amp;IF(CQ44=U44,V44,"")&amp;IF(CQ44=W44,X44,"")&amp;IF(CQ44=Y44,Z44,"")&amp;IF(CQ44=AA44,AB44,"")&amp;IF(CQ44=AC44,AD44,"")&amp;IF(CQ44=AE44,AF44,"")&amp;IF(CQ44=AG44,AH44,"")&amp;IF(CQ44=AI44,AJ44,"")&amp;IF(CQ44=AK44,AL44,"")&amp;IF(CQ44=AM44,AN44,""))</f>
        <v/>
      </c>
      <c r="CP44" s="49"/>
      <c r="CQ44" s="48" t="str">
        <f>IF((A44-ROUNDDOWN(A44,0))&gt;0,ROUND((A44-ROUNDDOWN(A44,0))*100,0),"")</f>
        <v/>
      </c>
      <c r="CR44" s="48" t="str">
        <f>IF(CK44="","",CK44)&amp;IF(CL44="","",CL44)&amp;IF(CM44="","",CM44)&amp;IF(CN44="","",CN44)&amp;IF(CO44="","",CO44)</f>
        <v/>
      </c>
      <c r="CS44" s="49" t="s">
        <v>291</v>
      </c>
      <c r="CT44" s="50"/>
      <c r="CU44" s="51" t="str">
        <f>IF(A44="","","(Rupees "&amp;IF(AY44="","",AY44&amp;" crore ")&amp;IF(BH44="","",BH44&amp;" lakh ")&amp;IF(BQ44="","",BQ44&amp;" thousand ")&amp;IF(BZ44="","",BZ44&amp;" hundred ")&amp;IF(CI44="","",CI44)&amp;IF(CR44="",""," and paise "&amp;CR44)&amp;") only.")</f>
        <v>(Rupees one lakh forty eight thousand two hundred seventy ) only.</v>
      </c>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c r="EA44" s="52"/>
      <c r="EB44" s="52"/>
      <c r="EC44" s="52"/>
      <c r="ED44" s="52"/>
      <c r="EE44" s="52"/>
    </row>
    <row r="81" ht="31.2" customHeight="1" x14ac:dyDescent="0.25"/>
    <row r="102" ht="32.4" customHeight="1" x14ac:dyDescent="0.25"/>
  </sheetData>
  <mergeCells count="41">
    <mergeCell ref="A1:N1"/>
    <mergeCell ref="B12:B17"/>
    <mergeCell ref="M22:M25"/>
    <mergeCell ref="A6:A11"/>
    <mergeCell ref="C31:J31"/>
    <mergeCell ref="A18:A21"/>
    <mergeCell ref="A2:N2"/>
    <mergeCell ref="N6:N10"/>
    <mergeCell ref="A22:A26"/>
    <mergeCell ref="C4:J4"/>
    <mergeCell ref="C26:J26"/>
    <mergeCell ref="M18:M20"/>
    <mergeCell ref="N22:N25"/>
    <mergeCell ref="C22:K22"/>
    <mergeCell ref="C12:K12"/>
    <mergeCell ref="M12:M16"/>
    <mergeCell ref="A3:N3"/>
    <mergeCell ref="A12:A17"/>
    <mergeCell ref="N32:N34"/>
    <mergeCell ref="C21:J21"/>
    <mergeCell ref="C11:J11"/>
    <mergeCell ref="C18:K18"/>
    <mergeCell ref="C27:J27"/>
    <mergeCell ref="N12:N16"/>
    <mergeCell ref="B27:B31"/>
    <mergeCell ref="C6:K6"/>
    <mergeCell ref="C17:J17"/>
    <mergeCell ref="N27:N30"/>
    <mergeCell ref="B6:B11"/>
    <mergeCell ref="M6:M10"/>
    <mergeCell ref="A32:A35"/>
    <mergeCell ref="M32:M34"/>
    <mergeCell ref="A37:M37"/>
    <mergeCell ref="N18:N20"/>
    <mergeCell ref="A27:A31"/>
    <mergeCell ref="C38:M38"/>
    <mergeCell ref="C32:J32"/>
    <mergeCell ref="B32:B35"/>
    <mergeCell ref="A36:M36"/>
    <mergeCell ref="M27:M30"/>
    <mergeCell ref="C35:J35"/>
  </mergeCells>
  <pageMargins left="0.43307086614173229" right="0.31496062992125978" top="0.31496062992125978" bottom="0.31496062992125978" header="0.31496062992125978" footer="0.31496062992125978"/>
  <pageSetup paperSize="9" orientation="portrait" horizontalDpi="4294967294"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E22"/>
  <sheetViews>
    <sheetView topLeftCell="A7" workbookViewId="0">
      <selection activeCell="C10" sqref="C10"/>
    </sheetView>
  </sheetViews>
  <sheetFormatPr defaultRowHeight="13.2" x14ac:dyDescent="0.25"/>
  <cols>
    <col min="1" max="1" width="6.88671875" style="4" customWidth="1"/>
    <col min="2" max="2" width="44.88671875" style="4" customWidth="1"/>
    <col min="4" max="4" width="8.44140625" style="4" customWidth="1"/>
    <col min="5" max="5" width="16.33203125" style="436" customWidth="1"/>
    <col min="6" max="6" width="18.5546875" style="4" customWidth="1"/>
  </cols>
  <sheetData>
    <row r="1" spans="1:14" s="107" customFormat="1" ht="37.200000000000003" customHeight="1" x14ac:dyDescent="0.25">
      <c r="A1" s="535" t="str">
        <f t="array" ref="A1">'Rennovation BOQ'!A1:A1</f>
        <v xml:space="preserve"> Name of Work :-   Repairing and Renovation of  Circuit House at Bokakhat Co District under Golaghat District</v>
      </c>
      <c r="B1" s="516"/>
      <c r="C1" s="516"/>
      <c r="D1" s="516"/>
      <c r="E1" s="516"/>
      <c r="F1" s="517"/>
    </row>
    <row r="2" spans="1:14" s="304" customFormat="1" ht="12.75" customHeight="1" x14ac:dyDescent="0.25">
      <c r="A2" s="570" t="s">
        <v>311</v>
      </c>
      <c r="B2" s="516"/>
      <c r="C2" s="516"/>
      <c r="D2" s="516"/>
      <c r="E2" s="516"/>
      <c r="F2" s="517"/>
    </row>
    <row r="3" spans="1:14" s="304" customFormat="1" ht="0.75" hidden="1" customHeight="1" x14ac:dyDescent="0.25">
      <c r="A3" s="574"/>
      <c r="B3" s="575"/>
      <c r="C3" s="575"/>
      <c r="D3" s="575"/>
      <c r="E3" s="575"/>
      <c r="F3" s="575"/>
    </row>
    <row r="4" spans="1:14" s="304" customFormat="1" ht="26.25" customHeight="1" x14ac:dyDescent="0.25">
      <c r="A4" s="305" t="s">
        <v>312</v>
      </c>
      <c r="B4" s="306" t="s">
        <v>313</v>
      </c>
      <c r="C4" s="306" t="s">
        <v>6</v>
      </c>
      <c r="D4" s="306" t="s">
        <v>296</v>
      </c>
      <c r="E4" s="684" t="s">
        <v>314</v>
      </c>
      <c r="F4" s="306" t="s">
        <v>315</v>
      </c>
    </row>
    <row r="5" spans="1:14" s="304" customFormat="1" ht="186" customHeight="1" x14ac:dyDescent="0.3">
      <c r="A5" s="307" t="s">
        <v>316</v>
      </c>
      <c r="B5" s="309" t="s">
        <v>317</v>
      </c>
      <c r="C5" s="325">
        <v>15</v>
      </c>
      <c r="D5" s="308" t="s">
        <v>157</v>
      </c>
      <c r="E5" s="685">
        <f>'Furniture analysis'!H18</f>
        <v>9359.3700000000008</v>
      </c>
      <c r="F5" s="237">
        <f>C5*E5</f>
        <v>140390.54999999999</v>
      </c>
    </row>
    <row r="6" spans="1:14" ht="172.8" customHeight="1" x14ac:dyDescent="0.3">
      <c r="A6" s="307" t="s">
        <v>318</v>
      </c>
      <c r="B6" s="324" t="s">
        <v>319</v>
      </c>
      <c r="C6" s="325">
        <v>15</v>
      </c>
      <c r="D6" s="308" t="s">
        <v>157</v>
      </c>
      <c r="E6" s="685">
        <f>'Furniture analysis'!H36</f>
        <v>6638.04</v>
      </c>
      <c r="F6" s="237">
        <f>C6*E6</f>
        <v>99570.6</v>
      </c>
    </row>
    <row r="7" spans="1:14" ht="158.4" customHeight="1" x14ac:dyDescent="0.3">
      <c r="A7" s="310" t="s">
        <v>320</v>
      </c>
      <c r="B7" s="326" t="s">
        <v>321</v>
      </c>
      <c r="C7" s="327">
        <v>2</v>
      </c>
      <c r="D7" s="308" t="s">
        <v>157</v>
      </c>
      <c r="E7" s="685">
        <f>'Furniture analysis'!H54</f>
        <v>70278.179999999993</v>
      </c>
      <c r="F7" s="237">
        <f>C7*E7</f>
        <v>140556.35999999999</v>
      </c>
    </row>
    <row r="8" spans="1:14" ht="26.4" x14ac:dyDescent="0.3">
      <c r="A8" s="310" t="s">
        <v>672</v>
      </c>
      <c r="B8" s="326" t="s">
        <v>665</v>
      </c>
      <c r="C8" s="327">
        <f>2*C5</f>
        <v>30</v>
      </c>
      <c r="D8" s="308" t="s">
        <v>157</v>
      </c>
      <c r="E8" s="685">
        <f>'Furniture analysis'!H69</f>
        <v>621.99</v>
      </c>
      <c r="F8" s="237">
        <f>C8*E8</f>
        <v>18659.7</v>
      </c>
    </row>
    <row r="9" spans="1:14" ht="15.6" x14ac:dyDescent="0.3">
      <c r="A9" s="310" t="s">
        <v>673</v>
      </c>
      <c r="B9" s="326" t="s">
        <v>667</v>
      </c>
      <c r="C9" s="327">
        <f>2*C6</f>
        <v>30</v>
      </c>
      <c r="D9" s="308" t="s">
        <v>157</v>
      </c>
      <c r="E9" s="685">
        <f>'Furniture analysis'!H87</f>
        <v>604.21</v>
      </c>
      <c r="F9" s="237">
        <f>C9*E9</f>
        <v>18126.3</v>
      </c>
    </row>
    <row r="10" spans="1:14" ht="26.4" x14ac:dyDescent="0.3">
      <c r="A10" s="310" t="s">
        <v>674</v>
      </c>
      <c r="B10" s="326" t="s">
        <v>669</v>
      </c>
      <c r="C10" s="327">
        <f>C9</f>
        <v>30</v>
      </c>
      <c r="D10" s="308" t="s">
        <v>157</v>
      </c>
      <c r="E10" s="685">
        <f>'Furniture analysis'!H105</f>
        <v>264.2</v>
      </c>
      <c r="F10" s="237">
        <f>C10*E10</f>
        <v>7926</v>
      </c>
    </row>
    <row r="11" spans="1:14" ht="26.4" x14ac:dyDescent="0.3">
      <c r="A11" s="310" t="s">
        <v>675</v>
      </c>
      <c r="B11" s="326" t="s">
        <v>671</v>
      </c>
      <c r="C11" s="327">
        <v>10</v>
      </c>
      <c r="D11" s="308" t="s">
        <v>157</v>
      </c>
      <c r="E11" s="685">
        <f>'Furniture analysis'!H125</f>
        <v>354.21</v>
      </c>
      <c r="F11" s="237">
        <f>C11*E11</f>
        <v>3542.1</v>
      </c>
    </row>
    <row r="12" spans="1:14" ht="13.8" customHeight="1" x14ac:dyDescent="0.25">
      <c r="A12" s="573" t="s">
        <v>303</v>
      </c>
      <c r="B12" s="516"/>
      <c r="C12" s="516"/>
      <c r="D12" s="516"/>
      <c r="E12" s="517"/>
      <c r="F12" s="341">
        <f>ROUND(SUM(F5:F11),0)</f>
        <v>428772</v>
      </c>
    </row>
    <row r="13" spans="1:14" s="54" customFormat="1" ht="15.6" customHeight="1" x14ac:dyDescent="0.25">
      <c r="A13" s="541" t="s">
        <v>304</v>
      </c>
      <c r="B13" s="516"/>
      <c r="C13" s="516"/>
      <c r="D13" s="516"/>
      <c r="E13" s="517"/>
      <c r="F13" s="40">
        <f>F12</f>
        <v>428772</v>
      </c>
      <c r="G13" s="375"/>
      <c r="H13" s="375"/>
      <c r="I13" s="375"/>
      <c r="J13" s="375"/>
      <c r="K13" s="375"/>
      <c r="L13" s="375"/>
    </row>
    <row r="14" spans="1:14" s="54" customFormat="1" ht="18.600000000000001" customHeight="1" x14ac:dyDescent="0.3">
      <c r="A14" s="339"/>
      <c r="B14" s="576" t="str">
        <f>CU20</f>
        <v>(Rupees four lakh twenty eight thousand seven hundred seventy two) only.</v>
      </c>
      <c r="C14" s="577"/>
      <c r="D14" s="577"/>
      <c r="E14" s="577"/>
      <c r="F14" s="342"/>
      <c r="G14" s="342"/>
      <c r="H14" s="342"/>
      <c r="I14" s="342"/>
      <c r="J14" s="342"/>
      <c r="K14" s="342"/>
      <c r="L14" s="342"/>
      <c r="M14" s="342"/>
      <c r="N14" s="68"/>
    </row>
    <row r="15" spans="1:14" s="54" customFormat="1" ht="7.2" customHeight="1" x14ac:dyDescent="0.3">
      <c r="A15" s="339"/>
      <c r="B15" s="340"/>
      <c r="E15" s="686"/>
      <c r="J15" s="291"/>
      <c r="K15" s="69"/>
      <c r="L15" s="66"/>
      <c r="M15" s="70"/>
      <c r="N15" s="68"/>
    </row>
    <row r="16" spans="1:14" s="54" customFormat="1" ht="13.8" customHeight="1" x14ac:dyDescent="0.3">
      <c r="A16" s="339"/>
      <c r="B16" s="340"/>
      <c r="E16" s="686"/>
      <c r="J16" s="291"/>
      <c r="K16" s="69"/>
      <c r="L16" s="66"/>
      <c r="M16" s="70"/>
      <c r="N16" s="68"/>
    </row>
    <row r="17" spans="1:135" s="54" customFormat="1" ht="13.8" customHeight="1" x14ac:dyDescent="0.3">
      <c r="A17" s="339"/>
      <c r="B17" s="340"/>
      <c r="E17" s="686"/>
      <c r="J17" s="291"/>
      <c r="K17" s="69"/>
      <c r="L17" s="66"/>
      <c r="M17" s="70"/>
      <c r="N17" s="68"/>
    </row>
    <row r="18" spans="1:135" s="54" customFormat="1" ht="13.8" customHeight="1" x14ac:dyDescent="0.3">
      <c r="A18" s="339"/>
      <c r="B18" s="340"/>
      <c r="E18" s="686"/>
      <c r="J18" s="291"/>
      <c r="K18" s="69"/>
      <c r="L18" s="66"/>
      <c r="M18" s="70"/>
      <c r="N18" s="68"/>
    </row>
    <row r="19" spans="1:135" s="54" customFormat="1" ht="14.4" customHeight="1" thickBot="1" x14ac:dyDescent="0.35">
      <c r="A19" s="339"/>
      <c r="B19" s="340"/>
      <c r="E19" s="686"/>
      <c r="J19" s="291"/>
      <c r="K19" s="69"/>
      <c r="L19" s="66"/>
      <c r="M19" s="70"/>
      <c r="N19" s="68"/>
    </row>
    <row r="20" spans="1:135" s="53" customFormat="1" ht="12.75" customHeight="1" thickBot="1" x14ac:dyDescent="0.35">
      <c r="A20" s="42">
        <f>F13</f>
        <v>428772</v>
      </c>
      <c r="B20" s="43" t="s">
        <v>263</v>
      </c>
      <c r="C20" s="44">
        <v>1</v>
      </c>
      <c r="D20" s="45" t="s">
        <v>264</v>
      </c>
      <c r="E20" s="687">
        <v>2</v>
      </c>
      <c r="F20" s="45" t="s">
        <v>265</v>
      </c>
      <c r="G20" s="44">
        <v>3</v>
      </c>
      <c r="H20" s="45" t="s">
        <v>266</v>
      </c>
      <c r="I20" s="44">
        <v>4</v>
      </c>
      <c r="J20" s="217" t="s">
        <v>267</v>
      </c>
      <c r="K20" s="44">
        <v>5</v>
      </c>
      <c r="L20" s="45" t="s">
        <v>268</v>
      </c>
      <c r="M20" s="44">
        <v>6</v>
      </c>
      <c r="N20" s="217" t="s">
        <v>269</v>
      </c>
      <c r="O20" s="44">
        <v>7</v>
      </c>
      <c r="P20" s="45" t="s">
        <v>270</v>
      </c>
      <c r="Q20" s="44">
        <v>8</v>
      </c>
      <c r="R20" s="45" t="s">
        <v>271</v>
      </c>
      <c r="S20" s="44">
        <v>9</v>
      </c>
      <c r="T20" s="45" t="s">
        <v>272</v>
      </c>
      <c r="U20" s="44">
        <v>10</v>
      </c>
      <c r="V20" s="45" t="s">
        <v>273</v>
      </c>
      <c r="W20" s="44">
        <v>11</v>
      </c>
      <c r="X20" s="45" t="s">
        <v>274</v>
      </c>
      <c r="Y20" s="44">
        <v>12</v>
      </c>
      <c r="Z20" s="45" t="s">
        <v>275</v>
      </c>
      <c r="AA20" s="44">
        <v>13</v>
      </c>
      <c r="AB20" s="45" t="s">
        <v>276</v>
      </c>
      <c r="AC20" s="44">
        <v>14</v>
      </c>
      <c r="AD20" s="45" t="s">
        <v>277</v>
      </c>
      <c r="AE20" s="44">
        <v>15</v>
      </c>
      <c r="AF20" s="45" t="s">
        <v>278</v>
      </c>
      <c r="AG20" s="44">
        <v>16</v>
      </c>
      <c r="AH20" s="45" t="s">
        <v>279</v>
      </c>
      <c r="AI20" s="44">
        <v>17</v>
      </c>
      <c r="AJ20" s="45" t="s">
        <v>280</v>
      </c>
      <c r="AK20" s="44">
        <v>18</v>
      </c>
      <c r="AL20" s="45" t="s">
        <v>281</v>
      </c>
      <c r="AM20" s="44">
        <v>19</v>
      </c>
      <c r="AN20" s="45" t="s">
        <v>282</v>
      </c>
      <c r="AO20" s="46" t="s">
        <v>283</v>
      </c>
      <c r="AP20" s="47" t="s">
        <v>284</v>
      </c>
      <c r="AQ20" s="48" t="s">
        <v>285</v>
      </c>
      <c r="AR20" s="48" t="str">
        <f>IF(AX20="","",IF(AX20&gt;=90,"ninety "&amp;IF((AX20-ROUNDDOWN(AX20,-1))=C20,D20,"")&amp;IF((AX20-ROUNDDOWN(AX20,-1))=E20,F20,"")&amp;IF((AX20-ROUNDDOWN(AX20,-1))=G20,H20,"")&amp;IF((AX20-ROUNDDOWN(AX20,-1))=I20,J20,"")&amp;IF((AX20-ROUNDDOWN(AX20,-1))=K20,L20,"")&amp;IF((AX20-ROUNDDOWN(AX20,-1))=M20,N20,"")&amp;IF((AX20-ROUNDDOWN(AX20,-1))=O20,P20,"")&amp;IF((AX20-ROUNDDOWN(AX20,-1))=Q20,R20,"")&amp;IF((AX20-ROUNDDOWN(AX20,-1))=S20,T20,""),IF(AX20&gt;=80,"eighty "&amp;IF((AX20-ROUNDDOWN(AX20,-1))=1,D20,"")&amp;IF((AX20-ROUNDDOWN(AX20,-1))=2,F20,"")&amp;IF((AX20-ROUNDDOWN(AX20,-1))=G20,H20,"")&amp;IF((AX20-ROUNDDOWN(AX20,-1))=I20,J20,"")&amp;IF((AX20-ROUNDDOWN(AX20,-1))=K20,L20,"")&amp;IF((AX20-ROUNDDOWN(AX20,-1))=M20,N20,"")&amp;IF((AX20-ROUNDDOWN(AX20,-1))=O20,P20,"")&amp;IF((AX20-ROUNDDOWN(AX20,-1))=Q20,R20,"")&amp;IF((AX20-ROUNDDOWN(AX20,-1))=S20,T20,""),"")))</f>
        <v/>
      </c>
      <c r="AS20" s="48" t="str">
        <f>IF(AX20="","",IF(AX20&gt;79,"",IF(AX20&gt;=70,"seventy "&amp;IF((AX20-ROUNDDOWN(AX20,-1))=C20,D20,"")&amp;IF((AX20-ROUNDDOWN(AX20,-1))=E20,F20,"")&amp;IF((AX20-ROUNDDOWN(AX20,-1))=G20,H20,"")&amp;IF((AX20-ROUNDDOWN(AX20,-1))=I20,J20,"")&amp;IF((AX20-ROUNDDOWN(AX20,-1))=K20,L20,"")&amp;IF((AX20-ROUNDDOWN(AX20,-1))=M20,N20,"")&amp;IF((AX20-ROUNDDOWN(AX20,-1))=O20,P20,"")&amp;IF((AX20-ROUNDDOWN(AX20,-1))=Q20,R20,"")&amp;IF((AX20-ROUNDDOWN(AX20,-1))=S20,T20,""),IF(AX20&gt;=60,"sixty "&amp;IF((AX20-ROUNDDOWN(AX20,-1))=1,D20,"")&amp;IF((AX20-ROUNDDOWN(AX20,-1))=2,F20,"")&amp;IF((AX20-ROUNDDOWN(AX20,-1))=G20,H20,"")&amp;IF((AX20-ROUNDDOWN(AX20,-1))=I20,J20,"")&amp;IF((AX20-ROUNDDOWN(AX20,-1))=K20,L20,"")&amp;IF((AX20-ROUNDDOWN(AX20,-1))=M20,N20,"")&amp;IF((AX20-ROUNDDOWN(AX20,-1))=O20,P20,"")&amp;IF((AX20-ROUNDDOWN(AX20,-1))=Q20,R20,"")&amp;IF((AX20-ROUNDDOWN(AX20,-1))=S20,T20,""),""))))</f>
        <v/>
      </c>
      <c r="AT20" s="48" t="str">
        <f>IF(AX20="","",IF(AX20&gt;59,"",IF(AX20&gt;=50,"fifty "&amp;IF((AX20-ROUNDDOWN(AX20,-1))=C20,D20,"")&amp;IF((AX20-ROUNDDOWN(AX20,-1))=E20,F20,"")&amp;IF((AX20-ROUNDDOWN(AX20,-1))=G20,H20,"")&amp;IF((AX20-ROUNDDOWN(AX20,-1))=I20,J20,"")&amp;IF((AX20-ROUNDDOWN(AX20,-1))=K20,L20,"")&amp;IF((AX20-ROUNDDOWN(AX20,-1))=M20,N20,"")&amp;IF((AX20-ROUNDDOWN(AX20,-1))=O20,P20,"")&amp;IF((AX20-ROUNDDOWN(AX20,-1))=Q20,R20,"")&amp;IF((AX20-ROUNDDOWN(AX20,-1))=S20,T20,""),IF(AX20&gt;=40,"forty "&amp;IF((AX20-ROUNDDOWN(AX20,-1))=1,D20,"")&amp;IF((AX20-ROUNDDOWN(AX20,-1))=2,F20,"")&amp;IF((AX20-ROUNDDOWN(AX20,-1))=G20,H20,"")&amp;IF((AX20-ROUNDDOWN(AX20,-1))=I20,J20,"")&amp;IF((AX20-ROUNDDOWN(AX20,-1))=K20,L20,"")&amp;IF((AX20-ROUNDDOWN(AX20,-1))=M20,N20,"")&amp;IF((AX20-ROUNDDOWN(AX20,-1))=O20,P20,"")&amp;IF((AX20-ROUNDDOWN(AX20,-1))=Q20,R20,"")&amp;IF((AX20-ROUNDDOWN(AX20,-1))=S20,T20,""),""))))</f>
        <v/>
      </c>
      <c r="AU20" s="48" t="str">
        <f>IF(AX20="","",IF(AX20&gt;39,"",IF(AX20&gt;=30,"thirty "&amp;IF((AX20-ROUNDDOWN(AX20,-1))=C20,D20,"")&amp;IF((AX20-ROUNDDOWN(AX20,-1))=E20,F20,"")&amp;IF((AX20-ROUNDDOWN(AX20,-1))=G20,H20,"")&amp;IF((AX20-ROUNDDOWN(AX20,-1))=I20,J20,"")&amp;IF((AX20-ROUNDDOWN(AX20,-1))=K20,L20,"")&amp;IF((AX20-ROUNDDOWN(AX20,-1))=M20,N20,"")&amp;IF((AX20-ROUNDDOWN(AX20,-1))=O20,P20,"")&amp;IF((AX20-ROUNDDOWN(AX20,-1))=Q20,R20,"")&amp;IF((AX20-ROUNDDOWN(AX20,-1))=S20,T20,""),IF(AX20&gt;=20,"twenty "&amp;IF((AX20-ROUNDDOWN(AX20,-1))=1,D20,"")&amp;IF((AX20-ROUNDDOWN(AX20,-1))=2,F20,"")&amp;IF((AX20-ROUNDDOWN(AX20,-1))=G20,H20,"")&amp;IF((AX20-ROUNDDOWN(AX20,-1))=I20,J20,"")&amp;IF((AX20-ROUNDDOWN(AX20,-1))=K20,L20,"")&amp;IF((AX20-ROUNDDOWN(AX20,-1))=M20,N20,"")&amp;IF((AX20-ROUNDDOWN(AX20,-1))=O20,P20,"")&amp;IF((AX20-ROUNDDOWN(AX20,-1))=Q20,R20,"")&amp;IF((AX20-ROUNDDOWN(AX20,-1))=S20,T20,""),""))))</f>
        <v/>
      </c>
      <c r="AV20" s="48" t="str">
        <f>IF(AX20="","",IF(AX20=C20,D20,"")&amp;IF(AX20=E20,F20,"")&amp;IF(AX20=G20,H20,"")&amp;IF(AX20=I20,J20,"")&amp;IF(AX20=K20,L20,"")&amp;IF(AX20=M20,N20,"")&amp;IF(AX20=O20,P20,"")&amp;IF(AX20=Q20,R20,"")&amp;IF(AX20=S20,T20,"")&amp;IF(AX20=U20,V20,"")&amp;IF(AX20=W20,X20,"")&amp;IF(AX20=Y20,Z20,"")&amp;IF(AX20=AA20,AB20,"")&amp;IF(AX20=AC20,AD20,"")&amp;IF(AX20=AE20,AF20,"")&amp;IF(AX20=AG20,AH20,"")&amp;IF(AX20=AI20,AJ20,"")&amp;IF(AX20=AK20,AL20,"")&amp;IF(AX20=AM20,AN20,""))</f>
        <v/>
      </c>
      <c r="AW20" s="49"/>
      <c r="AX20" s="48" t="str">
        <f>IF(A20&gt;=10000000,ROUNDDOWN(A20,-7)/10000000,"")</f>
        <v/>
      </c>
      <c r="AY20" s="48" t="str">
        <f>IF(AR20="","",AR20)&amp;IF(AS20="","",AS20)&amp;IF(AT20="","",AT20)&amp;IF(AU20="","",AU20)&amp;IF(AV20="","",AV20)</f>
        <v/>
      </c>
      <c r="AZ20" s="48" t="s">
        <v>286</v>
      </c>
      <c r="BA20" s="48" t="str">
        <f>IF(BG20="","",IF(BG20&gt;=90,"ninety "&amp;IF((BG20-ROUNDDOWN(BG20,-1))=C20,D20,"")&amp;IF((BG20-ROUNDDOWN(BG20,-1))=E20,F20,"")&amp;IF((BG20-ROUNDDOWN(BG20,-1))=G20,H20,"")&amp;IF((BG20-ROUNDDOWN(BG20,-1))=I20,J20,"")&amp;IF((BG20-ROUNDDOWN(BG20,-1))=K20,L20,"")&amp;IF((BG20-ROUNDDOWN(BG20,-1))=M20,N20,"")&amp;IF((BG20-ROUNDDOWN(BG20,-1))=O20,P20,"")&amp;IF((BG20-ROUNDDOWN(BG20,-1))=Q20,R20,"")&amp;IF((BG20-ROUNDDOWN(BG20,-1))=S20,T20,""),IF(BG20&gt;=80,"eighty "&amp;IF((BG20-ROUNDDOWN(BG20,-1))=1,D20,"")&amp;IF((BG20-ROUNDDOWN(BG20,-1))=2,F20,"")&amp;IF((BG20-ROUNDDOWN(BG20,-1))=G20,H20,"")&amp;IF((BG20-ROUNDDOWN(BG20,-1))=I20,J20,"")&amp;IF((BG20-ROUNDDOWN(BG20,-1))=K20,L20,"")&amp;IF((BG20-ROUNDDOWN(BG20,-1))=M20,N20,"")&amp;IF((BG20-ROUNDDOWN(BG20,-1))=O20,P20,"")&amp;IF((BG20-ROUNDDOWN(BG20,-1))=Q20,R20,"")&amp;IF((BG20-ROUNDDOWN(BG20,-1))=S20,T20,""),"")))</f>
        <v/>
      </c>
      <c r="BB20" s="48" t="str">
        <f>IF(BG20="","",IF(BG20&gt;79,"",IF(BG20&gt;=70,"seventy "&amp;IF((BG20-ROUNDDOWN(BG20,-1))=C20,D20,"")&amp;IF((BG20-ROUNDDOWN(BG20,-1))=E20,F20,"")&amp;IF((BG20-ROUNDDOWN(BG20,-1))=G20,H20,"")&amp;IF((BG20-ROUNDDOWN(BG20,-1))=I20,J20,"")&amp;IF((BG20-ROUNDDOWN(BG20,-1))=K20,L20,"")&amp;IF((BG20-ROUNDDOWN(BG20,-1))=M20,N20,"")&amp;IF((BG20-ROUNDDOWN(BG20,-1))=O20,P20,"")&amp;IF((BG20-ROUNDDOWN(BG20,-1))=Q20,R20,"")&amp;IF((BG20-ROUNDDOWN(BG20,-1))=S20,T20,""),IF(BG20&gt;=60,"sixty "&amp;IF((BG20-ROUNDDOWN(BG20,-1))=1,D20,"")&amp;IF((BG20-ROUNDDOWN(BG20,-1))=2,F20,"")&amp;IF((BG20-ROUNDDOWN(BG20,-1))=G20,H20,"")&amp;IF((BG20-ROUNDDOWN(BG20,-1))=I20,J20,"")&amp;IF((BG20-ROUNDDOWN(BG20,-1))=K20,L20,"")&amp;IF((BG20-ROUNDDOWN(BG20,-1))=M20,N20,"")&amp;IF((BG20-ROUNDDOWN(BG20,-1))=O20,P20,"")&amp;IF((BG20-ROUNDDOWN(BG20,-1))=Q20,R20,"")&amp;IF((BG20-ROUNDDOWN(BG20,-1))=S20,T20,""),""))))</f>
        <v/>
      </c>
      <c r="BC20" s="48" t="str">
        <f>IF(BG20="","",IF(BG20&gt;59,"",IF(BG20&gt;=50,"fifty "&amp;IF((BG20-ROUNDDOWN(BG20,-1))=C20,D20,"")&amp;IF((BG20-ROUNDDOWN(BG20,-1))=E20,F20,"")&amp;IF((BG20-ROUNDDOWN(BG20,-1))=G20,H20,"")&amp;IF((BG20-ROUNDDOWN(BG20,-1))=I20,J20,"")&amp;IF((BG20-ROUNDDOWN(BG20,-1))=K20,L20,"")&amp;IF((BG20-ROUNDDOWN(BG20,-1))=M20,N20,"")&amp;IF((BG20-ROUNDDOWN(BG20,-1))=O20,P20,"")&amp;IF((BG20-ROUNDDOWN(BG20,-1))=Q20,R20,"")&amp;IF((BG20-ROUNDDOWN(BG20,-1))=S20,T20,""),IF(BG20&gt;=40,"forty "&amp;IF((BG20-ROUNDDOWN(BG20,-1))=1,D20,"")&amp;IF((BG20-ROUNDDOWN(BG20,-1))=2,F20,"")&amp;IF((BG20-ROUNDDOWN(BG20,-1))=G20,H20,"")&amp;IF((BG20-ROUNDDOWN(BG20,-1))=I20,J20,"")&amp;IF((BG20-ROUNDDOWN(BG20,-1))=K20,L20,"")&amp;IF((BG20-ROUNDDOWN(BG20,-1))=M20,N20,"")&amp;IF((BG20-ROUNDDOWN(BG20,-1))=O20,P20,"")&amp;IF((BG20-ROUNDDOWN(BG20,-1))=Q20,R20,"")&amp;IF((BG20-ROUNDDOWN(BG20,-1))=S20,T20,""),""))))</f>
        <v/>
      </c>
      <c r="BD20" s="48" t="str">
        <f>IF(BG20="","",IF(BG20&gt;39,"",IF(BG20&gt;=30,"thirty "&amp;IF((BG20-ROUNDDOWN(BG20,-1))=C20,D20,"")&amp;IF((BG20-ROUNDDOWN(BG20,-1))=E20,F20,"")&amp;IF((BG20-ROUNDDOWN(BG20,-1))=G20,H20,"")&amp;IF((BG20-ROUNDDOWN(BG20,-1))=I20,J20,"")&amp;IF((BG20-ROUNDDOWN(BG20,-1))=K20,L20,"")&amp;IF((BG20-ROUNDDOWN(BG20,-1))=M20,N20,"")&amp;IF((BG20-ROUNDDOWN(BG20,-1))=O20,P20,"")&amp;IF((BG20-ROUNDDOWN(BG20,-1))=Q20,R20,"")&amp;IF((BG20-ROUNDDOWN(BG20,-1))=S20,T20,""),IF(BG20&gt;=20,"twenty "&amp;IF((BG20-ROUNDDOWN(BG20,-1))=1,D20,"")&amp;IF((BG20-ROUNDDOWN(BG20,-1))=2,F20,"")&amp;IF((BG20-ROUNDDOWN(BG20,-1))=G20,H20,"")&amp;IF((BG20-ROUNDDOWN(BG20,-1))=I20,J20,"")&amp;IF((BG20-ROUNDDOWN(BG20,-1))=K20,L20,"")&amp;IF((BG20-ROUNDDOWN(BG20,-1))=M20,N20,"")&amp;IF((BG20-ROUNDDOWN(BG20,-1))=O20,P20,"")&amp;IF((BG20-ROUNDDOWN(BG20,-1))=Q20,R20,"")&amp;IF((BG20-ROUNDDOWN(BG20,-1))=S20,T20,""),""))))</f>
        <v/>
      </c>
      <c r="BE20" s="48" t="str">
        <f>IF(BG20="","",IF(BG20=C20,D20,"")&amp;IF(BG20=E20,F20,"")&amp;IF(BG20=G20,H20,"")&amp;IF(BG20=I20,J20,"")&amp;IF(BG20=K20,L20,"")&amp;IF(BG20=M20,N20,"")&amp;IF(BG20=O20,P20,"")&amp;IF(BG20=Q20,R20,"")&amp;IF(BG20=S20,T20,"")&amp;IF(BG20=U20,V20,"")&amp;IF(BG20=W20,X20,"")&amp;IF(BG20=Y20,Z20,"")&amp;IF(BG20=AA20,AB20,"")&amp;IF(BG20=AC20,AD20,"")&amp;IF(BG20=AE20,AF20,"")&amp;IF(BG20=AG20,AH20,"")&amp;IF(BG20=AI20,AJ20,"")&amp;IF(BG20=AK20,AL20,"")&amp;IF(BG20=AM20,AN20,""))</f>
        <v>four</v>
      </c>
      <c r="BF20" s="48"/>
      <c r="BG20" s="48">
        <f>IF(A20&gt;=100000,ROUNDDOWN((ROUND(A20,-4)-ROUNDDOWN(A20,-7))/100000,0),"")</f>
        <v>4</v>
      </c>
      <c r="BH20" s="48" t="str">
        <f>IF(BA20="","",BA20)&amp;IF(BB20="","",BB20)&amp;IF(BC20="","",BC20)&amp;IF(BD20="","",BD20)&amp;IF(BE20="","",BE20)</f>
        <v>four</v>
      </c>
      <c r="BI20" s="48" t="s">
        <v>287</v>
      </c>
      <c r="BJ20" s="48" t="str">
        <f>IF(BP20="","",IF(BP20&gt;=90,"ninety "&amp;IF((BP20-ROUNDDOWN(BP20,-1))=1,D20,"")&amp;IF((BP20-ROUNDDOWN(BP20,-1))=2,F20,"")&amp;IF((BP20-ROUNDDOWN(BP20,-1))=G20,H20,"")&amp;IF((BP20-ROUNDDOWN(BP20,-1))=I20,J20,"")&amp;IF((BP20-ROUNDDOWN(BP20,-1))=K20,L20,"")&amp;IF((BP20-ROUNDDOWN(BP20,-1))=M20,N20,"")&amp;IF((BP20-ROUNDDOWN(BP20,-1))=O20,P20,"")&amp;IF((BP20-ROUNDDOWN(BP20,-1))=Q20,R20,"")&amp;IF((BP20-ROUNDDOWN(BP20,-1))=S20,T20,""),IF(BP20&gt;=80,"eighty "&amp;IF((BP20-ROUNDDOWN(BP20,-1))=1,D20,"")&amp;IF((BP20-ROUNDDOWN(BP20,-1))=2,F20,"")&amp;IF((BP20-ROUNDDOWN(BP20,-1))=G20,H20,"")&amp;IF((BP20-ROUNDDOWN(BP20,-1))=I20,J20,"")&amp;IF((BP20-ROUNDDOWN(BP20,-1))=K20,L20,"")&amp;IF((BP20-ROUNDDOWN(BP20,-1))=M20,N20,"")&amp;IF((BP20-ROUNDDOWN(BP20,-1))=O20,P20,"")&amp;IF((BP20-ROUNDDOWN(BP20,-1))=Q20,R20,"")&amp;IF((BP20-ROUNDDOWN(BP20,-1))=S20,T20,""),"")))</f>
        <v/>
      </c>
      <c r="BK20" s="48" t="str">
        <f>IF(BP20="","",IF(BP20&gt;79,"",IF(BP20&gt;=70,"seventy "&amp;IF((BP20-ROUNDDOWN(BP20,-1))=1,D20,"")&amp;IF((BP20-ROUNDDOWN(BP20,-1))=2,F20,"")&amp;IF((BP20-ROUNDDOWN(BP20,-1))=G20,H20,"")&amp;IF((BP20-ROUNDDOWN(BP20,-1))=I20,J20,"")&amp;IF((BP20-ROUNDDOWN(BP20,-1))=K20,L20,"")&amp;IF((BP20-ROUNDDOWN(BP20,-1))=M20,N20,"")&amp;IF((BP20-ROUNDDOWN(BP20,-1))=O20,P20,"")&amp;IF((BP20-ROUNDDOWN(BP20,-1))=Q20,R20,"")&amp;IF((BP20-ROUNDDOWN(BP20,-1))=S20,T20,""),IF(BP20&gt;=60,"sixty "&amp;IF((BP20-ROUNDDOWN(BP20,-1))=1,D20,"")&amp;IF((BP20-ROUNDDOWN(BP20,-1))=2,F20,"")&amp;IF((BP20-ROUNDDOWN(BP20,-1))=G20,H20,"")&amp;IF((BP20-ROUNDDOWN(BP20,-1))=I20,J20,"")&amp;IF((BP20-ROUNDDOWN(BP20,-1))=K20,L20,"")&amp;IF((BP20-ROUNDDOWN(BP20,-1))=M20,N20,"")&amp;IF((BP20-ROUNDDOWN(BP20,-1))=O20,P20,"")&amp;IF((BP20-ROUNDDOWN(BP20,-1))=Q20,R20,"")&amp;IF((BP20-ROUNDDOWN(BP20,-1))=S20,T20,""),""))))</f>
        <v/>
      </c>
      <c r="BL20" s="48" t="str">
        <f>IF(BP20="","",IF(BP20&gt;59,"",IF(BP20&gt;=50,"fifty "&amp;IF((BP20-ROUNDDOWN(BP20,-1))=1,D20,"")&amp;IF((BP20-ROUNDDOWN(BP20,-1))=2,F20,"")&amp;IF((BP20-ROUNDDOWN(BP20,-1))=G20,H20,"")&amp;IF((BP20-ROUNDDOWN(BP20,-1))=I20,J20,"")&amp;IF((BP20-ROUNDDOWN(BP20,-1))=K20,L20,"")&amp;IF((BP20-ROUNDDOWN(BP20,-1))=M20,N20,"")&amp;IF((BP20-ROUNDDOWN(BP20,-1))=O20,P20,"")&amp;IF((BP20-ROUNDDOWN(BP20,-1))=Q20,R20,"")&amp;IF((BP20-ROUNDDOWN(BP20,-1))=S20,T20,""),IF(BP20&gt;=40,"forty "&amp;IF((BP20-ROUNDDOWN(BP20,-1))=1,D20,"")&amp;IF((BP20-ROUNDDOWN(BP20,-1))=2,F20,"")&amp;IF((BP20-ROUNDDOWN(BP20,-1))=G20,H20,"")&amp;IF((BP20-ROUNDDOWN(BP20,-1))=I20,J20,"")&amp;IF((BP20-ROUNDDOWN(BP20,-1))=K20,L20,"")&amp;IF((BP20-ROUNDDOWN(BP20,-1))=M20,N20,"")&amp;IF((BP20-ROUNDDOWN(BP20,-1))=O20,P20,"")&amp;IF((BP20-ROUNDDOWN(BP20,-1))=Q20,R20,"")&amp;IF((BP20-ROUNDDOWN(BP20,-1))=S20,T20,""),""))))</f>
        <v/>
      </c>
      <c r="BM20" s="48" t="str">
        <f>IF(BP20="","",IF(BP20&gt;39,"",IF(BP20&gt;=30,"thirty "&amp;IF((BP20-ROUNDDOWN(BP20,-1))=1,D20,"")&amp;IF((BP20-ROUNDDOWN(BP20,-1))=2,F20,"")&amp;IF((BP20-ROUNDDOWN(BP20,-1))=G20,H20,"")&amp;IF((BP20-ROUNDDOWN(BP20,-1))=I20,J20,"")&amp;IF((BP20-ROUNDDOWN(BP20,-1))=K20,L20,"")&amp;IF((BP20-ROUNDDOWN(BP20,-1))=M20,N20,"")&amp;IF((BP20-ROUNDDOWN(BP20,-1))=O20,P20,"")&amp;IF((BP20-ROUNDDOWN(BP20,-1))=Q20,R20,"")&amp;IF((BP20-ROUNDDOWN(BP20,-1))=S20,T20,""),IF(BP20&gt;=20,"twenty "&amp;IF((BP20-ROUNDDOWN(BP20,-1))=1,D20,"")&amp;IF((BP20-ROUNDDOWN(BP20,-1))=2,F20,"")&amp;IF((BP20-ROUNDDOWN(BP20,-1))=G20,H20,"")&amp;IF((BP20-ROUNDDOWN(BP20,-1))=I20,J20,"")&amp;IF((BP20-ROUNDDOWN(BP20,-1))=K20,L20,"")&amp;IF((BP20-ROUNDDOWN(BP20,-1))=M20,N20,"")&amp;IF((BP20-ROUNDDOWN(BP20,-1))=O20,P20,"")&amp;IF((BP20-ROUNDDOWN(BP20,-1))=Q20,R20,"")&amp;IF((BP20-ROUNDDOWN(BP20,-1))=S20,T20,""),""))))</f>
        <v>twenty eight</v>
      </c>
      <c r="BN20" s="48" t="str">
        <f>IF(BP20="","",IF(BP20=C20,D20,"")&amp;IF(BP20=E20,F20,"")&amp;IF(BP20=G20,H20,"")&amp;IF(BP20=I20,J20,"")&amp;IF(BP20=K20,L20,"")&amp;IF(BP20=M20,N20,"")&amp;IF(BP20=O20,P20,"")&amp;IF(BP20=Q20,R20,"")&amp;IF(BP20=S20,T20,"")&amp;IF(BP20=U20,V20,"")&amp;IF(BP20=W20,X20,"")&amp;IF(BP20=Y20,Z20,"")&amp;IF(BP20=AA20,AB20,"")&amp;IF(BP20=AC20,AD20,"")&amp;IF(BP20=AE20,AF20,"")&amp;IF(BP20=AG20,AH20,"")&amp;IF(BP20=AI20,AJ20,"")&amp;IF(BP20=AK20,AL20,"")&amp;IF(BP20=AM20,AN20,""))</f>
        <v/>
      </c>
      <c r="BO20" s="48"/>
      <c r="BP20" s="48">
        <f>IF(A20&gt;=1000,ROUNDDOWN((A20-ROUNDDOWN(A20,-5))/1000,0),"")</f>
        <v>28</v>
      </c>
      <c r="BQ20" s="48" t="str">
        <f>IF(BJ20="","",BJ20)&amp;IF(BK20="","",BK20)&amp;IF(BL20="","",BL20)&amp;IF(BM20="","",BM20)&amp;IF(BN20="","",BN20)</f>
        <v>twenty eight</v>
      </c>
      <c r="BR20" s="48" t="s">
        <v>288</v>
      </c>
      <c r="BS20" s="48" t="str">
        <f>IF(BY20="","",IF(BY20&gt;=90,"ninety "&amp;IF((BY20-ROUNDDOWN(BY20,-1))=1,D20,"")&amp;IF((BY20-ROUNDDOWN(BY20,-1))=2,F20,"")&amp;IF((BY20-ROUNDDOWN(BY20,-1))=G20,H20,"")&amp;IF((BY20-ROUNDDOWN(BY20,-1))=I20,J20,"")&amp;IF((BY20-ROUNDDOWN(BY20,-1))=K20,L20,"")&amp;IF((BY20-ROUNDDOWN(BY20,-1))=M20,N20,"")&amp;IF((BY20-ROUNDDOWN(BY20,-1))=O20,P20,"")&amp;IF((BY20-ROUNDDOWN(BY20,-1))=Q20,R20,"")&amp;IF((BY20-ROUNDDOWN(BY20,-1))=S20,T20,""),IF(BY20&gt;=80,"eighty "&amp;IF((BY20-ROUNDDOWN(BY20,-1))=1,D20,"")&amp;IF((BY20-ROUNDDOWN(BY20,-1))=2,F20,"")&amp;IF((BY20-ROUNDDOWN(BY20,-1))=G20,H20,"")&amp;IF((BY20-ROUNDDOWN(BY20,-1))=I20,J20,"")&amp;IF((BY20-ROUNDDOWN(BY20,-1))=K20,L20,"")&amp;IF((BY20-ROUNDDOWN(BY20,-1))=M20,N20,"")&amp;IF((BY20-ROUNDDOWN(BY20,-1))=O20,P20,"")&amp;IF((BY20-ROUNDDOWN(BY20,-1))=Q20,R20,"")&amp;IF((BY20-ROUNDDOWN(BY20,-1))=S20,T20,""),"")))</f>
        <v/>
      </c>
      <c r="BT20" s="48" t="str">
        <f>IF(BY20="","",IF(BY20&gt;79,"",IF(BY20&gt;=70,"seventy "&amp;IF((BY20-ROUNDDOWN(BY20,-1))=1,D20,"")&amp;IF((BY20-ROUNDDOWN(BY20,-1))=2,F20,"")&amp;IF((BY20-ROUNDDOWN(BY20,-1))=G20,H20,"")&amp;IF((BY20-ROUNDDOWN(BY20,-1))=I20,J20,"")&amp;IF((BY20-ROUNDDOWN(BY20,-1))=K20,L20,"")&amp;IF((BY20-ROUNDDOWN(BY20,-1))=M20,N20,"")&amp;IF((BY20-ROUNDDOWN(BY20,-1))=O20,P20,"")&amp;IF((BY20-ROUNDDOWN(BY20,-1))=Q20,R20,"")&amp;IF((BY20-ROUNDDOWN(BY20,-1))=S20,T20,""),IF(BY20&gt;=60,"sixty "&amp;IF((BY20-ROUNDDOWN(BY20,-1))=1,D20,"")&amp;IF((BY20-ROUNDDOWN(BY20,-1))=2,F20,"")&amp;IF((BY20-ROUNDDOWN(BY20,-1))=G20,H20,"")&amp;IF((BY20-ROUNDDOWN(BY20,-1))=I20,J20,"")&amp;IF((BY20-ROUNDDOWN(BY20,-1))=K20,L20,"")&amp;IF((BY20-ROUNDDOWN(BY20,-1))=M20,N20,"")&amp;IF((BY20-ROUNDDOWN(BY20,-1))=O20,P20,"")&amp;IF((BY20-ROUNDDOWN(BY20,-1))=Q20,R20,"")&amp;IF((BY20-ROUNDDOWN(BY20,-1))=S20,T20,""),""))))</f>
        <v/>
      </c>
      <c r="BU20" s="48" t="str">
        <f>IF(BY20="","",IF(BY20&gt;59,"",IF(BY20&gt;=50,"fifty "&amp;IF((BY20-ROUNDDOWN(BY20,-1))=1,D20,"")&amp;IF((BY20-ROUNDDOWN(BY20,-1))=2,F20,"")&amp;IF((BY20-ROUNDDOWN(BY20,-1))=G20,H20,"")&amp;IF((BY20-ROUNDDOWN(BY20,-1))=I20,J20,"")&amp;IF((BY20-ROUNDDOWN(BY20,-1))=K20,L20,"")&amp;IF((BY20-ROUNDDOWN(BY20,-1))=M20,N20,"")&amp;IF((BY20-ROUNDDOWN(BY20,-1))=O20,P20,"")&amp;IF((BY20-ROUNDDOWN(BY20,-1))=Q20,R20,"")&amp;IF((BY20-ROUNDDOWN(BY20,-1))=S20,T20,""),IF(BY20&gt;=40,"forty "&amp;IF((BY20-ROUNDDOWN(BY20,-1))=1,D20,"")&amp;IF((BY20-ROUNDDOWN(BY20,-1))=2,F20,"")&amp;IF((BY20-ROUNDDOWN(BY20,-1))=G20,H20,"")&amp;IF((BY20-ROUNDDOWN(BY20,-1))=I20,J20,"")&amp;IF((BY20-ROUNDDOWN(BY20,-1))=K20,L20,"")&amp;IF((BY20-ROUNDDOWN(BY20,-1))=M20,N20,"")&amp;IF((BY20-ROUNDDOWN(BY20,-1))=O20,P20,"")&amp;IF((BY20-ROUNDDOWN(BY20,-1))=Q20,R20,"")&amp;IF((BY20-ROUNDDOWN(BY20,-1))=S20,T20,""),""))))</f>
        <v/>
      </c>
      <c r="BV20" s="48" t="str">
        <f>IF(BY20="","",IF(BY20&gt;39,"",IF(BY20&gt;=30,"thirty "&amp;IF((BY20-ROUNDDOWN(BY20,-1))=1,D20,"")&amp;IF((BY20-ROUNDDOWN(BY20,-1))=2,F20,"")&amp;IF((BY20-ROUNDDOWN(BY20,-1))=G20,H20,"")&amp;IF((BY20-ROUNDDOWN(BY20,-1))=I20,J20,"")&amp;IF((BY20-ROUNDDOWN(BY20,-1))=K20,L20,"")&amp;IF((BY20-ROUNDDOWN(BY20,-1))=M20,N20,"")&amp;IF((BY20-ROUNDDOWN(BY20,-1))=O20,P20,"")&amp;IF((BY20-ROUNDDOWN(BY20,-1))=Q20,R20,"")&amp;IF((BY20-ROUNDDOWN(BY20,-1))=S20,T20,""),IF(BY20&gt;=20,"twenty "&amp;IF((BY20-ROUNDDOWN(BY20,-1))=1,D20,"")&amp;IF((BY20-ROUNDDOWN(BY20,-1))=2,F20,"")&amp;IF((BY20-ROUNDDOWN(BY20,-1))=G20,H20,"")&amp;IF((BY20-ROUNDDOWN(BY20,-1))=I20,J20,"")&amp;IF((BY20-ROUNDDOWN(BY20,-1))=K20,L20,"")&amp;IF((BY20-ROUNDDOWN(BY20,-1))=M20,N20,"")&amp;IF((BY20-ROUNDDOWN(BY20,-1))=O20,P20,"")&amp;IF((BY20-ROUNDDOWN(BY20,-1))=Q20,R20,"")&amp;IF((BY20-ROUNDDOWN(BY20,-1))=S20,T20,""),""))))</f>
        <v/>
      </c>
      <c r="BW20" s="48" t="str">
        <f>IF(BY20="","",IF(BY20=C20,D20,"")&amp;IF(BY20=E20,F20,"")&amp;IF(BY20=G20,H20,"")&amp;IF(BY20=I20,J20,"")&amp;IF(BY20=K20,L20,"")&amp;IF(BY20=M20,N20,"")&amp;IF(BY20=O20,P20,"")&amp;IF(BY20=Q20,R20,"")&amp;IF(BY20=S20,T20,"")&amp;IF(BY20=U20,V20,"")&amp;IF(BY20=W20,X20,"")&amp;IF(BY20=Y20,Z20,"")&amp;IF(BY20=AA20,AB20,"")&amp;IF(BY20=AC20,AD20,"")&amp;IF(BY20=AE20,AF20,"")&amp;IF(BY20=AG20,AH20,"")&amp;IF(BY20=AI20,AJ20,"")&amp;IF(BY20=AK20,AL20,"")&amp;IF(BY20=AM20,AN20,""))</f>
        <v>seven</v>
      </c>
      <c r="BX20" s="49"/>
      <c r="BY20" s="48">
        <f>IF(A20&gt;=100,ROUNDDOWN((A20-ROUNDDOWN(A20,-3))/100,0),"")</f>
        <v>7</v>
      </c>
      <c r="BZ20" s="48" t="str">
        <f>IF(BS20="","",BS20)&amp;IF(BT20="","",BT20)&amp;IF(BU20="","",BU20)&amp;IF(BV20="","",BV20)&amp;IF(BW20="","",BW20)</f>
        <v>seven</v>
      </c>
      <c r="CA20" s="48" t="s">
        <v>289</v>
      </c>
      <c r="CB20" s="48" t="str">
        <f>IF(CH20="","",IF(CH20&gt;=90,"ninety "&amp;IF((CH20-ROUNDDOWN(CH20,-1))=1,D20,"")&amp;IF((CH20-ROUNDDOWN(CH20,-1))=2,F20,"")&amp;IF((CH20-ROUNDDOWN(CH20,-1))=G20,H20,"")&amp;IF((CH20-ROUNDDOWN(CH20,-1))=I20,J20,"")&amp;IF((CH20-ROUNDDOWN(CH20,-1))=K20,L20,"")&amp;IF((CH20-ROUNDDOWN(CH20,-1))=M20,N20,"")&amp;IF((CH20-ROUNDDOWN(CH20,-1))=O20,P20,"")&amp;IF((CH20-ROUNDDOWN(CH20,-1))=Q20,R20,"")&amp;IF((CH20-ROUNDDOWN(CH20,-1))=S20,T20,""),IF(CH20&gt;=80,"eighty "&amp;IF((CH20-ROUNDDOWN(CH20,-1))=1,D20,"")&amp;IF((CH20-ROUNDDOWN(CH20,-1))=2,F20,"")&amp;IF((CH20-ROUNDDOWN(CH20,-1))=G20,H20,"")&amp;IF((CH20-ROUNDDOWN(CH20,-1))=I20,J20,"")&amp;IF((CH20-ROUNDDOWN(CH20,-1))=K20,L20,"")&amp;IF((CH20-ROUNDDOWN(CH20,-1))=M20,N20,"")&amp;IF((CH20-ROUNDDOWN(CH20,-1))=O20,P20,"")&amp;IF((CH20-ROUNDDOWN(CH20,-1))=Q20,R20,"")&amp;IF((CH20-ROUNDDOWN(CH20,-1))=S20,T20,""),"")))</f>
        <v/>
      </c>
      <c r="CC20" s="48" t="str">
        <f>IF(CH20="","",IF(CH20&gt;79,"",IF(CH20&gt;=70,"seventy "&amp;IF((CH20-ROUNDDOWN(CH20,-1))=1,D20,"")&amp;IF((CH20-ROUNDDOWN(CH20,-1))=2,F20,"")&amp;IF((CH20-ROUNDDOWN(CH20,-1))=G20,H20,"")&amp;IF((CH20-ROUNDDOWN(CH20,-1))=I20,J20,"")&amp;IF((CH20-ROUNDDOWN(CH20,-1))=K20,L20,"")&amp;IF((CH20-ROUNDDOWN(CH20,-1))=M20,N20,"")&amp;IF((CH20-ROUNDDOWN(CH20,-1))=O20,P20,"")&amp;IF((CH20-ROUNDDOWN(CH20,-1))=Q20,R20,"")&amp;IF((CH20-ROUNDDOWN(CH20,-1))=S20,T20,""),IF(CH20&gt;=60,"sixty "&amp;IF((CH20-ROUNDDOWN(CH20,-1))=1,D20,"")&amp;IF((CH20-ROUNDDOWN(CH20,-1))=2,F20,"")&amp;IF((CH20-ROUNDDOWN(CH20,-1))=G20,H20,"")&amp;IF((CH20-ROUNDDOWN(CH20,-1))=I20,J20,"")&amp;IF((CH20-ROUNDDOWN(CH20,-1))=K20,L20,"")&amp;IF((CH20-ROUNDDOWN(CH20,-1))=M20,N20,"")&amp;IF((CH20-ROUNDDOWN(CH20,-1))=O20,P20,"")&amp;IF((CH20-ROUNDDOWN(CH20,-1))=Q20,R20,"")&amp;IF((CH20-ROUNDDOWN(CH20,-1))=S20,T20,""),""))))</f>
        <v>seventy two</v>
      </c>
      <c r="CD20" s="48" t="str">
        <f>IF(CH20="","",IF(CH20&gt;59,"",IF(CH20&gt;=50,"fifty "&amp;IF((CH20-ROUNDDOWN(CH20,-1))=1,D20,"")&amp;IF((CH20-ROUNDDOWN(CH20,-1))=2,F20,"")&amp;IF((CH20-ROUNDDOWN(CH20,-1))=G20,H20,"")&amp;IF((CH20-ROUNDDOWN(CH20,-1))=I20,J20,"")&amp;IF((CH20-ROUNDDOWN(CH20,-1))=K20,L20,"")&amp;IF((CH20-ROUNDDOWN(CH20,-1))=M20,N20,"")&amp;IF((CH20-ROUNDDOWN(CH20,-1))=O20,P20,"")&amp;IF((CH20-ROUNDDOWN(CH20,-1))=Q20,R20,"")&amp;IF((CH20-ROUNDDOWN(CH20,-1))=S20,T20,""),IF(CH20&gt;=40,"forty "&amp;IF((CH20-ROUNDDOWN(CH20,-1))=1,D20,"")&amp;IF((CH20-ROUNDDOWN(CH20,-1))=2,F20,"")&amp;IF((CH20-ROUNDDOWN(CH20,-1))=G20,H20,"")&amp;IF((CH20-ROUNDDOWN(CH20,-1))=I20,J20,"")&amp;IF((CH20-ROUNDDOWN(CH20,-1))=K20,L20,"")&amp;IF((CH20-ROUNDDOWN(CH20,-1))=M20,N20,"")&amp;IF((CH20-ROUNDDOWN(CH20,-1))=O20,P20,"")&amp;IF((CH20-ROUNDDOWN(CH20,-1))=Q20,R20,"")&amp;IF((CH20-ROUNDDOWN(CH20,-1))=S20,T20,""),""))))</f>
        <v/>
      </c>
      <c r="CE20" s="48" t="str">
        <f>IF(CH20="","",IF(CH20&gt;39,"",IF(CH20&gt;=30,"thirty "&amp;IF((CH20-ROUNDDOWN(CH20,-1))=1,D20,"")&amp;IF((CH20-ROUNDDOWN(CH20,-1))=2,F20,"")&amp;IF((CH20-ROUNDDOWN(CH20,-1))=G20,H20,"")&amp;IF((CH20-ROUNDDOWN(CH20,-1))=I20,J20,"")&amp;IF((CH20-ROUNDDOWN(CH20,-1))=K20,L20,"")&amp;IF((CH20-ROUNDDOWN(CH20,-1))=M20,N20,"")&amp;IF((CH20-ROUNDDOWN(CH20,-1))=O20,P20,"")&amp;IF((CH20-ROUNDDOWN(CH20,-1))=Q20,R20,"")&amp;IF((CH20-ROUNDDOWN(CH20,-1))=S20,T20,""),IF(CH20&gt;=20,"twenty "&amp;IF((CH20-ROUNDDOWN(CH20,-1))=1,D20,"")&amp;IF((CH20-ROUNDDOWN(CH20,-1))=2,F20,"")&amp;IF((CH20-ROUNDDOWN(CH20,-1))=G20,H20,"")&amp;IF((CH20-ROUNDDOWN(CH20,-1))=I20,J20,"")&amp;IF((CH20-ROUNDDOWN(CH20,-1))=K20,L20,"")&amp;IF((CH20-ROUNDDOWN(CH20,-1))=M20,N20,"")&amp;IF((CH20-ROUNDDOWN(CH20,-1))=O20,P20,"")&amp;IF((CH20-ROUNDDOWN(CH20,-1))=Q20,R20,"")&amp;IF((CH20-ROUNDDOWN(CH20,-1))=S20,T20,""),""))))</f>
        <v/>
      </c>
      <c r="CF20" s="48" t="str">
        <f>IF(CH20="","",IF(CH20=C20,D20,"")&amp;IF(CH20=E20,F20,"")&amp;IF(CH20=G20,H20,"")&amp;IF(CH20=I20,J20,"")&amp;IF(CH20=K20,L20,"")&amp;IF(CH20=M20,N20,"")&amp;IF(CH20=O20,P20,"")&amp;IF(CH20=Q20,R20,"")&amp;IF(CH20=S20,T20,"")&amp;IF(CH20=U20,V20,"")&amp;IF(CH20=W20,X20,"")&amp;IF(CH20=Y20,Z20,"")&amp;IF(CH20=AA20,AB20,"")&amp;IF(CH20=AC20,AD20,"")&amp;IF(CH20=AE20,AF20,"")&amp;IF(CH20=AG20,AH20,"")&amp;IF(CH20=AI20,AJ20,"")&amp;IF(CH20=AK20,AL20,"")&amp;IF(CH20=AM20,AN20,""))</f>
        <v/>
      </c>
      <c r="CG20" s="49"/>
      <c r="CH20" s="48">
        <f>IF(A20&gt;=1,ROUNDDOWN(A20-ROUNDDOWN(A20,-2),0),"")</f>
        <v>72</v>
      </c>
      <c r="CI20" s="48" t="str">
        <f>IF(CB20="","",CB20)&amp;IF(CC20="","",CC20)&amp;IF(CD20="","",CD20)&amp;IF(CE20="","",CE20)&amp;IF(CF20="","",CF20)</f>
        <v>seventy two</v>
      </c>
      <c r="CJ20" s="48" t="s">
        <v>290</v>
      </c>
      <c r="CK20" s="48" t="str">
        <f>IF(CQ20="","",IF(CQ20&gt;=90,"ninety "&amp;IF((CQ20-ROUNDDOWN(CQ20,-1))=1,D20,"")&amp;IF((CQ20-ROUNDDOWN(CQ20,-1))=2,F20,"")&amp;IF((CQ20-ROUNDDOWN(CQ20,-1))=G20,H20,"")&amp;IF((CQ20-ROUNDDOWN(CQ20,-1))=I20,J20,"")&amp;IF((CQ20-ROUNDDOWN(CQ20,-1))=K20,L20,"")&amp;IF((CQ20-ROUNDDOWN(CQ20,-1))=M20,N20,"")&amp;IF((CQ20-ROUNDDOWN(CQ20,-1))=O20,P20,"")&amp;IF((CQ20-ROUNDDOWN(CQ20,-1))=Q20,R20,"")&amp;IF((CQ20-ROUNDDOWN(CQ20,-1))=S20,T20,""),IF(CQ20&gt;=80,"eighty "&amp;IF((CQ20-ROUNDDOWN(CQ20,-1))=1,D20,"")&amp;IF((CQ20-ROUNDDOWN(CQ20,-1))=2,F20,"")&amp;IF((CQ20-ROUNDDOWN(CQ20,-1))=G20,H20,"")&amp;IF((CQ20-ROUNDDOWN(CQ20,-1))=I20,J20,"")&amp;IF((CQ20-ROUNDDOWN(CQ20,-1))=K20,L20,"")&amp;IF((CQ20-ROUNDDOWN(CQ20,-1))=M20,N20,"")&amp;IF((CQ20-ROUNDDOWN(CQ20,-1))=O20,P20,"")&amp;IF((CQ20-ROUNDDOWN(CQ20,-1))=Q20,R20,"")&amp;IF((CQ20-ROUNDDOWN(CQ20,-1))=S20,T20,""),"")))</f>
        <v/>
      </c>
      <c r="CL20" s="48" t="str">
        <f>IF(CQ20="","",IF(CQ20&gt;79,"",IF(CQ20&gt;=70,"seventy "&amp;IF((CQ20-ROUNDDOWN(CQ20,-1))=1,D20,"")&amp;IF((CQ20-ROUNDDOWN(CQ20,-1))=2,F20,"")&amp;IF((CQ20-ROUNDDOWN(CQ20,-1))=G20,H20,"")&amp;IF((CQ20-ROUNDDOWN(CQ20,-1))=I20,J20,"")&amp;IF((CQ20-ROUNDDOWN(CQ20,-1))=K20,L20,"")&amp;IF((CQ20-ROUNDDOWN(CQ20,-1))=M20,N20,"")&amp;IF((CQ20-ROUNDDOWN(CQ20,-1))=O20,P20,"")&amp;IF((CQ20-ROUNDDOWN(CQ20,-1))=Q20,R20,"")&amp;IF((CQ20-ROUNDDOWN(CQ20,-1))=S20,T20,""),IF(CQ20&gt;=60,"sixty "&amp;IF((CQ20-ROUNDDOWN(CQ20,-1))=1,D20,"")&amp;IF((CQ20-ROUNDDOWN(CQ20,-1))=2,F20,"")&amp;IF((CQ20-ROUNDDOWN(CQ20,-1))=G20,H20,"")&amp;IF((CQ20-ROUNDDOWN(CQ20,-1))=I20,J20,"")&amp;IF((CQ20-ROUNDDOWN(CQ20,-1))=K20,L20,"")&amp;IF((CQ20-ROUNDDOWN(CQ20,-1))=M20,N20,"")&amp;IF((CQ20-ROUNDDOWN(CQ20,-1))=O20,P20,"")&amp;IF((CQ20-ROUNDDOWN(CQ20,-1))=Q20,R20,"")&amp;IF((CQ20-ROUNDDOWN(CQ20,-1))=S20,T20,""),""))))</f>
        <v/>
      </c>
      <c r="CM20" s="48" t="str">
        <f>IF(CQ20="","",IF(CQ20&gt;59,"",IF(CQ20&gt;=50,"fifty "&amp;IF((CQ20-ROUNDDOWN(CQ20,-1))=1,D20,"")&amp;IF((CQ20-ROUNDDOWN(CQ20,-1))=2,F20,"")&amp;IF((CQ20-ROUNDDOWN(CQ20,-1))=G20,H20,"")&amp;IF((CQ20-ROUNDDOWN(CQ20,-1))=I20,J20,"")&amp;IF((CQ20-ROUNDDOWN(CQ20,-1))=K20,L20,"")&amp;IF((CQ20-ROUNDDOWN(CQ20,-1))=M20,N20,"")&amp;IF((CQ20-ROUNDDOWN(CQ20,-1))=O20,P20,"")&amp;IF((CQ20-ROUNDDOWN(CQ20,-1))=Q20,R20,"")&amp;IF((CQ20-ROUNDDOWN(CQ20,-1))=S20,T20,""),IF(CQ20&gt;=40,"forty "&amp;IF((CQ20-ROUNDDOWN(CQ20,-1))=1,D20,"")&amp;IF((CQ20-ROUNDDOWN(CQ20,-1))=2,F20,"")&amp;IF((CQ20-ROUNDDOWN(CQ20,-1))=G20,H20,"")&amp;IF((CQ20-ROUNDDOWN(CQ20,-1))=I20,J20,"")&amp;IF((CQ20-ROUNDDOWN(CQ20,-1))=K20,L20,"")&amp;IF((CQ20-ROUNDDOWN(CQ20,-1))=M20,N20,"")&amp;IF((CQ20-ROUNDDOWN(CQ20,-1))=O20,P20,"")&amp;IF((CQ20-ROUNDDOWN(CQ20,-1))=Q20,R20,"")&amp;IF((CQ20-ROUNDDOWN(CQ20,-1))=S20,T20,""),""))))</f>
        <v/>
      </c>
      <c r="CN20" s="48" t="str">
        <f>IF(CQ20="","",IF(CQ20&gt;39,"",IF(CQ20&gt;=30,"thirty "&amp;IF((CQ20-ROUNDDOWN(CQ20,-1))=1,D20,"")&amp;IF((CQ20-ROUNDDOWN(CQ20,-1))=2,F20,"")&amp;IF((CQ20-ROUNDDOWN(CQ20,-1))=G20,H20,"")&amp;IF((CQ20-ROUNDDOWN(CQ20,-1))=I20,J20,"")&amp;IF((CQ20-ROUNDDOWN(CQ20,-1))=K20,L20,"")&amp;IF((CQ20-ROUNDDOWN(CQ20,-1))=M20,N20,"")&amp;IF((CQ20-ROUNDDOWN(CQ20,-1))=O20,P20,"")&amp;IF((CQ20-ROUNDDOWN(CQ20,-1))=Q20,R20,"")&amp;IF((CQ20-ROUNDDOWN(CQ20,-1))=S20,T20,""),IF(CQ20&gt;=20,"twenty "&amp;IF((CQ20-ROUNDDOWN(CQ20,-1))=1,D20,"")&amp;IF((CQ20-ROUNDDOWN(CQ20,-1))=2,F20,"")&amp;IF((CQ20-ROUNDDOWN(CQ20,-1))=G20,H20,"")&amp;IF((CQ20-ROUNDDOWN(CQ20,-1))=I20,J20,"")&amp;IF((CQ20-ROUNDDOWN(CQ20,-1))=K20,L20,"")&amp;IF((CQ20-ROUNDDOWN(CQ20,-1))=M20,N20,"")&amp;IF((CQ20-ROUNDDOWN(CQ20,-1))=O20,P20,"")&amp;IF((CQ20-ROUNDDOWN(CQ20,-1))=Q20,R20,"")&amp;IF((CQ20-ROUNDDOWN(CQ20,-1))=S20,T20,""),""))))</f>
        <v/>
      </c>
      <c r="CO20" s="48" t="str">
        <f>IF(CQ20="","",IF(CQ20=C20,D20,"")&amp;IF(CQ20=E20,F20,"")&amp;IF(CQ20=G20,H20,"")&amp;IF(CQ20=I20,J20,"")&amp;IF(CQ20=K20,L20,"")&amp;IF(CQ20=M20,N20,"")&amp;IF(CQ20=O20,P20,"")&amp;IF(CQ20=Q20,R20,"")&amp;IF(CQ20=S20,T20,"")&amp;IF(CQ20=U20,V20,"")&amp;IF(CQ20=W20,X20,"")&amp;IF(CQ20=Y20,Z20,"")&amp;IF(CQ20=AA20,AB20,"")&amp;IF(CQ20=AC20,AD20,"")&amp;IF(CQ20=AE20,AF20,"")&amp;IF(CQ20=AG20,AH20,"")&amp;IF(CQ20=AI20,AJ20,"")&amp;IF(CQ20=AK20,AL20,"")&amp;IF(CQ20=AM20,AN20,""))</f>
        <v/>
      </c>
      <c r="CP20" s="49"/>
      <c r="CQ20" s="48" t="str">
        <f>IF((A20-ROUNDDOWN(A20,0))&gt;0,ROUND((A20-ROUNDDOWN(A20,0))*100,0),"")</f>
        <v/>
      </c>
      <c r="CR20" s="48" t="str">
        <f>IF(CK20="","",CK20)&amp;IF(CL20="","",CL20)&amp;IF(CM20="","",CM20)&amp;IF(CN20="","",CN20)&amp;IF(CO20="","",CO20)</f>
        <v/>
      </c>
      <c r="CS20" s="49" t="s">
        <v>291</v>
      </c>
      <c r="CT20" s="50"/>
      <c r="CU20" s="51" t="str">
        <f>IF(A20="","","(Rupees "&amp;IF(AY20="","",AY20&amp;" crore ")&amp;IF(BH20="","",BH20&amp;" lakh ")&amp;IF(BQ20="","",BQ20&amp;" thousand ")&amp;IF(BZ20="","",BZ20&amp;" hundred ")&amp;IF(CI20="","",CI20)&amp;IF(CR20="",""," and paise "&amp;CR20)&amp;") only.")</f>
        <v>(Rupees four lakh twenty eight thousand seven hundred seventy two) only.</v>
      </c>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row>
    <row r="22" spans="1:135" x14ac:dyDescent="0.25">
      <c r="B22" s="571"/>
      <c r="C22" s="572"/>
      <c r="D22" s="470"/>
      <c r="E22" s="470"/>
    </row>
  </sheetData>
  <mergeCells count="7">
    <mergeCell ref="A2:F2"/>
    <mergeCell ref="B22:E22"/>
    <mergeCell ref="A1:F1"/>
    <mergeCell ref="A12:E12"/>
    <mergeCell ref="A3:F3"/>
    <mergeCell ref="B14:E14"/>
    <mergeCell ref="A13:E13"/>
  </mergeCells>
  <pageMargins left="0.65" right="0.26" top="0.26" bottom="0.36" header="0.3" footer="0.3"/>
  <pageSetup paperSize="9" orientation="portrait" horizontalDpi="429496729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25"/>
  <sheetViews>
    <sheetView view="pageBreakPreview" zoomScale="115" zoomScaleNormal="100" workbookViewId="0">
      <selection activeCell="D126" sqref="D126"/>
    </sheetView>
  </sheetViews>
  <sheetFormatPr defaultRowHeight="13.2" x14ac:dyDescent="0.25"/>
  <cols>
    <col min="1" max="1" width="6.88671875" style="4" customWidth="1"/>
    <col min="2" max="2" width="33.21875" style="4" customWidth="1"/>
    <col min="7" max="7" width="11.5546875" style="4" customWidth="1"/>
    <col min="8" max="8" width="13" style="319" customWidth="1"/>
    <col min="9" max="9" width="9.21875" style="4" customWidth="1"/>
  </cols>
  <sheetData>
    <row r="1" spans="1:9" x14ac:dyDescent="0.25">
      <c r="A1" s="578" t="str">
        <f>Abstract!B3</f>
        <v xml:space="preserve"> Name of Work :-   Repairing and Renovation of  Circuit House at Bokakhat Co District under Golaghat District</v>
      </c>
      <c r="B1" s="470"/>
      <c r="C1" s="572"/>
      <c r="D1" s="572"/>
      <c r="E1" s="572"/>
      <c r="F1" s="572"/>
      <c r="G1" s="470"/>
      <c r="H1" s="579"/>
      <c r="I1" s="470"/>
    </row>
    <row r="2" spans="1:9" ht="6.6" customHeight="1" x14ac:dyDescent="0.25">
      <c r="A2" s="470"/>
      <c r="B2" s="470"/>
      <c r="C2" s="572"/>
      <c r="D2" s="572"/>
      <c r="E2" s="572"/>
      <c r="F2" s="572"/>
      <c r="G2" s="470"/>
      <c r="H2" s="579"/>
      <c r="I2" s="470"/>
    </row>
    <row r="3" spans="1:9" s="296" customFormat="1" ht="15.6" customHeight="1" x14ac:dyDescent="0.3">
      <c r="A3" s="580" t="s">
        <v>322</v>
      </c>
      <c r="B3" s="581"/>
      <c r="C3" s="581"/>
      <c r="D3" s="581"/>
      <c r="E3" s="581"/>
      <c r="F3" s="581"/>
      <c r="G3" s="581"/>
      <c r="H3" s="581"/>
      <c r="I3" s="581"/>
    </row>
    <row r="4" spans="1:9" s="297" customFormat="1" ht="13.8" customHeight="1" x14ac:dyDescent="0.3">
      <c r="B4" s="312" t="s">
        <v>323</v>
      </c>
      <c r="C4" s="298"/>
      <c r="D4" s="298"/>
      <c r="E4" s="298"/>
      <c r="F4" s="298"/>
      <c r="G4" s="299"/>
      <c r="H4" s="320"/>
      <c r="I4" s="298"/>
    </row>
    <row r="5" spans="1:9" s="300" customFormat="1" ht="13.8" customHeight="1" x14ac:dyDescent="0.3">
      <c r="C5" s="179"/>
      <c r="D5" s="179"/>
      <c r="E5" s="179"/>
      <c r="F5" s="179"/>
      <c r="G5" s="301"/>
      <c r="H5" s="321"/>
      <c r="I5" s="179"/>
    </row>
    <row r="6" spans="1:9" s="179" customFormat="1" ht="13.8" customHeight="1" x14ac:dyDescent="0.25">
      <c r="A6" s="157" t="s">
        <v>324</v>
      </c>
      <c r="B6" s="157" t="s">
        <v>325</v>
      </c>
      <c r="C6" s="157"/>
      <c r="D6" s="157"/>
      <c r="E6" s="157" t="s">
        <v>7</v>
      </c>
      <c r="F6" s="157" t="s">
        <v>305</v>
      </c>
      <c r="G6" s="302" t="s">
        <v>326</v>
      </c>
      <c r="H6" s="322" t="s">
        <v>327</v>
      </c>
      <c r="I6" s="343" t="s">
        <v>328</v>
      </c>
    </row>
    <row r="7" spans="1:9" s="300" customFormat="1" ht="13.8" customHeight="1" x14ac:dyDescent="0.3">
      <c r="A7" s="72"/>
      <c r="B7" s="313" t="s">
        <v>329</v>
      </c>
      <c r="C7" s="157"/>
      <c r="D7" s="157"/>
      <c r="E7" s="157"/>
      <c r="F7" s="157"/>
      <c r="G7" s="302"/>
      <c r="H7" s="322"/>
      <c r="I7" s="157"/>
    </row>
    <row r="8" spans="1:9" s="300" customFormat="1" ht="13.8" customHeight="1" x14ac:dyDescent="0.3">
      <c r="A8" s="72">
        <v>1</v>
      </c>
      <c r="B8" s="314" t="s">
        <v>330</v>
      </c>
      <c r="C8" s="157"/>
      <c r="D8" s="157"/>
      <c r="E8" s="157"/>
      <c r="F8" s="157"/>
      <c r="G8" s="302"/>
      <c r="H8" s="322"/>
      <c r="I8" s="157"/>
    </row>
    <row r="9" spans="1:9" s="179" customFormat="1" ht="55.2" customHeight="1" x14ac:dyDescent="0.25">
      <c r="A9" s="72"/>
      <c r="B9" s="315" t="s">
        <v>331</v>
      </c>
      <c r="C9" s="157"/>
      <c r="D9" s="157"/>
      <c r="E9" s="157" t="s">
        <v>171</v>
      </c>
      <c r="F9" s="157">
        <v>1</v>
      </c>
      <c r="G9" s="302">
        <v>7900</v>
      </c>
      <c r="H9" s="322">
        <f>G9*F9</f>
        <v>7900</v>
      </c>
      <c r="I9" s="157"/>
    </row>
    <row r="10" spans="1:9" s="300" customFormat="1" ht="13.8" customHeight="1" x14ac:dyDescent="0.3">
      <c r="A10" s="72"/>
      <c r="B10" s="313" t="s">
        <v>332</v>
      </c>
      <c r="C10" s="157"/>
      <c r="D10" s="157"/>
      <c r="E10" s="157" t="s">
        <v>333</v>
      </c>
      <c r="F10" s="157"/>
      <c r="G10" s="302">
        <f>G9*2%</f>
        <v>158</v>
      </c>
      <c r="H10" s="322">
        <f>G10</f>
        <v>158</v>
      </c>
      <c r="I10" s="157"/>
    </row>
    <row r="11" spans="1:9" s="297" customFormat="1" ht="13.8" customHeight="1" x14ac:dyDescent="0.3">
      <c r="A11" s="72">
        <v>2</v>
      </c>
      <c r="B11" s="316" t="s">
        <v>334</v>
      </c>
      <c r="C11" s="72"/>
      <c r="D11" s="72"/>
      <c r="E11" s="72"/>
      <c r="F11" s="72"/>
      <c r="G11" s="303"/>
      <c r="H11" s="323">
        <f>SUM(H9:H10)</f>
        <v>8058</v>
      </c>
      <c r="I11" s="72"/>
    </row>
    <row r="12" spans="1:9" s="300" customFormat="1" ht="13.8" customHeight="1" x14ac:dyDescent="0.3">
      <c r="A12" s="72"/>
      <c r="B12" s="317"/>
      <c r="C12" s="157"/>
      <c r="D12" s="157"/>
      <c r="E12" s="157"/>
      <c r="F12" s="157"/>
      <c r="G12" s="302"/>
      <c r="H12" s="322"/>
      <c r="I12" s="157"/>
    </row>
    <row r="13" spans="1:9" s="297" customFormat="1" ht="13.8" customHeight="1" x14ac:dyDescent="0.3">
      <c r="A13" s="72">
        <v>3</v>
      </c>
      <c r="B13" s="316" t="s">
        <v>334</v>
      </c>
      <c r="C13" s="72"/>
      <c r="D13" s="72"/>
      <c r="E13" s="72"/>
      <c r="F13" s="72"/>
      <c r="G13" s="303"/>
      <c r="H13" s="323">
        <f>SUM(H11:H12)</f>
        <v>8058</v>
      </c>
      <c r="I13" s="72" t="s">
        <v>335</v>
      </c>
    </row>
    <row r="14" spans="1:9" s="300" customFormat="1" ht="13.8" customHeight="1" x14ac:dyDescent="0.3">
      <c r="A14" s="72"/>
      <c r="B14" s="317" t="s">
        <v>336</v>
      </c>
      <c r="C14" s="318">
        <v>0.15</v>
      </c>
      <c r="D14" s="157" t="s">
        <v>337</v>
      </c>
      <c r="E14" s="157"/>
      <c r="F14" s="157"/>
      <c r="G14" s="302"/>
      <c r="H14" s="322">
        <f>H13*C14</f>
        <v>1208.7</v>
      </c>
      <c r="I14" s="157"/>
    </row>
    <row r="15" spans="1:9" s="297" customFormat="1" ht="13.8" customHeight="1" x14ac:dyDescent="0.3">
      <c r="A15" s="72">
        <v>4</v>
      </c>
      <c r="B15" s="316" t="s">
        <v>334</v>
      </c>
      <c r="C15" s="72"/>
      <c r="D15" s="72"/>
      <c r="E15" s="72"/>
      <c r="F15" s="72"/>
      <c r="G15" s="303"/>
      <c r="H15" s="323">
        <f>SUM(H13:H14)</f>
        <v>9266.7000000000007</v>
      </c>
      <c r="I15" s="72" t="s">
        <v>338</v>
      </c>
    </row>
    <row r="16" spans="1:9" s="300" customFormat="1" ht="13.8" customHeight="1" x14ac:dyDescent="0.3">
      <c r="A16" s="72"/>
      <c r="B16" s="317" t="s">
        <v>339</v>
      </c>
      <c r="C16" s="318">
        <v>0.01</v>
      </c>
      <c r="D16" s="157" t="s">
        <v>340</v>
      </c>
      <c r="E16" s="157"/>
      <c r="F16" s="157"/>
      <c r="G16" s="302"/>
      <c r="H16" s="322">
        <f>H15*C16</f>
        <v>92.67</v>
      </c>
      <c r="I16" s="157"/>
    </row>
    <row r="17" spans="1:9" s="300" customFormat="1" ht="13.8" customHeight="1" x14ac:dyDescent="0.3">
      <c r="A17" s="72"/>
      <c r="B17" s="313"/>
      <c r="C17" s="157"/>
      <c r="D17" s="157"/>
      <c r="E17" s="157"/>
      <c r="F17" s="157"/>
      <c r="G17" s="302"/>
      <c r="H17" s="322"/>
      <c r="I17" s="157"/>
    </row>
    <row r="18" spans="1:9" s="297" customFormat="1" ht="13.8" customHeight="1" x14ac:dyDescent="0.3">
      <c r="A18" s="72">
        <v>5</v>
      </c>
      <c r="B18" s="316" t="s">
        <v>341</v>
      </c>
      <c r="C18" s="72">
        <v>1</v>
      </c>
      <c r="D18" s="72"/>
      <c r="E18" s="72" t="s">
        <v>342</v>
      </c>
      <c r="F18" s="72"/>
      <c r="G18" s="303"/>
      <c r="H18" s="323">
        <f>SUM(H15:H17)</f>
        <v>9359.3700000000008</v>
      </c>
      <c r="I18" s="72"/>
    </row>
    <row r="22" spans="1:9" s="297" customFormat="1" ht="13.8" customHeight="1" x14ac:dyDescent="0.3">
      <c r="B22" s="312" t="s">
        <v>343</v>
      </c>
      <c r="C22" s="298"/>
      <c r="D22" s="298"/>
      <c r="E22" s="298"/>
      <c r="F22" s="298"/>
      <c r="G22" s="299"/>
      <c r="H22" s="320"/>
      <c r="I22" s="298"/>
    </row>
    <row r="23" spans="1:9" s="300" customFormat="1" ht="13.8" customHeight="1" x14ac:dyDescent="0.3">
      <c r="C23" s="179"/>
      <c r="D23" s="179"/>
      <c r="E23" s="179"/>
      <c r="F23" s="179"/>
      <c r="G23" s="301"/>
      <c r="H23" s="321"/>
      <c r="I23" s="179"/>
    </row>
    <row r="24" spans="1:9" s="179" customFormat="1" ht="13.8" customHeight="1" x14ac:dyDescent="0.25">
      <c r="A24" s="157" t="s">
        <v>324</v>
      </c>
      <c r="B24" s="157" t="s">
        <v>325</v>
      </c>
      <c r="C24" s="157"/>
      <c r="D24" s="157"/>
      <c r="E24" s="157" t="s">
        <v>7</v>
      </c>
      <c r="F24" s="157" t="s">
        <v>305</v>
      </c>
      <c r="G24" s="302" t="s">
        <v>326</v>
      </c>
      <c r="H24" s="322" t="s">
        <v>327</v>
      </c>
      <c r="I24" s="157" t="s">
        <v>328</v>
      </c>
    </row>
    <row r="25" spans="1:9" s="300" customFormat="1" ht="13.8" customHeight="1" x14ac:dyDescent="0.3">
      <c r="A25" s="72"/>
      <c r="B25" s="313" t="s">
        <v>329</v>
      </c>
      <c r="C25" s="157"/>
      <c r="D25" s="157"/>
      <c r="E25" s="157"/>
      <c r="F25" s="157"/>
      <c r="G25" s="302"/>
      <c r="H25" s="322"/>
      <c r="I25" s="157"/>
    </row>
    <row r="26" spans="1:9" s="300" customFormat="1" ht="13.8" customHeight="1" x14ac:dyDescent="0.3">
      <c r="A26" s="72">
        <v>1</v>
      </c>
      <c r="B26" s="314" t="s">
        <v>330</v>
      </c>
      <c r="C26" s="157"/>
      <c r="D26" s="157"/>
      <c r="E26" s="157"/>
      <c r="F26" s="157"/>
      <c r="G26" s="302"/>
      <c r="H26" s="322"/>
      <c r="I26" s="157"/>
    </row>
    <row r="27" spans="1:9" s="179" customFormat="1" ht="27.6" customHeight="1" x14ac:dyDescent="0.25">
      <c r="A27" s="72"/>
      <c r="B27" s="315" t="s">
        <v>344</v>
      </c>
      <c r="C27" s="157"/>
      <c r="D27" s="157"/>
      <c r="E27" s="157" t="s">
        <v>171</v>
      </c>
      <c r="F27" s="157">
        <v>1</v>
      </c>
      <c r="G27" s="302">
        <v>5603</v>
      </c>
      <c r="H27" s="322">
        <f>G27*F27</f>
        <v>5603</v>
      </c>
      <c r="I27" s="157"/>
    </row>
    <row r="28" spans="1:9" s="300" customFormat="1" ht="13.8" customHeight="1" x14ac:dyDescent="0.3">
      <c r="A28" s="72"/>
      <c r="B28" s="313" t="s">
        <v>332</v>
      </c>
      <c r="C28" s="157"/>
      <c r="D28" s="157"/>
      <c r="E28" s="157" t="s">
        <v>333</v>
      </c>
      <c r="F28" s="157"/>
      <c r="G28" s="302">
        <f>G27*2%</f>
        <v>112.06</v>
      </c>
      <c r="H28" s="322">
        <f>G28</f>
        <v>112.06</v>
      </c>
      <c r="I28" s="157"/>
    </row>
    <row r="29" spans="1:9" s="297" customFormat="1" ht="13.8" customHeight="1" x14ac:dyDescent="0.3">
      <c r="A29" s="72">
        <v>2</v>
      </c>
      <c r="B29" s="316" t="s">
        <v>334</v>
      </c>
      <c r="C29" s="72"/>
      <c r="D29" s="72"/>
      <c r="E29" s="72"/>
      <c r="F29" s="72"/>
      <c r="G29" s="303"/>
      <c r="H29" s="323">
        <f>SUM(H27:H28)</f>
        <v>5715.06</v>
      </c>
      <c r="I29" s="72"/>
    </row>
    <row r="30" spans="1:9" s="300" customFormat="1" ht="13.8" customHeight="1" x14ac:dyDescent="0.3">
      <c r="A30" s="72"/>
      <c r="B30" s="317"/>
      <c r="C30" s="157"/>
      <c r="D30" s="157"/>
      <c r="E30" s="157"/>
      <c r="F30" s="157"/>
      <c r="G30" s="302"/>
      <c r="H30" s="322"/>
      <c r="I30" s="157"/>
    </row>
    <row r="31" spans="1:9" s="297" customFormat="1" ht="13.8" customHeight="1" x14ac:dyDescent="0.3">
      <c r="A31" s="72">
        <v>3</v>
      </c>
      <c r="B31" s="316" t="s">
        <v>334</v>
      </c>
      <c r="C31" s="72"/>
      <c r="D31" s="72"/>
      <c r="E31" s="72"/>
      <c r="F31" s="72"/>
      <c r="G31" s="303"/>
      <c r="H31" s="323">
        <f>SUM(H29:H30)</f>
        <v>5715.06</v>
      </c>
      <c r="I31" s="72" t="s">
        <v>335</v>
      </c>
    </row>
    <row r="32" spans="1:9" s="300" customFormat="1" ht="13.8" customHeight="1" x14ac:dyDescent="0.3">
      <c r="A32" s="72"/>
      <c r="B32" s="317" t="s">
        <v>336</v>
      </c>
      <c r="C32" s="318">
        <v>0.15</v>
      </c>
      <c r="D32" s="157" t="s">
        <v>337</v>
      </c>
      <c r="E32" s="157"/>
      <c r="F32" s="157"/>
      <c r="G32" s="302"/>
      <c r="H32" s="322">
        <f>H31*C32</f>
        <v>857.26</v>
      </c>
      <c r="I32" s="157"/>
    </row>
    <row r="33" spans="1:9" s="297" customFormat="1" ht="13.8" customHeight="1" x14ac:dyDescent="0.3">
      <c r="A33" s="72">
        <v>4</v>
      </c>
      <c r="B33" s="316" t="s">
        <v>334</v>
      </c>
      <c r="C33" s="72"/>
      <c r="D33" s="72"/>
      <c r="E33" s="72"/>
      <c r="F33" s="72"/>
      <c r="G33" s="303"/>
      <c r="H33" s="323">
        <f>SUM(H31:H32)</f>
        <v>6572.32</v>
      </c>
      <c r="I33" s="72" t="s">
        <v>338</v>
      </c>
    </row>
    <row r="34" spans="1:9" s="300" customFormat="1" ht="13.8" customHeight="1" x14ac:dyDescent="0.3">
      <c r="A34" s="72"/>
      <c r="B34" s="317" t="s">
        <v>339</v>
      </c>
      <c r="C34" s="318">
        <v>0.01</v>
      </c>
      <c r="D34" s="157" t="s">
        <v>340</v>
      </c>
      <c r="E34" s="157"/>
      <c r="F34" s="157"/>
      <c r="G34" s="302"/>
      <c r="H34" s="322">
        <f>H33*C34</f>
        <v>65.72</v>
      </c>
      <c r="I34" s="157"/>
    </row>
    <row r="35" spans="1:9" s="300" customFormat="1" ht="13.8" customHeight="1" x14ac:dyDescent="0.3">
      <c r="A35" s="72"/>
      <c r="B35" s="313"/>
      <c r="C35" s="157"/>
      <c r="D35" s="157"/>
      <c r="E35" s="157"/>
      <c r="F35" s="157"/>
      <c r="G35" s="302"/>
      <c r="H35" s="322"/>
      <c r="I35" s="157"/>
    </row>
    <row r="36" spans="1:9" s="297" customFormat="1" ht="13.8" customHeight="1" x14ac:dyDescent="0.3">
      <c r="A36" s="72">
        <v>5</v>
      </c>
      <c r="B36" s="316" t="s">
        <v>341</v>
      </c>
      <c r="C36" s="72">
        <v>1</v>
      </c>
      <c r="D36" s="72"/>
      <c r="E36" s="72" t="s">
        <v>342</v>
      </c>
      <c r="F36" s="72"/>
      <c r="G36" s="303"/>
      <c r="H36" s="323">
        <f>SUM(H33:H35)</f>
        <v>6638.04</v>
      </c>
      <c r="I36" s="72"/>
    </row>
    <row r="41" spans="1:9" s="297" customFormat="1" ht="13.8" customHeight="1" x14ac:dyDescent="0.3">
      <c r="B41" s="312" t="s">
        <v>345</v>
      </c>
      <c r="C41" s="298"/>
      <c r="D41" s="298"/>
      <c r="E41" s="298"/>
      <c r="F41" s="298"/>
      <c r="G41" s="299"/>
      <c r="H41" s="320"/>
      <c r="I41" s="298"/>
    </row>
    <row r="42" spans="1:9" s="179" customFormat="1" ht="13.8" customHeight="1" x14ac:dyDescent="0.25">
      <c r="A42" s="157" t="s">
        <v>324</v>
      </c>
      <c r="B42" s="157" t="s">
        <v>325</v>
      </c>
      <c r="C42" s="157"/>
      <c r="D42" s="157"/>
      <c r="E42" s="157" t="s">
        <v>7</v>
      </c>
      <c r="F42" s="157" t="s">
        <v>305</v>
      </c>
      <c r="G42" s="302" t="s">
        <v>326</v>
      </c>
      <c r="H42" s="322" t="s">
        <v>327</v>
      </c>
      <c r="I42" s="157" t="s">
        <v>328</v>
      </c>
    </row>
    <row r="43" spans="1:9" s="300" customFormat="1" ht="13.8" customHeight="1" x14ac:dyDescent="0.3">
      <c r="A43" s="72"/>
      <c r="B43" s="313" t="s">
        <v>329</v>
      </c>
      <c r="C43" s="157"/>
      <c r="D43" s="157"/>
      <c r="E43" s="157"/>
      <c r="F43" s="157"/>
      <c r="G43" s="302"/>
      <c r="H43" s="322"/>
      <c r="I43" s="157"/>
    </row>
    <row r="44" spans="1:9" s="300" customFormat="1" ht="13.8" customHeight="1" x14ac:dyDescent="0.3">
      <c r="A44" s="72">
        <v>1</v>
      </c>
      <c r="B44" s="314" t="s">
        <v>330</v>
      </c>
      <c r="C44" s="157"/>
      <c r="D44" s="157"/>
      <c r="E44" s="157"/>
      <c r="F44" s="157"/>
      <c r="G44" s="302"/>
      <c r="H44" s="322"/>
      <c r="I44" s="157"/>
    </row>
    <row r="45" spans="1:9" s="179" customFormat="1" ht="55.2" customHeight="1" x14ac:dyDescent="0.25">
      <c r="A45" s="72"/>
      <c r="B45" s="315" t="s">
        <v>346</v>
      </c>
      <c r="C45" s="157"/>
      <c r="D45" s="157"/>
      <c r="E45" s="157" t="s">
        <v>171</v>
      </c>
      <c r="F45" s="157">
        <v>1</v>
      </c>
      <c r="G45" s="302">
        <v>59320</v>
      </c>
      <c r="H45" s="322">
        <f>G45*F45</f>
        <v>59320</v>
      </c>
      <c r="I45" s="157"/>
    </row>
    <row r="46" spans="1:9" s="300" customFormat="1" ht="13.8" customHeight="1" x14ac:dyDescent="0.3">
      <c r="A46" s="72"/>
      <c r="B46" s="313" t="s">
        <v>332</v>
      </c>
      <c r="C46" s="157"/>
      <c r="D46" s="157"/>
      <c r="E46" s="157" t="s">
        <v>333</v>
      </c>
      <c r="F46" s="157"/>
      <c r="G46" s="302">
        <f>G45*2%</f>
        <v>1186.4000000000001</v>
      </c>
      <c r="H46" s="322">
        <f>G46</f>
        <v>1186.4000000000001</v>
      </c>
      <c r="I46" s="157"/>
    </row>
    <row r="47" spans="1:9" s="297" customFormat="1" ht="13.8" customHeight="1" x14ac:dyDescent="0.3">
      <c r="A47" s="72">
        <v>2</v>
      </c>
      <c r="B47" s="316" t="s">
        <v>334</v>
      </c>
      <c r="C47" s="72"/>
      <c r="D47" s="72"/>
      <c r="E47" s="72"/>
      <c r="F47" s="72"/>
      <c r="G47" s="303"/>
      <c r="H47" s="323">
        <f>SUM(H45:H46)</f>
        <v>60506.400000000001</v>
      </c>
      <c r="I47" s="72"/>
    </row>
    <row r="48" spans="1:9" s="300" customFormat="1" ht="13.8" customHeight="1" x14ac:dyDescent="0.3">
      <c r="A48" s="72"/>
      <c r="B48" s="317"/>
      <c r="C48" s="157"/>
      <c r="D48" s="157"/>
      <c r="E48" s="157"/>
      <c r="F48" s="157"/>
      <c r="G48" s="302"/>
      <c r="H48" s="322"/>
      <c r="I48" s="157"/>
    </row>
    <row r="49" spans="1:9" s="297" customFormat="1" ht="13.8" customHeight="1" x14ac:dyDescent="0.3">
      <c r="A49" s="72">
        <v>3</v>
      </c>
      <c r="B49" s="316" t="s">
        <v>334</v>
      </c>
      <c r="C49" s="72"/>
      <c r="D49" s="72"/>
      <c r="E49" s="72"/>
      <c r="F49" s="72"/>
      <c r="G49" s="303"/>
      <c r="H49" s="323">
        <f>SUM(H47:H48)</f>
        <v>60506.400000000001</v>
      </c>
      <c r="I49" s="72" t="s">
        <v>335</v>
      </c>
    </row>
    <row r="50" spans="1:9" s="300" customFormat="1" ht="13.8" customHeight="1" x14ac:dyDescent="0.3">
      <c r="A50" s="72"/>
      <c r="B50" s="317" t="s">
        <v>336</v>
      </c>
      <c r="C50" s="318">
        <v>0.15</v>
      </c>
      <c r="D50" s="157" t="s">
        <v>337</v>
      </c>
      <c r="E50" s="157"/>
      <c r="F50" s="157"/>
      <c r="G50" s="302"/>
      <c r="H50" s="322">
        <f>H49*C50</f>
        <v>9075.9599999999991</v>
      </c>
      <c r="I50" s="157"/>
    </row>
    <row r="51" spans="1:9" s="297" customFormat="1" ht="13.8" customHeight="1" x14ac:dyDescent="0.3">
      <c r="A51" s="72">
        <v>4</v>
      </c>
      <c r="B51" s="316" t="s">
        <v>334</v>
      </c>
      <c r="C51" s="72"/>
      <c r="D51" s="72"/>
      <c r="E51" s="72"/>
      <c r="F51" s="72"/>
      <c r="G51" s="303"/>
      <c r="H51" s="323">
        <f>SUM(H49:H50)</f>
        <v>69582.36</v>
      </c>
      <c r="I51" s="72" t="s">
        <v>338</v>
      </c>
    </row>
    <row r="52" spans="1:9" s="300" customFormat="1" ht="13.8" customHeight="1" x14ac:dyDescent="0.3">
      <c r="A52" s="72"/>
      <c r="B52" s="317" t="s">
        <v>339</v>
      </c>
      <c r="C52" s="318">
        <v>0.01</v>
      </c>
      <c r="D52" s="157" t="s">
        <v>340</v>
      </c>
      <c r="E52" s="157"/>
      <c r="F52" s="157"/>
      <c r="G52" s="302"/>
      <c r="H52" s="322">
        <f>H51*C52</f>
        <v>695.82</v>
      </c>
      <c r="I52" s="157"/>
    </row>
    <row r="53" spans="1:9" s="300" customFormat="1" ht="13.8" customHeight="1" x14ac:dyDescent="0.3">
      <c r="A53" s="72"/>
      <c r="B53" s="313"/>
      <c r="C53" s="157"/>
      <c r="D53" s="157"/>
      <c r="E53" s="157"/>
      <c r="F53" s="157"/>
      <c r="G53" s="302"/>
      <c r="H53" s="322"/>
      <c r="I53" s="157"/>
    </row>
    <row r="54" spans="1:9" s="297" customFormat="1" ht="13.8" customHeight="1" x14ac:dyDescent="0.3">
      <c r="A54" s="72">
        <v>5</v>
      </c>
      <c r="B54" s="316" t="s">
        <v>341</v>
      </c>
      <c r="C54" s="72">
        <v>1</v>
      </c>
      <c r="D54" s="72"/>
      <c r="E54" s="72" t="s">
        <v>342</v>
      </c>
      <c r="F54" s="72"/>
      <c r="G54" s="303"/>
      <c r="H54" s="323">
        <f>SUM(H51:H53)</f>
        <v>70278.179999999993</v>
      </c>
      <c r="I54" s="72"/>
    </row>
    <row r="56" spans="1:9" s="297" customFormat="1" ht="13.8" customHeight="1" x14ac:dyDescent="0.3">
      <c r="B56" s="312" t="s">
        <v>664</v>
      </c>
      <c r="C56" s="298"/>
      <c r="D56" s="298"/>
      <c r="E56" s="298"/>
      <c r="F56" s="298"/>
      <c r="G56" s="299"/>
      <c r="H56" s="320"/>
      <c r="I56" s="298"/>
    </row>
    <row r="57" spans="1:9" s="179" customFormat="1" ht="13.8" customHeight="1" x14ac:dyDescent="0.25">
      <c r="A57" s="157" t="s">
        <v>324</v>
      </c>
      <c r="B57" s="157" t="s">
        <v>325</v>
      </c>
      <c r="C57" s="157"/>
      <c r="D57" s="157"/>
      <c r="E57" s="157" t="s">
        <v>7</v>
      </c>
      <c r="F57" s="157" t="s">
        <v>305</v>
      </c>
      <c r="G57" s="302" t="s">
        <v>326</v>
      </c>
      <c r="H57" s="322" t="s">
        <v>327</v>
      </c>
      <c r="I57" s="157" t="s">
        <v>328</v>
      </c>
    </row>
    <row r="58" spans="1:9" s="300" customFormat="1" ht="13.8" customHeight="1" x14ac:dyDescent="0.3">
      <c r="A58" s="72"/>
      <c r="B58" s="313" t="s">
        <v>329</v>
      </c>
      <c r="C58" s="157"/>
      <c r="D58" s="157"/>
      <c r="E58" s="157"/>
      <c r="F58" s="157"/>
      <c r="G58" s="302"/>
      <c r="H58" s="322"/>
      <c r="I58" s="157"/>
    </row>
    <row r="59" spans="1:9" s="300" customFormat="1" ht="13.8" customHeight="1" x14ac:dyDescent="0.3">
      <c r="A59" s="72">
        <v>1</v>
      </c>
      <c r="B59" s="314" t="s">
        <v>330</v>
      </c>
      <c r="C59" s="157"/>
      <c r="D59" s="157"/>
      <c r="E59" s="157"/>
      <c r="F59" s="157"/>
      <c r="G59" s="302"/>
      <c r="H59" s="322"/>
      <c r="I59" s="157"/>
    </row>
    <row r="60" spans="1:9" s="179" customFormat="1" ht="26.4" customHeight="1" x14ac:dyDescent="0.25">
      <c r="A60" s="72"/>
      <c r="B60" s="315" t="s">
        <v>665</v>
      </c>
      <c r="C60" s="157"/>
      <c r="D60" s="157"/>
      <c r="E60" s="157" t="s">
        <v>171</v>
      </c>
      <c r="F60" s="157">
        <v>1</v>
      </c>
      <c r="G60" s="302">
        <v>525</v>
      </c>
      <c r="H60" s="322">
        <f>G60*F60</f>
        <v>525</v>
      </c>
      <c r="I60" s="157"/>
    </row>
    <row r="61" spans="1:9" s="300" customFormat="1" ht="13.8" customHeight="1" x14ac:dyDescent="0.3">
      <c r="A61" s="72"/>
      <c r="B61" s="313" t="s">
        <v>332</v>
      </c>
      <c r="C61" s="157"/>
      <c r="D61" s="157"/>
      <c r="E61" s="157" t="s">
        <v>333</v>
      </c>
      <c r="F61" s="157"/>
      <c r="G61" s="302">
        <f>G60*2%</f>
        <v>10.5</v>
      </c>
      <c r="H61" s="322">
        <f>G61</f>
        <v>10.5</v>
      </c>
      <c r="I61" s="157"/>
    </row>
    <row r="62" spans="1:9" s="297" customFormat="1" ht="13.8" customHeight="1" x14ac:dyDescent="0.3">
      <c r="A62" s="72">
        <v>2</v>
      </c>
      <c r="B62" s="316" t="s">
        <v>334</v>
      </c>
      <c r="C62" s="72"/>
      <c r="D62" s="72"/>
      <c r="E62" s="72"/>
      <c r="F62" s="72"/>
      <c r="G62" s="303"/>
      <c r="H62" s="323">
        <f>SUM(H60:H61)</f>
        <v>535.5</v>
      </c>
      <c r="I62" s="72"/>
    </row>
    <row r="63" spans="1:9" s="300" customFormat="1" ht="13.8" customHeight="1" x14ac:dyDescent="0.3">
      <c r="A63" s="72"/>
      <c r="B63" s="317"/>
      <c r="C63" s="157"/>
      <c r="D63" s="157"/>
      <c r="E63" s="157"/>
      <c r="F63" s="157"/>
      <c r="G63" s="302"/>
      <c r="H63" s="322"/>
      <c r="I63" s="157"/>
    </row>
    <row r="64" spans="1:9" s="297" customFormat="1" ht="13.8" customHeight="1" x14ac:dyDescent="0.3">
      <c r="A64" s="72">
        <v>3</v>
      </c>
      <c r="B64" s="316" t="s">
        <v>334</v>
      </c>
      <c r="C64" s="72"/>
      <c r="D64" s="72"/>
      <c r="E64" s="72"/>
      <c r="F64" s="72"/>
      <c r="G64" s="303"/>
      <c r="H64" s="323">
        <f>SUM(H62:H63)</f>
        <v>535.5</v>
      </c>
      <c r="I64" s="72" t="s">
        <v>335</v>
      </c>
    </row>
    <row r="65" spans="1:9" s="300" customFormat="1" ht="13.8" customHeight="1" x14ac:dyDescent="0.3">
      <c r="A65" s="72"/>
      <c r="B65" s="317" t="s">
        <v>336</v>
      </c>
      <c r="C65" s="318">
        <v>0.15</v>
      </c>
      <c r="D65" s="157" t="s">
        <v>337</v>
      </c>
      <c r="E65" s="157"/>
      <c r="F65" s="157"/>
      <c r="G65" s="302"/>
      <c r="H65" s="322">
        <f>H64*C65</f>
        <v>80.33</v>
      </c>
      <c r="I65" s="157"/>
    </row>
    <row r="66" spans="1:9" s="297" customFormat="1" ht="13.8" customHeight="1" x14ac:dyDescent="0.3">
      <c r="A66" s="72">
        <v>4</v>
      </c>
      <c r="B66" s="316" t="s">
        <v>334</v>
      </c>
      <c r="C66" s="72"/>
      <c r="D66" s="72"/>
      <c r="E66" s="72"/>
      <c r="F66" s="72"/>
      <c r="G66" s="303"/>
      <c r="H66" s="323">
        <f>SUM(H64:H65)</f>
        <v>615.83000000000004</v>
      </c>
      <c r="I66" s="72" t="s">
        <v>338</v>
      </c>
    </row>
    <row r="67" spans="1:9" s="300" customFormat="1" ht="13.8" customHeight="1" x14ac:dyDescent="0.3">
      <c r="A67" s="72"/>
      <c r="B67" s="317" t="s">
        <v>339</v>
      </c>
      <c r="C67" s="318">
        <v>0.01</v>
      </c>
      <c r="D67" s="157" t="s">
        <v>340</v>
      </c>
      <c r="E67" s="157"/>
      <c r="F67" s="157"/>
      <c r="G67" s="302"/>
      <c r="H67" s="322">
        <f>H66*C67</f>
        <v>6.16</v>
      </c>
      <c r="I67" s="157"/>
    </row>
    <row r="68" spans="1:9" s="300" customFormat="1" ht="13.8" customHeight="1" x14ac:dyDescent="0.3">
      <c r="A68" s="72"/>
      <c r="B68" s="313"/>
      <c r="C68" s="157"/>
      <c r="D68" s="157"/>
      <c r="E68" s="157"/>
      <c r="F68" s="157"/>
      <c r="G68" s="302"/>
      <c r="H68" s="322"/>
      <c r="I68" s="157"/>
    </row>
    <row r="69" spans="1:9" s="297" customFormat="1" ht="13.8" customHeight="1" x14ac:dyDescent="0.3">
      <c r="A69" s="72">
        <v>5</v>
      </c>
      <c r="B69" s="316" t="s">
        <v>341</v>
      </c>
      <c r="C69" s="72">
        <v>1</v>
      </c>
      <c r="D69" s="72"/>
      <c r="E69" s="72" t="s">
        <v>342</v>
      </c>
      <c r="F69" s="72"/>
      <c r="G69" s="303"/>
      <c r="H69" s="323">
        <f>SUM(H66:H68)</f>
        <v>621.99</v>
      </c>
      <c r="I69" s="72"/>
    </row>
    <row r="74" spans="1:9" s="297" customFormat="1" ht="13.8" customHeight="1" x14ac:dyDescent="0.3">
      <c r="B74" s="312" t="s">
        <v>666</v>
      </c>
      <c r="C74" s="298"/>
      <c r="D74" s="298"/>
      <c r="E74" s="298"/>
      <c r="F74" s="298"/>
      <c r="G74" s="299"/>
      <c r="H74" s="320"/>
      <c r="I74" s="298"/>
    </row>
    <row r="75" spans="1:9" s="179" customFormat="1" ht="13.8" customHeight="1" x14ac:dyDescent="0.25">
      <c r="A75" s="157" t="s">
        <v>324</v>
      </c>
      <c r="B75" s="157" t="s">
        <v>325</v>
      </c>
      <c r="C75" s="157"/>
      <c r="D75" s="157"/>
      <c r="E75" s="157" t="s">
        <v>7</v>
      </c>
      <c r="F75" s="157" t="s">
        <v>305</v>
      </c>
      <c r="G75" s="302" t="s">
        <v>326</v>
      </c>
      <c r="H75" s="322" t="s">
        <v>327</v>
      </c>
      <c r="I75" s="157" t="s">
        <v>328</v>
      </c>
    </row>
    <row r="76" spans="1:9" s="300" customFormat="1" ht="13.8" customHeight="1" x14ac:dyDescent="0.3">
      <c r="A76" s="72"/>
      <c r="B76" s="313" t="s">
        <v>329</v>
      </c>
      <c r="C76" s="157"/>
      <c r="D76" s="157"/>
      <c r="E76" s="157"/>
      <c r="F76" s="157"/>
      <c r="G76" s="302"/>
      <c r="H76" s="322"/>
      <c r="I76" s="157"/>
    </row>
    <row r="77" spans="1:9" s="300" customFormat="1" ht="13.8" customHeight="1" x14ac:dyDescent="0.3">
      <c r="A77" s="72">
        <v>1</v>
      </c>
      <c r="B77" s="314" t="s">
        <v>330</v>
      </c>
      <c r="C77" s="157"/>
      <c r="D77" s="157"/>
      <c r="E77" s="157"/>
      <c r="F77" s="157"/>
      <c r="G77" s="302"/>
      <c r="H77" s="322"/>
      <c r="I77" s="157"/>
    </row>
    <row r="78" spans="1:9" s="179" customFormat="1" ht="26.4" customHeight="1" x14ac:dyDescent="0.25">
      <c r="A78" s="72"/>
      <c r="B78" s="315" t="s">
        <v>667</v>
      </c>
      <c r="C78" s="157"/>
      <c r="D78" s="157"/>
      <c r="E78" s="157" t="s">
        <v>171</v>
      </c>
      <c r="F78" s="157">
        <v>1</v>
      </c>
      <c r="G78" s="302">
        <v>510</v>
      </c>
      <c r="H78" s="322">
        <f>G78*F78</f>
        <v>510</v>
      </c>
      <c r="I78" s="157"/>
    </row>
    <row r="79" spans="1:9" s="300" customFormat="1" ht="13.8" customHeight="1" x14ac:dyDescent="0.3">
      <c r="A79" s="72"/>
      <c r="B79" s="313" t="s">
        <v>332</v>
      </c>
      <c r="C79" s="157"/>
      <c r="D79" s="157"/>
      <c r="E79" s="157" t="s">
        <v>333</v>
      </c>
      <c r="F79" s="157"/>
      <c r="G79" s="302">
        <f>G78*2%</f>
        <v>10.199999999999999</v>
      </c>
      <c r="H79" s="322">
        <f>G79</f>
        <v>10.199999999999999</v>
      </c>
      <c r="I79" s="157"/>
    </row>
    <row r="80" spans="1:9" s="297" customFormat="1" ht="13.8" customHeight="1" x14ac:dyDescent="0.3">
      <c r="A80" s="72">
        <v>2</v>
      </c>
      <c r="B80" s="316" t="s">
        <v>334</v>
      </c>
      <c r="C80" s="72"/>
      <c r="D80" s="72"/>
      <c r="E80" s="72"/>
      <c r="F80" s="72"/>
      <c r="G80" s="303"/>
      <c r="H80" s="323">
        <f>SUM(H78:H79)</f>
        <v>520.20000000000005</v>
      </c>
      <c r="I80" s="72"/>
    </row>
    <row r="81" spans="1:9" s="300" customFormat="1" ht="13.8" customHeight="1" x14ac:dyDescent="0.3">
      <c r="A81" s="72"/>
      <c r="B81" s="317"/>
      <c r="C81" s="157"/>
      <c r="D81" s="157"/>
      <c r="E81" s="157"/>
      <c r="F81" s="157"/>
      <c r="G81" s="302"/>
      <c r="H81" s="322"/>
      <c r="I81" s="157"/>
    </row>
    <row r="82" spans="1:9" s="297" customFormat="1" ht="13.8" customHeight="1" x14ac:dyDescent="0.3">
      <c r="A82" s="72">
        <v>3</v>
      </c>
      <c r="B82" s="316" t="s">
        <v>334</v>
      </c>
      <c r="C82" s="72"/>
      <c r="D82" s="72"/>
      <c r="E82" s="72"/>
      <c r="F82" s="72"/>
      <c r="G82" s="303"/>
      <c r="H82" s="323">
        <f>SUM(H80:H81)</f>
        <v>520.20000000000005</v>
      </c>
      <c r="I82" s="72" t="s">
        <v>335</v>
      </c>
    </row>
    <row r="83" spans="1:9" s="300" customFormat="1" ht="13.8" customHeight="1" x14ac:dyDescent="0.3">
      <c r="A83" s="72"/>
      <c r="B83" s="317" t="s">
        <v>336</v>
      </c>
      <c r="C83" s="318">
        <v>0.15</v>
      </c>
      <c r="D83" s="157" t="s">
        <v>337</v>
      </c>
      <c r="E83" s="157"/>
      <c r="F83" s="157"/>
      <c r="G83" s="302"/>
      <c r="H83" s="322">
        <f>H82*C83</f>
        <v>78.03</v>
      </c>
      <c r="I83" s="157"/>
    </row>
    <row r="84" spans="1:9" s="297" customFormat="1" ht="13.8" customHeight="1" x14ac:dyDescent="0.3">
      <c r="A84" s="72">
        <v>4</v>
      </c>
      <c r="B84" s="316" t="s">
        <v>334</v>
      </c>
      <c r="C84" s="72"/>
      <c r="D84" s="72"/>
      <c r="E84" s="72"/>
      <c r="F84" s="72"/>
      <c r="G84" s="303"/>
      <c r="H84" s="323">
        <f>SUM(H82:H83)</f>
        <v>598.23</v>
      </c>
      <c r="I84" s="72" t="s">
        <v>338</v>
      </c>
    </row>
    <row r="85" spans="1:9" s="300" customFormat="1" ht="13.8" customHeight="1" x14ac:dyDescent="0.3">
      <c r="A85" s="72"/>
      <c r="B85" s="317" t="s">
        <v>339</v>
      </c>
      <c r="C85" s="318">
        <v>0.01</v>
      </c>
      <c r="D85" s="157" t="s">
        <v>340</v>
      </c>
      <c r="E85" s="157"/>
      <c r="F85" s="157"/>
      <c r="G85" s="302"/>
      <c r="H85" s="322">
        <f>H84*C85</f>
        <v>5.98</v>
      </c>
      <c r="I85" s="157"/>
    </row>
    <row r="86" spans="1:9" s="300" customFormat="1" ht="13.8" customHeight="1" x14ac:dyDescent="0.3">
      <c r="A86" s="72"/>
      <c r="B86" s="313"/>
      <c r="C86" s="157"/>
      <c r="D86" s="157"/>
      <c r="E86" s="157"/>
      <c r="F86" s="157"/>
      <c r="G86" s="302"/>
      <c r="H86" s="322"/>
      <c r="I86" s="157"/>
    </row>
    <row r="87" spans="1:9" s="297" customFormat="1" ht="13.8" customHeight="1" x14ac:dyDescent="0.3">
      <c r="A87" s="72">
        <v>5</v>
      </c>
      <c r="B87" s="316" t="s">
        <v>341</v>
      </c>
      <c r="C87" s="72">
        <v>1</v>
      </c>
      <c r="D87" s="72"/>
      <c r="E87" s="72" t="s">
        <v>342</v>
      </c>
      <c r="F87" s="72"/>
      <c r="G87" s="303"/>
      <c r="H87" s="323">
        <f>SUM(H84:H86)</f>
        <v>604.21</v>
      </c>
      <c r="I87" s="72"/>
    </row>
    <row r="92" spans="1:9" s="297" customFormat="1" ht="13.8" customHeight="1" x14ac:dyDescent="0.3">
      <c r="B92" s="312" t="s">
        <v>668</v>
      </c>
      <c r="C92" s="298"/>
      <c r="D92" s="298"/>
      <c r="E92" s="298"/>
      <c r="F92" s="298"/>
      <c r="G92" s="299"/>
      <c r="H92" s="320"/>
      <c r="I92" s="298"/>
    </row>
    <row r="93" spans="1:9" s="179" customFormat="1" ht="13.8" customHeight="1" x14ac:dyDescent="0.25">
      <c r="A93" s="157" t="s">
        <v>324</v>
      </c>
      <c r="B93" s="157" t="s">
        <v>325</v>
      </c>
      <c r="C93" s="157"/>
      <c r="D93" s="157"/>
      <c r="E93" s="157" t="s">
        <v>7</v>
      </c>
      <c r="F93" s="157" t="s">
        <v>305</v>
      </c>
      <c r="G93" s="302" t="s">
        <v>326</v>
      </c>
      <c r="H93" s="322" t="s">
        <v>327</v>
      </c>
      <c r="I93" s="157" t="s">
        <v>328</v>
      </c>
    </row>
    <row r="94" spans="1:9" s="300" customFormat="1" ht="13.8" customHeight="1" x14ac:dyDescent="0.3">
      <c r="A94" s="72"/>
      <c r="B94" s="313" t="s">
        <v>329</v>
      </c>
      <c r="C94" s="157"/>
      <c r="D94" s="157"/>
      <c r="E94" s="157"/>
      <c r="F94" s="157"/>
      <c r="G94" s="302"/>
      <c r="H94" s="322"/>
      <c r="I94" s="157"/>
    </row>
    <row r="95" spans="1:9" s="300" customFormat="1" ht="13.8" customHeight="1" x14ac:dyDescent="0.3">
      <c r="A95" s="72">
        <v>1</v>
      </c>
      <c r="B95" s="314" t="s">
        <v>330</v>
      </c>
      <c r="C95" s="157"/>
      <c r="D95" s="157"/>
      <c r="E95" s="157"/>
      <c r="F95" s="157"/>
      <c r="G95" s="302"/>
      <c r="H95" s="322"/>
      <c r="I95" s="157"/>
    </row>
    <row r="96" spans="1:9" s="179" customFormat="1" ht="26.4" customHeight="1" x14ac:dyDescent="0.25">
      <c r="A96" s="72"/>
      <c r="B96" s="315" t="s">
        <v>669</v>
      </c>
      <c r="C96" s="157"/>
      <c r="D96" s="157"/>
      <c r="E96" s="157" t="s">
        <v>171</v>
      </c>
      <c r="F96" s="157">
        <v>1</v>
      </c>
      <c r="G96" s="302">
        <v>223</v>
      </c>
      <c r="H96" s="322">
        <f>G96*F96</f>
        <v>223</v>
      </c>
      <c r="I96" s="157"/>
    </row>
    <row r="97" spans="1:9" s="300" customFormat="1" ht="13.8" customHeight="1" x14ac:dyDescent="0.3">
      <c r="A97" s="72"/>
      <c r="B97" s="313" t="s">
        <v>332</v>
      </c>
      <c r="C97" s="157"/>
      <c r="D97" s="157"/>
      <c r="E97" s="157" t="s">
        <v>333</v>
      </c>
      <c r="F97" s="157"/>
      <c r="G97" s="302">
        <f>G96*2%</f>
        <v>4.46</v>
      </c>
      <c r="H97" s="322">
        <f>G97</f>
        <v>4.46</v>
      </c>
      <c r="I97" s="157"/>
    </row>
    <row r="98" spans="1:9" s="297" customFormat="1" ht="13.8" customHeight="1" x14ac:dyDescent="0.3">
      <c r="A98" s="72">
        <v>2</v>
      </c>
      <c r="B98" s="316" t="s">
        <v>334</v>
      </c>
      <c r="C98" s="72"/>
      <c r="D98" s="72"/>
      <c r="E98" s="72"/>
      <c r="F98" s="72"/>
      <c r="G98" s="303"/>
      <c r="H98" s="323">
        <f>SUM(H96:H97)</f>
        <v>227.46</v>
      </c>
      <c r="I98" s="72"/>
    </row>
    <row r="99" spans="1:9" s="300" customFormat="1" ht="13.8" customHeight="1" x14ac:dyDescent="0.3">
      <c r="A99" s="72"/>
      <c r="B99" s="317"/>
      <c r="C99" s="157"/>
      <c r="D99" s="157"/>
      <c r="E99" s="157"/>
      <c r="F99" s="157"/>
      <c r="G99" s="302"/>
      <c r="H99" s="322"/>
      <c r="I99" s="157"/>
    </row>
    <row r="100" spans="1:9" s="297" customFormat="1" ht="13.8" customHeight="1" x14ac:dyDescent="0.3">
      <c r="A100" s="72">
        <v>3</v>
      </c>
      <c r="B100" s="316" t="s">
        <v>334</v>
      </c>
      <c r="C100" s="72"/>
      <c r="D100" s="72"/>
      <c r="E100" s="72"/>
      <c r="F100" s="72"/>
      <c r="G100" s="303"/>
      <c r="H100" s="323">
        <f>SUM(H98:H99)</f>
        <v>227.46</v>
      </c>
      <c r="I100" s="72" t="s">
        <v>335</v>
      </c>
    </row>
    <row r="101" spans="1:9" s="300" customFormat="1" ht="13.8" customHeight="1" x14ac:dyDescent="0.3">
      <c r="A101" s="72"/>
      <c r="B101" s="317" t="s">
        <v>336</v>
      </c>
      <c r="C101" s="318">
        <v>0.15</v>
      </c>
      <c r="D101" s="157" t="s">
        <v>337</v>
      </c>
      <c r="E101" s="157"/>
      <c r="F101" s="157"/>
      <c r="G101" s="302"/>
      <c r="H101" s="322">
        <f>H100*C101</f>
        <v>34.119999999999997</v>
      </c>
      <c r="I101" s="157"/>
    </row>
    <row r="102" spans="1:9" s="297" customFormat="1" ht="13.8" customHeight="1" x14ac:dyDescent="0.3">
      <c r="A102" s="72">
        <v>4</v>
      </c>
      <c r="B102" s="316" t="s">
        <v>334</v>
      </c>
      <c r="C102" s="72"/>
      <c r="D102" s="72"/>
      <c r="E102" s="72"/>
      <c r="F102" s="72"/>
      <c r="G102" s="303"/>
      <c r="H102" s="323">
        <f>SUM(H100:H101)</f>
        <v>261.58</v>
      </c>
      <c r="I102" s="72" t="s">
        <v>338</v>
      </c>
    </row>
    <row r="103" spans="1:9" s="300" customFormat="1" ht="13.8" customHeight="1" x14ac:dyDescent="0.3">
      <c r="A103" s="72"/>
      <c r="B103" s="317" t="s">
        <v>339</v>
      </c>
      <c r="C103" s="318">
        <v>0.01</v>
      </c>
      <c r="D103" s="157" t="s">
        <v>340</v>
      </c>
      <c r="E103" s="157"/>
      <c r="F103" s="157"/>
      <c r="G103" s="302"/>
      <c r="H103" s="322">
        <f>H102*C103</f>
        <v>2.62</v>
      </c>
      <c r="I103" s="157"/>
    </row>
    <row r="104" spans="1:9" s="300" customFormat="1" ht="13.8" customHeight="1" x14ac:dyDescent="0.3">
      <c r="A104" s="72"/>
      <c r="B104" s="313"/>
      <c r="C104" s="157"/>
      <c r="D104" s="157"/>
      <c r="E104" s="157"/>
      <c r="F104" s="157"/>
      <c r="G104" s="302"/>
      <c r="H104" s="322"/>
      <c r="I104" s="157"/>
    </row>
    <row r="105" spans="1:9" s="297" customFormat="1" ht="13.8" customHeight="1" x14ac:dyDescent="0.3">
      <c r="A105" s="72">
        <v>5</v>
      </c>
      <c r="B105" s="316" t="s">
        <v>341</v>
      </c>
      <c r="C105" s="72">
        <v>1</v>
      </c>
      <c r="D105" s="72"/>
      <c r="E105" s="72" t="s">
        <v>342</v>
      </c>
      <c r="F105" s="72"/>
      <c r="G105" s="303"/>
      <c r="H105" s="323">
        <f>SUM(H102:H104)</f>
        <v>264.2</v>
      </c>
      <c r="I105" s="72"/>
    </row>
    <row r="111" spans="1:9" ht="29.4" customHeight="1" x14ac:dyDescent="0.25"/>
    <row r="112" spans="1:9" s="297" customFormat="1" ht="13.8" customHeight="1" x14ac:dyDescent="0.3">
      <c r="B112" s="312" t="s">
        <v>670</v>
      </c>
      <c r="C112" s="298"/>
      <c r="D112" s="298"/>
      <c r="E112" s="298"/>
      <c r="F112" s="298"/>
      <c r="G112" s="299"/>
      <c r="H112" s="320"/>
      <c r="I112" s="298"/>
    </row>
    <row r="113" spans="1:9" s="179" customFormat="1" ht="13.8" customHeight="1" x14ac:dyDescent="0.25">
      <c r="A113" s="157" t="s">
        <v>324</v>
      </c>
      <c r="B113" s="157" t="s">
        <v>325</v>
      </c>
      <c r="C113" s="157"/>
      <c r="D113" s="157"/>
      <c r="E113" s="157" t="s">
        <v>7</v>
      </c>
      <c r="F113" s="157" t="s">
        <v>305</v>
      </c>
      <c r="G113" s="302" t="s">
        <v>326</v>
      </c>
      <c r="H113" s="322" t="s">
        <v>327</v>
      </c>
      <c r="I113" s="157" t="s">
        <v>328</v>
      </c>
    </row>
    <row r="114" spans="1:9" s="300" customFormat="1" ht="13.8" customHeight="1" x14ac:dyDescent="0.3">
      <c r="A114" s="72"/>
      <c r="B114" s="313" t="s">
        <v>329</v>
      </c>
      <c r="C114" s="157"/>
      <c r="D114" s="157"/>
      <c r="E114" s="157"/>
      <c r="F114" s="157"/>
      <c r="G114" s="302"/>
      <c r="H114" s="322"/>
      <c r="I114" s="157"/>
    </row>
    <row r="115" spans="1:9" s="300" customFormat="1" ht="13.8" customHeight="1" x14ac:dyDescent="0.3">
      <c r="A115" s="72">
        <v>1</v>
      </c>
      <c r="B115" s="314" t="s">
        <v>330</v>
      </c>
      <c r="C115" s="157"/>
      <c r="D115" s="157"/>
      <c r="E115" s="157"/>
      <c r="F115" s="157"/>
      <c r="G115" s="302"/>
      <c r="H115" s="322"/>
      <c r="I115" s="157"/>
    </row>
    <row r="116" spans="1:9" s="179" customFormat="1" ht="35.4" customHeight="1" x14ac:dyDescent="0.25">
      <c r="A116" s="72"/>
      <c r="B116" s="315" t="s">
        <v>671</v>
      </c>
      <c r="C116" s="157"/>
      <c r="D116" s="157"/>
      <c r="E116" s="157" t="s">
        <v>171</v>
      </c>
      <c r="F116" s="157">
        <v>1</v>
      </c>
      <c r="G116" s="302">
        <v>298.98</v>
      </c>
      <c r="H116" s="322">
        <f>G116*F116</f>
        <v>298.98</v>
      </c>
      <c r="I116" s="157"/>
    </row>
    <row r="117" spans="1:9" s="300" customFormat="1" ht="13.8" customHeight="1" x14ac:dyDescent="0.3">
      <c r="A117" s="72"/>
      <c r="B117" s="313" t="s">
        <v>332</v>
      </c>
      <c r="C117" s="157"/>
      <c r="D117" s="157"/>
      <c r="E117" s="157" t="s">
        <v>333</v>
      </c>
      <c r="F117" s="157"/>
      <c r="G117" s="302">
        <f>G116*2%</f>
        <v>5.98</v>
      </c>
      <c r="H117" s="322">
        <f>G117</f>
        <v>5.98</v>
      </c>
      <c r="I117" s="157"/>
    </row>
    <row r="118" spans="1:9" s="297" customFormat="1" ht="13.8" customHeight="1" x14ac:dyDescent="0.3">
      <c r="A118" s="72">
        <v>2</v>
      </c>
      <c r="B118" s="316" t="s">
        <v>334</v>
      </c>
      <c r="C118" s="72"/>
      <c r="D118" s="72"/>
      <c r="E118" s="72"/>
      <c r="F118" s="72"/>
      <c r="G118" s="303"/>
      <c r="H118" s="323">
        <f>SUM(H116:H117)</f>
        <v>304.95999999999998</v>
      </c>
      <c r="I118" s="72"/>
    </row>
    <row r="119" spans="1:9" s="300" customFormat="1" ht="13.8" customHeight="1" x14ac:dyDescent="0.3">
      <c r="A119" s="72"/>
      <c r="B119" s="317"/>
      <c r="C119" s="157"/>
      <c r="D119" s="157"/>
      <c r="E119" s="157"/>
      <c r="F119" s="157"/>
      <c r="G119" s="302"/>
      <c r="H119" s="322"/>
      <c r="I119" s="157"/>
    </row>
    <row r="120" spans="1:9" s="297" customFormat="1" ht="13.8" customHeight="1" x14ac:dyDescent="0.3">
      <c r="A120" s="72">
        <v>3</v>
      </c>
      <c r="B120" s="316" t="s">
        <v>334</v>
      </c>
      <c r="C120" s="72"/>
      <c r="D120" s="72"/>
      <c r="E120" s="72"/>
      <c r="F120" s="72"/>
      <c r="G120" s="303"/>
      <c r="H120" s="323">
        <f>SUM(H118:H119)</f>
        <v>304.95999999999998</v>
      </c>
      <c r="I120" s="72" t="s">
        <v>335</v>
      </c>
    </row>
    <row r="121" spans="1:9" s="300" customFormat="1" ht="13.8" customHeight="1" x14ac:dyDescent="0.3">
      <c r="A121" s="72"/>
      <c r="B121" s="317" t="s">
        <v>336</v>
      </c>
      <c r="C121" s="318">
        <v>0.15</v>
      </c>
      <c r="D121" s="157" t="s">
        <v>337</v>
      </c>
      <c r="E121" s="157"/>
      <c r="F121" s="157"/>
      <c r="G121" s="302"/>
      <c r="H121" s="322">
        <f>H120*C121</f>
        <v>45.74</v>
      </c>
      <c r="I121" s="157"/>
    </row>
    <row r="122" spans="1:9" s="297" customFormat="1" ht="13.8" customHeight="1" x14ac:dyDescent="0.3">
      <c r="A122" s="72">
        <v>4</v>
      </c>
      <c r="B122" s="316" t="s">
        <v>334</v>
      </c>
      <c r="C122" s="72"/>
      <c r="D122" s="72"/>
      <c r="E122" s="72"/>
      <c r="F122" s="72"/>
      <c r="G122" s="303"/>
      <c r="H122" s="323">
        <f>SUM(H120:H121)</f>
        <v>350.7</v>
      </c>
      <c r="I122" s="72" t="s">
        <v>338</v>
      </c>
    </row>
    <row r="123" spans="1:9" s="300" customFormat="1" ht="13.8" customHeight="1" x14ac:dyDescent="0.3">
      <c r="A123" s="72"/>
      <c r="B123" s="317" t="s">
        <v>339</v>
      </c>
      <c r="C123" s="318">
        <v>0.01</v>
      </c>
      <c r="D123" s="157" t="s">
        <v>340</v>
      </c>
      <c r="E123" s="157"/>
      <c r="F123" s="157"/>
      <c r="G123" s="302"/>
      <c r="H123" s="322">
        <f>H122*C123</f>
        <v>3.51</v>
      </c>
      <c r="I123" s="157"/>
    </row>
    <row r="124" spans="1:9" s="300" customFormat="1" ht="13.8" customHeight="1" x14ac:dyDescent="0.3">
      <c r="A124" s="72"/>
      <c r="B124" s="313"/>
      <c r="C124" s="157"/>
      <c r="D124" s="157"/>
      <c r="E124" s="157"/>
      <c r="F124" s="157"/>
      <c r="G124" s="302"/>
      <c r="H124" s="322"/>
      <c r="I124" s="157"/>
    </row>
    <row r="125" spans="1:9" s="297" customFormat="1" ht="13.8" customHeight="1" x14ac:dyDescent="0.3">
      <c r="A125" s="72">
        <v>5</v>
      </c>
      <c r="B125" s="316" t="s">
        <v>341</v>
      </c>
      <c r="C125" s="72">
        <v>1</v>
      </c>
      <c r="D125" s="72"/>
      <c r="E125" s="72" t="s">
        <v>342</v>
      </c>
      <c r="F125" s="72"/>
      <c r="G125" s="303"/>
      <c r="H125" s="323">
        <f>SUM(H122:H124)</f>
        <v>354.21</v>
      </c>
      <c r="I125" s="72"/>
    </row>
  </sheetData>
  <mergeCells count="2">
    <mergeCell ref="A1:I2"/>
    <mergeCell ref="A3:I3"/>
  </mergeCells>
  <pageMargins left="0.34" right="0.13" top="0.28000000000000003" bottom="0.2" header="0.3" footer="0.3"/>
  <pageSetup paperSize="9" orientation="portrait" horizontalDpi="4294967294"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J15"/>
  <sheetViews>
    <sheetView workbookViewId="0">
      <selection activeCell="N14" sqref="N14"/>
    </sheetView>
  </sheetViews>
  <sheetFormatPr defaultRowHeight="13.2" x14ac:dyDescent="0.25"/>
  <cols>
    <col min="1" max="4" width="8.88671875" style="4" customWidth="1"/>
    <col min="5" max="16384" width="8.88671875" style="4"/>
  </cols>
  <sheetData>
    <row r="2" spans="1:10" ht="22.8" customHeight="1" x14ac:dyDescent="0.4">
      <c r="A2" s="582" t="s">
        <v>347</v>
      </c>
      <c r="B2" s="470"/>
      <c r="C2" s="470"/>
      <c r="D2" s="470"/>
      <c r="E2" s="470"/>
      <c r="F2" s="470"/>
      <c r="G2" s="470"/>
      <c r="H2" s="470"/>
      <c r="I2" s="470"/>
      <c r="J2" s="470"/>
    </row>
    <row r="8" spans="1:10" x14ac:dyDescent="0.25">
      <c r="A8" s="590" t="s">
        <v>293</v>
      </c>
      <c r="B8" s="584"/>
      <c r="C8" s="590" t="s">
        <v>220</v>
      </c>
      <c r="D8" s="577"/>
      <c r="E8" s="577"/>
      <c r="F8" s="577"/>
      <c r="G8" s="584"/>
      <c r="H8" s="590" t="s">
        <v>237</v>
      </c>
      <c r="I8" s="577"/>
      <c r="J8" s="584"/>
    </row>
    <row r="9" spans="1:10" x14ac:dyDescent="0.25">
      <c r="A9" s="587"/>
      <c r="B9" s="589"/>
      <c r="C9" s="587"/>
      <c r="D9" s="588"/>
      <c r="E9" s="588"/>
      <c r="F9" s="588"/>
      <c r="G9" s="589"/>
      <c r="H9" s="587"/>
      <c r="I9" s="588"/>
      <c r="J9" s="589"/>
    </row>
    <row r="10" spans="1:10" x14ac:dyDescent="0.25">
      <c r="A10" s="590">
        <v>1</v>
      </c>
      <c r="B10" s="584"/>
      <c r="C10" s="590" t="str">
        <f>Report!D3</f>
        <v>Repairing and Renovation of Circuit House at Bokakhat Co District under Golaghat District</v>
      </c>
      <c r="D10" s="577"/>
      <c r="E10" s="577"/>
      <c r="F10" s="577"/>
      <c r="G10" s="584"/>
      <c r="H10" s="583" t="str">
        <f>"Rs. " &amp; TEXT(Report!D7,"##,##0.00")  &amp; Report!D8</f>
        <v>Rs. 46,23,500.00(Rupees forty eight lakh twenty three thousand five hundred ) only.</v>
      </c>
      <c r="I10" s="577"/>
      <c r="J10" s="584"/>
    </row>
    <row r="11" spans="1:10" x14ac:dyDescent="0.25">
      <c r="A11" s="585"/>
      <c r="B11" s="586"/>
      <c r="C11" s="585"/>
      <c r="D11" s="470"/>
      <c r="E11" s="470"/>
      <c r="F11" s="470"/>
      <c r="G11" s="586"/>
      <c r="H11" s="585"/>
      <c r="I11" s="470"/>
      <c r="J11" s="586"/>
    </row>
    <row r="12" spans="1:10" ht="60.6" customHeight="1" x14ac:dyDescent="0.25">
      <c r="A12" s="587"/>
      <c r="B12" s="589"/>
      <c r="C12" s="587"/>
      <c r="D12" s="588"/>
      <c r="E12" s="588"/>
      <c r="F12" s="588"/>
      <c r="G12" s="589"/>
      <c r="H12" s="587"/>
      <c r="I12" s="588"/>
      <c r="J12" s="589"/>
    </row>
    <row r="13" spans="1:10" ht="15.6" customHeight="1" x14ac:dyDescent="0.3">
      <c r="A13" s="230"/>
      <c r="B13" s="230"/>
      <c r="C13" s="230"/>
      <c r="D13" s="230"/>
      <c r="E13" s="230"/>
      <c r="F13" s="230"/>
      <c r="G13" s="230"/>
      <c r="H13" s="230"/>
      <c r="I13" s="230"/>
      <c r="J13" s="230"/>
    </row>
    <row r="14" spans="1:10" x14ac:dyDescent="0.25">
      <c r="A14" s="591" t="s">
        <v>348</v>
      </c>
      <c r="B14" s="470"/>
      <c r="C14" s="470"/>
      <c r="D14" s="470"/>
      <c r="E14" s="470"/>
      <c r="F14" s="470"/>
      <c r="G14" s="470"/>
      <c r="H14" s="470"/>
      <c r="I14" s="470"/>
      <c r="J14" s="470"/>
    </row>
    <row r="15" spans="1:10" ht="46.8" customHeight="1" x14ac:dyDescent="0.25">
      <c r="A15" s="470"/>
      <c r="B15" s="470"/>
      <c r="C15" s="470"/>
      <c r="D15" s="470"/>
      <c r="E15" s="470"/>
      <c r="F15" s="470"/>
      <c r="G15" s="470"/>
      <c r="H15" s="470"/>
      <c r="I15" s="470"/>
      <c r="J15" s="470"/>
    </row>
  </sheetData>
  <mergeCells count="8">
    <mergeCell ref="A14:J15"/>
    <mergeCell ref="C10:G12"/>
    <mergeCell ref="H8:J9"/>
    <mergeCell ref="A2:J2"/>
    <mergeCell ref="H10:J12"/>
    <mergeCell ref="C8:G9"/>
    <mergeCell ref="A8:B9"/>
    <mergeCell ref="A10:B12"/>
  </mergeCells>
  <pageMargins left="0.7" right="0.7" top="0.75" bottom="0.75" header="0.3" footer="0.3"/>
  <pageSetup paperSize="9" orientation="portrait" horizontalDpi="4294967293"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5"/>
  <sheetViews>
    <sheetView workbookViewId="0">
      <selection activeCell="K16" sqref="K16"/>
    </sheetView>
  </sheetViews>
  <sheetFormatPr defaultColWidth="9.109375" defaultRowHeight="13.8" x14ac:dyDescent="0.25"/>
  <cols>
    <col min="1" max="1" width="4.44140625" style="3" customWidth="1"/>
    <col min="2" max="2" width="12.44140625" style="3" customWidth="1"/>
    <col min="3" max="3" width="5.5546875" style="3" customWidth="1"/>
    <col min="4" max="4" width="13.109375" style="3" customWidth="1"/>
    <col min="5" max="5" width="12.44140625" style="3" customWidth="1"/>
    <col min="6" max="6" width="13.33203125" style="3" customWidth="1"/>
    <col min="7" max="7" width="5.44140625" style="3" customWidth="1"/>
    <col min="8" max="8" width="12.44140625" style="3" customWidth="1"/>
    <col min="9" max="9" width="11.5546875" style="3" customWidth="1"/>
    <col min="10" max="10" width="12.44140625" style="3" customWidth="1"/>
    <col min="11" max="11" width="4.21875" style="3" customWidth="1"/>
    <col min="12" max="12" width="13.21875" style="3" customWidth="1"/>
    <col min="13" max="13" width="13" style="3" customWidth="1"/>
    <col min="14" max="14" width="13.6640625" style="3" customWidth="1"/>
    <col min="15" max="15" width="11" style="3" customWidth="1"/>
    <col min="16" max="256" width="9.109375" style="3" customWidth="1"/>
    <col min="257" max="257" width="4.44140625" style="3" customWidth="1"/>
    <col min="258" max="258" width="18.44140625" style="3" customWidth="1"/>
    <col min="259" max="259" width="5.5546875" style="3" customWidth="1"/>
    <col min="260" max="260" width="13.109375" style="3" customWidth="1"/>
    <col min="261" max="261" width="12.44140625" style="3" customWidth="1"/>
    <col min="262" max="262" width="13.33203125" style="3" customWidth="1"/>
    <col min="263" max="263" width="5.44140625" style="3" customWidth="1"/>
    <col min="264" max="264" width="12.44140625" style="3" customWidth="1"/>
    <col min="265" max="265" width="11.5546875" style="3" customWidth="1"/>
    <col min="266" max="266" width="12.44140625" style="3" customWidth="1"/>
    <col min="267" max="267" width="6" style="3" customWidth="1"/>
    <col min="268" max="268" width="12.5546875" style="3" customWidth="1"/>
    <col min="269" max="270" width="11.88671875" style="3" customWidth="1"/>
    <col min="271" max="271" width="15" style="3" customWidth="1"/>
    <col min="272" max="512" width="9.109375" style="3" customWidth="1"/>
    <col min="513" max="513" width="4.44140625" style="3" customWidth="1"/>
    <col min="514" max="514" width="18.44140625" style="3" customWidth="1"/>
    <col min="515" max="515" width="5.5546875" style="3" customWidth="1"/>
    <col min="516" max="516" width="13.109375" style="3" customWidth="1"/>
    <col min="517" max="517" width="12.44140625" style="3" customWidth="1"/>
    <col min="518" max="518" width="13.33203125" style="3" customWidth="1"/>
    <col min="519" max="519" width="5.44140625" style="3" customWidth="1"/>
    <col min="520" max="520" width="12.44140625" style="3" customWidth="1"/>
    <col min="521" max="521" width="11.5546875" style="3" customWidth="1"/>
    <col min="522" max="522" width="12.44140625" style="3" customWidth="1"/>
    <col min="523" max="523" width="6" style="3" customWidth="1"/>
    <col min="524" max="524" width="12.5546875" style="3" customWidth="1"/>
    <col min="525" max="526" width="11.88671875" style="3" customWidth="1"/>
    <col min="527" max="527" width="15" style="3" customWidth="1"/>
    <col min="528" max="768" width="9.109375" style="3" customWidth="1"/>
    <col min="769" max="769" width="4.44140625" style="3" customWidth="1"/>
    <col min="770" max="770" width="18.44140625" style="3" customWidth="1"/>
    <col min="771" max="771" width="5.5546875" style="3" customWidth="1"/>
    <col min="772" max="772" width="13.109375" style="3" customWidth="1"/>
    <col min="773" max="773" width="12.44140625" style="3" customWidth="1"/>
    <col min="774" max="774" width="13.33203125" style="3" customWidth="1"/>
    <col min="775" max="775" width="5.44140625" style="3" customWidth="1"/>
    <col min="776" max="776" width="12.44140625" style="3" customWidth="1"/>
    <col min="777" max="777" width="11.5546875" style="3" customWidth="1"/>
    <col min="778" max="778" width="12.44140625" style="3" customWidth="1"/>
    <col min="779" max="779" width="6" style="3" customWidth="1"/>
    <col min="780" max="780" width="12.5546875" style="3" customWidth="1"/>
    <col min="781" max="782" width="11.88671875" style="3" customWidth="1"/>
    <col min="783" max="783" width="15" style="3" customWidth="1"/>
    <col min="784" max="1024" width="9.109375" style="3" customWidth="1"/>
    <col min="1025" max="1025" width="4.44140625" style="3" customWidth="1"/>
    <col min="1026" max="1026" width="18.44140625" style="3" customWidth="1"/>
    <col min="1027" max="1027" width="5.5546875" style="3" customWidth="1"/>
    <col min="1028" max="1028" width="13.109375" style="3" customWidth="1"/>
    <col min="1029" max="1029" width="12.44140625" style="3" customWidth="1"/>
    <col min="1030" max="1030" width="13.33203125" style="3" customWidth="1"/>
    <col min="1031" max="1031" width="5.44140625" style="3" customWidth="1"/>
    <col min="1032" max="1032" width="12.44140625" style="3" customWidth="1"/>
    <col min="1033" max="1033" width="11.5546875" style="3" customWidth="1"/>
    <col min="1034" max="1034" width="12.44140625" style="3" customWidth="1"/>
    <col min="1035" max="1035" width="6" style="3" customWidth="1"/>
    <col min="1036" max="1036" width="12.5546875" style="3" customWidth="1"/>
    <col min="1037" max="1038" width="11.88671875" style="3" customWidth="1"/>
    <col min="1039" max="1039" width="15" style="3" customWidth="1"/>
    <col min="1040" max="1280" width="9.109375" style="3" customWidth="1"/>
    <col min="1281" max="1281" width="4.44140625" style="3" customWidth="1"/>
    <col min="1282" max="1282" width="18.44140625" style="3" customWidth="1"/>
    <col min="1283" max="1283" width="5.5546875" style="3" customWidth="1"/>
    <col min="1284" max="1284" width="13.109375" style="3" customWidth="1"/>
    <col min="1285" max="1285" width="12.44140625" style="3" customWidth="1"/>
    <col min="1286" max="1286" width="13.33203125" style="3" customWidth="1"/>
    <col min="1287" max="1287" width="5.44140625" style="3" customWidth="1"/>
    <col min="1288" max="1288" width="12.44140625" style="3" customWidth="1"/>
    <col min="1289" max="1289" width="11.5546875" style="3" customWidth="1"/>
    <col min="1290" max="1290" width="12.44140625" style="3" customWidth="1"/>
    <col min="1291" max="1291" width="6" style="3" customWidth="1"/>
    <col min="1292" max="1292" width="12.5546875" style="3" customWidth="1"/>
    <col min="1293" max="1294" width="11.88671875" style="3" customWidth="1"/>
    <col min="1295" max="1295" width="15" style="3" customWidth="1"/>
    <col min="1296" max="1536" width="9.109375" style="3" customWidth="1"/>
    <col min="1537" max="1537" width="4.44140625" style="3" customWidth="1"/>
    <col min="1538" max="1538" width="18.44140625" style="3" customWidth="1"/>
    <col min="1539" max="1539" width="5.5546875" style="3" customWidth="1"/>
    <col min="1540" max="1540" width="13.109375" style="3" customWidth="1"/>
    <col min="1541" max="1541" width="12.44140625" style="3" customWidth="1"/>
    <col min="1542" max="1542" width="13.33203125" style="3" customWidth="1"/>
    <col min="1543" max="1543" width="5.44140625" style="3" customWidth="1"/>
    <col min="1544" max="1544" width="12.44140625" style="3" customWidth="1"/>
    <col min="1545" max="1545" width="11.5546875" style="3" customWidth="1"/>
    <col min="1546" max="1546" width="12.44140625" style="3" customWidth="1"/>
    <col min="1547" max="1547" width="6" style="3" customWidth="1"/>
    <col min="1548" max="1548" width="12.5546875" style="3" customWidth="1"/>
    <col min="1549" max="1550" width="11.88671875" style="3" customWidth="1"/>
    <col min="1551" max="1551" width="15" style="3" customWidth="1"/>
    <col min="1552" max="1792" width="9.109375" style="3" customWidth="1"/>
    <col min="1793" max="1793" width="4.44140625" style="3" customWidth="1"/>
    <col min="1794" max="1794" width="18.44140625" style="3" customWidth="1"/>
    <col min="1795" max="1795" width="5.5546875" style="3" customWidth="1"/>
    <col min="1796" max="1796" width="13.109375" style="3" customWidth="1"/>
    <col min="1797" max="1797" width="12.44140625" style="3" customWidth="1"/>
    <col min="1798" max="1798" width="13.33203125" style="3" customWidth="1"/>
    <col min="1799" max="1799" width="5.44140625" style="3" customWidth="1"/>
    <col min="1800" max="1800" width="12.44140625" style="3" customWidth="1"/>
    <col min="1801" max="1801" width="11.5546875" style="3" customWidth="1"/>
    <col min="1802" max="1802" width="12.44140625" style="3" customWidth="1"/>
    <col min="1803" max="1803" width="6" style="3" customWidth="1"/>
    <col min="1804" max="1804" width="12.5546875" style="3" customWidth="1"/>
    <col min="1805" max="1806" width="11.88671875" style="3" customWidth="1"/>
    <col min="1807" max="1807" width="15" style="3" customWidth="1"/>
    <col min="1808" max="2048" width="9.109375" style="3" customWidth="1"/>
    <col min="2049" max="2049" width="4.44140625" style="3" customWidth="1"/>
    <col min="2050" max="2050" width="18.44140625" style="3" customWidth="1"/>
    <col min="2051" max="2051" width="5.5546875" style="3" customWidth="1"/>
    <col min="2052" max="2052" width="13.109375" style="3" customWidth="1"/>
    <col min="2053" max="2053" width="12.44140625" style="3" customWidth="1"/>
    <col min="2054" max="2054" width="13.33203125" style="3" customWidth="1"/>
    <col min="2055" max="2055" width="5.44140625" style="3" customWidth="1"/>
    <col min="2056" max="2056" width="12.44140625" style="3" customWidth="1"/>
    <col min="2057" max="2057" width="11.5546875" style="3" customWidth="1"/>
    <col min="2058" max="2058" width="12.44140625" style="3" customWidth="1"/>
    <col min="2059" max="2059" width="6" style="3" customWidth="1"/>
    <col min="2060" max="2060" width="12.5546875" style="3" customWidth="1"/>
    <col min="2061" max="2062" width="11.88671875" style="3" customWidth="1"/>
    <col min="2063" max="2063" width="15" style="3" customWidth="1"/>
    <col min="2064" max="2304" width="9.109375" style="3" customWidth="1"/>
    <col min="2305" max="2305" width="4.44140625" style="3" customWidth="1"/>
    <col min="2306" max="2306" width="18.44140625" style="3" customWidth="1"/>
    <col min="2307" max="2307" width="5.5546875" style="3" customWidth="1"/>
    <col min="2308" max="2308" width="13.109375" style="3" customWidth="1"/>
    <col min="2309" max="2309" width="12.44140625" style="3" customWidth="1"/>
    <col min="2310" max="2310" width="13.33203125" style="3" customWidth="1"/>
    <col min="2311" max="2311" width="5.44140625" style="3" customWidth="1"/>
    <col min="2312" max="2312" width="12.44140625" style="3" customWidth="1"/>
    <col min="2313" max="2313" width="11.5546875" style="3" customWidth="1"/>
    <col min="2314" max="2314" width="12.44140625" style="3" customWidth="1"/>
    <col min="2315" max="2315" width="6" style="3" customWidth="1"/>
    <col min="2316" max="2316" width="12.5546875" style="3" customWidth="1"/>
    <col min="2317" max="2318" width="11.88671875" style="3" customWidth="1"/>
    <col min="2319" max="2319" width="15" style="3" customWidth="1"/>
    <col min="2320" max="2560" width="9.109375" style="3" customWidth="1"/>
    <col min="2561" max="2561" width="4.44140625" style="3" customWidth="1"/>
    <col min="2562" max="2562" width="18.44140625" style="3" customWidth="1"/>
    <col min="2563" max="2563" width="5.5546875" style="3" customWidth="1"/>
    <col min="2564" max="2564" width="13.109375" style="3" customWidth="1"/>
    <col min="2565" max="2565" width="12.44140625" style="3" customWidth="1"/>
    <col min="2566" max="2566" width="13.33203125" style="3" customWidth="1"/>
    <col min="2567" max="2567" width="5.44140625" style="3" customWidth="1"/>
    <col min="2568" max="2568" width="12.44140625" style="3" customWidth="1"/>
    <col min="2569" max="2569" width="11.5546875" style="3" customWidth="1"/>
    <col min="2570" max="2570" width="12.44140625" style="3" customWidth="1"/>
    <col min="2571" max="2571" width="6" style="3" customWidth="1"/>
    <col min="2572" max="2572" width="12.5546875" style="3" customWidth="1"/>
    <col min="2573" max="2574" width="11.88671875" style="3" customWidth="1"/>
    <col min="2575" max="2575" width="15" style="3" customWidth="1"/>
    <col min="2576" max="2816" width="9.109375" style="3" customWidth="1"/>
    <col min="2817" max="2817" width="4.44140625" style="3" customWidth="1"/>
    <col min="2818" max="2818" width="18.44140625" style="3" customWidth="1"/>
    <col min="2819" max="2819" width="5.5546875" style="3" customWidth="1"/>
    <col min="2820" max="2820" width="13.109375" style="3" customWidth="1"/>
    <col min="2821" max="2821" width="12.44140625" style="3" customWidth="1"/>
    <col min="2822" max="2822" width="13.33203125" style="3" customWidth="1"/>
    <col min="2823" max="2823" width="5.44140625" style="3" customWidth="1"/>
    <col min="2824" max="2824" width="12.44140625" style="3" customWidth="1"/>
    <col min="2825" max="2825" width="11.5546875" style="3" customWidth="1"/>
    <col min="2826" max="2826" width="12.44140625" style="3" customWidth="1"/>
    <col min="2827" max="2827" width="6" style="3" customWidth="1"/>
    <col min="2828" max="2828" width="12.5546875" style="3" customWidth="1"/>
    <col min="2829" max="2830" width="11.88671875" style="3" customWidth="1"/>
    <col min="2831" max="2831" width="15" style="3" customWidth="1"/>
    <col min="2832" max="3072" width="9.109375" style="3" customWidth="1"/>
    <col min="3073" max="3073" width="4.44140625" style="3" customWidth="1"/>
    <col min="3074" max="3074" width="18.44140625" style="3" customWidth="1"/>
    <col min="3075" max="3075" width="5.5546875" style="3" customWidth="1"/>
    <col min="3076" max="3076" width="13.109375" style="3" customWidth="1"/>
    <col min="3077" max="3077" width="12.44140625" style="3" customWidth="1"/>
    <col min="3078" max="3078" width="13.33203125" style="3" customWidth="1"/>
    <col min="3079" max="3079" width="5.44140625" style="3" customWidth="1"/>
    <col min="3080" max="3080" width="12.44140625" style="3" customWidth="1"/>
    <col min="3081" max="3081" width="11.5546875" style="3" customWidth="1"/>
    <col min="3082" max="3082" width="12.44140625" style="3" customWidth="1"/>
    <col min="3083" max="3083" width="6" style="3" customWidth="1"/>
    <col min="3084" max="3084" width="12.5546875" style="3" customWidth="1"/>
    <col min="3085" max="3086" width="11.88671875" style="3" customWidth="1"/>
    <col min="3087" max="3087" width="15" style="3" customWidth="1"/>
    <col min="3088" max="3328" width="9.109375" style="3" customWidth="1"/>
    <col min="3329" max="3329" width="4.44140625" style="3" customWidth="1"/>
    <col min="3330" max="3330" width="18.44140625" style="3" customWidth="1"/>
    <col min="3331" max="3331" width="5.5546875" style="3" customWidth="1"/>
    <col min="3332" max="3332" width="13.109375" style="3" customWidth="1"/>
    <col min="3333" max="3333" width="12.44140625" style="3" customWidth="1"/>
    <col min="3334" max="3334" width="13.33203125" style="3" customWidth="1"/>
    <col min="3335" max="3335" width="5.44140625" style="3" customWidth="1"/>
    <col min="3336" max="3336" width="12.44140625" style="3" customWidth="1"/>
    <col min="3337" max="3337" width="11.5546875" style="3" customWidth="1"/>
    <col min="3338" max="3338" width="12.44140625" style="3" customWidth="1"/>
    <col min="3339" max="3339" width="6" style="3" customWidth="1"/>
    <col min="3340" max="3340" width="12.5546875" style="3" customWidth="1"/>
    <col min="3341" max="3342" width="11.88671875" style="3" customWidth="1"/>
    <col min="3343" max="3343" width="15" style="3" customWidth="1"/>
    <col min="3344" max="3584" width="9.109375" style="3" customWidth="1"/>
    <col min="3585" max="3585" width="4.44140625" style="3" customWidth="1"/>
    <col min="3586" max="3586" width="18.44140625" style="3" customWidth="1"/>
    <col min="3587" max="3587" width="5.5546875" style="3" customWidth="1"/>
    <col min="3588" max="3588" width="13.109375" style="3" customWidth="1"/>
    <col min="3589" max="3589" width="12.44140625" style="3" customWidth="1"/>
    <col min="3590" max="3590" width="13.33203125" style="3" customWidth="1"/>
    <col min="3591" max="3591" width="5.44140625" style="3" customWidth="1"/>
    <col min="3592" max="3592" width="12.44140625" style="3" customWidth="1"/>
    <col min="3593" max="3593" width="11.5546875" style="3" customWidth="1"/>
    <col min="3594" max="3594" width="12.44140625" style="3" customWidth="1"/>
    <col min="3595" max="3595" width="6" style="3" customWidth="1"/>
    <col min="3596" max="3596" width="12.5546875" style="3" customWidth="1"/>
    <col min="3597" max="3598" width="11.88671875" style="3" customWidth="1"/>
    <col min="3599" max="3599" width="15" style="3" customWidth="1"/>
    <col min="3600" max="3840" width="9.109375" style="3" customWidth="1"/>
    <col min="3841" max="3841" width="4.44140625" style="3" customWidth="1"/>
    <col min="3842" max="3842" width="18.44140625" style="3" customWidth="1"/>
    <col min="3843" max="3843" width="5.5546875" style="3" customWidth="1"/>
    <col min="3844" max="3844" width="13.109375" style="3" customWidth="1"/>
    <col min="3845" max="3845" width="12.44140625" style="3" customWidth="1"/>
    <col min="3846" max="3846" width="13.33203125" style="3" customWidth="1"/>
    <col min="3847" max="3847" width="5.44140625" style="3" customWidth="1"/>
    <col min="3848" max="3848" width="12.44140625" style="3" customWidth="1"/>
    <col min="3849" max="3849" width="11.5546875" style="3" customWidth="1"/>
    <col min="3850" max="3850" width="12.44140625" style="3" customWidth="1"/>
    <col min="3851" max="3851" width="6" style="3" customWidth="1"/>
    <col min="3852" max="3852" width="12.5546875" style="3" customWidth="1"/>
    <col min="3853" max="3854" width="11.88671875" style="3" customWidth="1"/>
    <col min="3855" max="3855" width="15" style="3" customWidth="1"/>
    <col min="3856" max="4096" width="9.109375" style="3" customWidth="1"/>
    <col min="4097" max="4097" width="4.44140625" style="3" customWidth="1"/>
    <col min="4098" max="4098" width="18.44140625" style="3" customWidth="1"/>
    <col min="4099" max="4099" width="5.5546875" style="3" customWidth="1"/>
    <col min="4100" max="4100" width="13.109375" style="3" customWidth="1"/>
    <col min="4101" max="4101" width="12.44140625" style="3" customWidth="1"/>
    <col min="4102" max="4102" width="13.33203125" style="3" customWidth="1"/>
    <col min="4103" max="4103" width="5.44140625" style="3" customWidth="1"/>
    <col min="4104" max="4104" width="12.44140625" style="3" customWidth="1"/>
    <col min="4105" max="4105" width="11.5546875" style="3" customWidth="1"/>
    <col min="4106" max="4106" width="12.44140625" style="3" customWidth="1"/>
    <col min="4107" max="4107" width="6" style="3" customWidth="1"/>
    <col min="4108" max="4108" width="12.5546875" style="3" customWidth="1"/>
    <col min="4109" max="4110" width="11.88671875" style="3" customWidth="1"/>
    <col min="4111" max="4111" width="15" style="3" customWidth="1"/>
    <col min="4112" max="4352" width="9.109375" style="3" customWidth="1"/>
    <col min="4353" max="4353" width="4.44140625" style="3" customWidth="1"/>
    <col min="4354" max="4354" width="18.44140625" style="3" customWidth="1"/>
    <col min="4355" max="4355" width="5.5546875" style="3" customWidth="1"/>
    <col min="4356" max="4356" width="13.109375" style="3" customWidth="1"/>
    <col min="4357" max="4357" width="12.44140625" style="3" customWidth="1"/>
    <col min="4358" max="4358" width="13.33203125" style="3" customWidth="1"/>
    <col min="4359" max="4359" width="5.44140625" style="3" customWidth="1"/>
    <col min="4360" max="4360" width="12.44140625" style="3" customWidth="1"/>
    <col min="4361" max="4361" width="11.5546875" style="3" customWidth="1"/>
    <col min="4362" max="4362" width="12.44140625" style="3" customWidth="1"/>
    <col min="4363" max="4363" width="6" style="3" customWidth="1"/>
    <col min="4364" max="4364" width="12.5546875" style="3" customWidth="1"/>
    <col min="4365" max="4366" width="11.88671875" style="3" customWidth="1"/>
    <col min="4367" max="4367" width="15" style="3" customWidth="1"/>
    <col min="4368" max="4608" width="9.109375" style="3" customWidth="1"/>
    <col min="4609" max="4609" width="4.44140625" style="3" customWidth="1"/>
    <col min="4610" max="4610" width="18.44140625" style="3" customWidth="1"/>
    <col min="4611" max="4611" width="5.5546875" style="3" customWidth="1"/>
    <col min="4612" max="4612" width="13.109375" style="3" customWidth="1"/>
    <col min="4613" max="4613" width="12.44140625" style="3" customWidth="1"/>
    <col min="4614" max="4614" width="13.33203125" style="3" customWidth="1"/>
    <col min="4615" max="4615" width="5.44140625" style="3" customWidth="1"/>
    <col min="4616" max="4616" width="12.44140625" style="3" customWidth="1"/>
    <col min="4617" max="4617" width="11.5546875" style="3" customWidth="1"/>
    <col min="4618" max="4618" width="12.44140625" style="3" customWidth="1"/>
    <col min="4619" max="4619" width="6" style="3" customWidth="1"/>
    <col min="4620" max="4620" width="12.5546875" style="3" customWidth="1"/>
    <col min="4621" max="4622" width="11.88671875" style="3" customWidth="1"/>
    <col min="4623" max="4623" width="15" style="3" customWidth="1"/>
    <col min="4624" max="4864" width="9.109375" style="3" customWidth="1"/>
    <col min="4865" max="4865" width="4.44140625" style="3" customWidth="1"/>
    <col min="4866" max="4866" width="18.44140625" style="3" customWidth="1"/>
    <col min="4867" max="4867" width="5.5546875" style="3" customWidth="1"/>
    <col min="4868" max="4868" width="13.109375" style="3" customWidth="1"/>
    <col min="4869" max="4869" width="12.44140625" style="3" customWidth="1"/>
    <col min="4870" max="4870" width="13.33203125" style="3" customWidth="1"/>
    <col min="4871" max="4871" width="5.44140625" style="3" customWidth="1"/>
    <col min="4872" max="4872" width="12.44140625" style="3" customWidth="1"/>
    <col min="4873" max="4873" width="11.5546875" style="3" customWidth="1"/>
    <col min="4874" max="4874" width="12.44140625" style="3" customWidth="1"/>
    <col min="4875" max="4875" width="6" style="3" customWidth="1"/>
    <col min="4876" max="4876" width="12.5546875" style="3" customWidth="1"/>
    <col min="4877" max="4878" width="11.88671875" style="3" customWidth="1"/>
    <col min="4879" max="4879" width="15" style="3" customWidth="1"/>
    <col min="4880" max="5120" width="9.109375" style="3" customWidth="1"/>
    <col min="5121" max="5121" width="4.44140625" style="3" customWidth="1"/>
    <col min="5122" max="5122" width="18.44140625" style="3" customWidth="1"/>
    <col min="5123" max="5123" width="5.5546875" style="3" customWidth="1"/>
    <col min="5124" max="5124" width="13.109375" style="3" customWidth="1"/>
    <col min="5125" max="5125" width="12.44140625" style="3" customWidth="1"/>
    <col min="5126" max="5126" width="13.33203125" style="3" customWidth="1"/>
    <col min="5127" max="5127" width="5.44140625" style="3" customWidth="1"/>
    <col min="5128" max="5128" width="12.44140625" style="3" customWidth="1"/>
    <col min="5129" max="5129" width="11.5546875" style="3" customWidth="1"/>
    <col min="5130" max="5130" width="12.44140625" style="3" customWidth="1"/>
    <col min="5131" max="5131" width="6" style="3" customWidth="1"/>
    <col min="5132" max="5132" width="12.5546875" style="3" customWidth="1"/>
    <col min="5133" max="5134" width="11.88671875" style="3" customWidth="1"/>
    <col min="5135" max="5135" width="15" style="3" customWidth="1"/>
    <col min="5136" max="5376" width="9.109375" style="3" customWidth="1"/>
    <col min="5377" max="5377" width="4.44140625" style="3" customWidth="1"/>
    <col min="5378" max="5378" width="18.44140625" style="3" customWidth="1"/>
    <col min="5379" max="5379" width="5.5546875" style="3" customWidth="1"/>
    <col min="5380" max="5380" width="13.109375" style="3" customWidth="1"/>
    <col min="5381" max="5381" width="12.44140625" style="3" customWidth="1"/>
    <col min="5382" max="5382" width="13.33203125" style="3" customWidth="1"/>
    <col min="5383" max="5383" width="5.44140625" style="3" customWidth="1"/>
    <col min="5384" max="5384" width="12.44140625" style="3" customWidth="1"/>
    <col min="5385" max="5385" width="11.5546875" style="3" customWidth="1"/>
    <col min="5386" max="5386" width="12.44140625" style="3" customWidth="1"/>
    <col min="5387" max="5387" width="6" style="3" customWidth="1"/>
    <col min="5388" max="5388" width="12.5546875" style="3" customWidth="1"/>
    <col min="5389" max="5390" width="11.88671875" style="3" customWidth="1"/>
    <col min="5391" max="5391" width="15" style="3" customWidth="1"/>
    <col min="5392" max="5632" width="9.109375" style="3" customWidth="1"/>
    <col min="5633" max="5633" width="4.44140625" style="3" customWidth="1"/>
    <col min="5634" max="5634" width="18.44140625" style="3" customWidth="1"/>
    <col min="5635" max="5635" width="5.5546875" style="3" customWidth="1"/>
    <col min="5636" max="5636" width="13.109375" style="3" customWidth="1"/>
    <col min="5637" max="5637" width="12.44140625" style="3" customWidth="1"/>
    <col min="5638" max="5638" width="13.33203125" style="3" customWidth="1"/>
    <col min="5639" max="5639" width="5.44140625" style="3" customWidth="1"/>
    <col min="5640" max="5640" width="12.44140625" style="3" customWidth="1"/>
    <col min="5641" max="5641" width="11.5546875" style="3" customWidth="1"/>
    <col min="5642" max="5642" width="12.44140625" style="3" customWidth="1"/>
    <col min="5643" max="5643" width="6" style="3" customWidth="1"/>
    <col min="5644" max="5644" width="12.5546875" style="3" customWidth="1"/>
    <col min="5645" max="5646" width="11.88671875" style="3" customWidth="1"/>
    <col min="5647" max="5647" width="15" style="3" customWidth="1"/>
    <col min="5648" max="5888" width="9.109375" style="3" customWidth="1"/>
    <col min="5889" max="5889" width="4.44140625" style="3" customWidth="1"/>
    <col min="5890" max="5890" width="18.44140625" style="3" customWidth="1"/>
    <col min="5891" max="5891" width="5.5546875" style="3" customWidth="1"/>
    <col min="5892" max="5892" width="13.109375" style="3" customWidth="1"/>
    <col min="5893" max="5893" width="12.44140625" style="3" customWidth="1"/>
    <col min="5894" max="5894" width="13.33203125" style="3" customWidth="1"/>
    <col min="5895" max="5895" width="5.44140625" style="3" customWidth="1"/>
    <col min="5896" max="5896" width="12.44140625" style="3" customWidth="1"/>
    <col min="5897" max="5897" width="11.5546875" style="3" customWidth="1"/>
    <col min="5898" max="5898" width="12.44140625" style="3" customWidth="1"/>
    <col min="5899" max="5899" width="6" style="3" customWidth="1"/>
    <col min="5900" max="5900" width="12.5546875" style="3" customWidth="1"/>
    <col min="5901" max="5902" width="11.88671875" style="3" customWidth="1"/>
    <col min="5903" max="5903" width="15" style="3" customWidth="1"/>
    <col min="5904" max="6144" width="9.109375" style="3" customWidth="1"/>
    <col min="6145" max="6145" width="4.44140625" style="3" customWidth="1"/>
    <col min="6146" max="6146" width="18.44140625" style="3" customWidth="1"/>
    <col min="6147" max="6147" width="5.5546875" style="3" customWidth="1"/>
    <col min="6148" max="6148" width="13.109375" style="3" customWidth="1"/>
    <col min="6149" max="6149" width="12.44140625" style="3" customWidth="1"/>
    <col min="6150" max="6150" width="13.33203125" style="3" customWidth="1"/>
    <col min="6151" max="6151" width="5.44140625" style="3" customWidth="1"/>
    <col min="6152" max="6152" width="12.44140625" style="3" customWidth="1"/>
    <col min="6153" max="6153" width="11.5546875" style="3" customWidth="1"/>
    <col min="6154" max="6154" width="12.44140625" style="3" customWidth="1"/>
    <col min="6155" max="6155" width="6" style="3" customWidth="1"/>
    <col min="6156" max="6156" width="12.5546875" style="3" customWidth="1"/>
    <col min="6157" max="6158" width="11.88671875" style="3" customWidth="1"/>
    <col min="6159" max="6159" width="15" style="3" customWidth="1"/>
    <col min="6160" max="6400" width="9.109375" style="3" customWidth="1"/>
    <col min="6401" max="6401" width="4.44140625" style="3" customWidth="1"/>
    <col min="6402" max="6402" width="18.44140625" style="3" customWidth="1"/>
    <col min="6403" max="6403" width="5.5546875" style="3" customWidth="1"/>
    <col min="6404" max="6404" width="13.109375" style="3" customWidth="1"/>
    <col min="6405" max="6405" width="12.44140625" style="3" customWidth="1"/>
    <col min="6406" max="6406" width="13.33203125" style="3" customWidth="1"/>
    <col min="6407" max="6407" width="5.44140625" style="3" customWidth="1"/>
    <col min="6408" max="6408" width="12.44140625" style="3" customWidth="1"/>
    <col min="6409" max="6409" width="11.5546875" style="3" customWidth="1"/>
    <col min="6410" max="6410" width="12.44140625" style="3" customWidth="1"/>
    <col min="6411" max="6411" width="6" style="3" customWidth="1"/>
    <col min="6412" max="6412" width="12.5546875" style="3" customWidth="1"/>
    <col min="6413" max="6414" width="11.88671875" style="3" customWidth="1"/>
    <col min="6415" max="6415" width="15" style="3" customWidth="1"/>
    <col min="6416" max="6656" width="9.109375" style="3" customWidth="1"/>
    <col min="6657" max="6657" width="4.44140625" style="3" customWidth="1"/>
    <col min="6658" max="6658" width="18.44140625" style="3" customWidth="1"/>
    <col min="6659" max="6659" width="5.5546875" style="3" customWidth="1"/>
    <col min="6660" max="6660" width="13.109375" style="3" customWidth="1"/>
    <col min="6661" max="6661" width="12.44140625" style="3" customWidth="1"/>
    <col min="6662" max="6662" width="13.33203125" style="3" customWidth="1"/>
    <col min="6663" max="6663" width="5.44140625" style="3" customWidth="1"/>
    <col min="6664" max="6664" width="12.44140625" style="3" customWidth="1"/>
    <col min="6665" max="6665" width="11.5546875" style="3" customWidth="1"/>
    <col min="6666" max="6666" width="12.44140625" style="3" customWidth="1"/>
    <col min="6667" max="6667" width="6" style="3" customWidth="1"/>
    <col min="6668" max="6668" width="12.5546875" style="3" customWidth="1"/>
    <col min="6669" max="6670" width="11.88671875" style="3" customWidth="1"/>
    <col min="6671" max="6671" width="15" style="3" customWidth="1"/>
    <col min="6672" max="6912" width="9.109375" style="3" customWidth="1"/>
    <col min="6913" max="6913" width="4.44140625" style="3" customWidth="1"/>
    <col min="6914" max="6914" width="18.44140625" style="3" customWidth="1"/>
    <col min="6915" max="6915" width="5.5546875" style="3" customWidth="1"/>
    <col min="6916" max="6916" width="13.109375" style="3" customWidth="1"/>
    <col min="6917" max="6917" width="12.44140625" style="3" customWidth="1"/>
    <col min="6918" max="6918" width="13.33203125" style="3" customWidth="1"/>
    <col min="6919" max="6919" width="5.44140625" style="3" customWidth="1"/>
    <col min="6920" max="6920" width="12.44140625" style="3" customWidth="1"/>
    <col min="6921" max="6921" width="11.5546875" style="3" customWidth="1"/>
    <col min="6922" max="6922" width="12.44140625" style="3" customWidth="1"/>
    <col min="6923" max="6923" width="6" style="3" customWidth="1"/>
    <col min="6924" max="6924" width="12.5546875" style="3" customWidth="1"/>
    <col min="6925" max="6926" width="11.88671875" style="3" customWidth="1"/>
    <col min="6927" max="6927" width="15" style="3" customWidth="1"/>
    <col min="6928" max="7168" width="9.109375" style="3" customWidth="1"/>
    <col min="7169" max="7169" width="4.44140625" style="3" customWidth="1"/>
    <col min="7170" max="7170" width="18.44140625" style="3" customWidth="1"/>
    <col min="7171" max="7171" width="5.5546875" style="3" customWidth="1"/>
    <col min="7172" max="7172" width="13.109375" style="3" customWidth="1"/>
    <col min="7173" max="7173" width="12.44140625" style="3" customWidth="1"/>
    <col min="7174" max="7174" width="13.33203125" style="3" customWidth="1"/>
    <col min="7175" max="7175" width="5.44140625" style="3" customWidth="1"/>
    <col min="7176" max="7176" width="12.44140625" style="3" customWidth="1"/>
    <col min="7177" max="7177" width="11.5546875" style="3" customWidth="1"/>
    <col min="7178" max="7178" width="12.44140625" style="3" customWidth="1"/>
    <col min="7179" max="7179" width="6" style="3" customWidth="1"/>
    <col min="7180" max="7180" width="12.5546875" style="3" customWidth="1"/>
    <col min="7181" max="7182" width="11.88671875" style="3" customWidth="1"/>
    <col min="7183" max="7183" width="15" style="3" customWidth="1"/>
    <col min="7184" max="7424" width="9.109375" style="3" customWidth="1"/>
    <col min="7425" max="7425" width="4.44140625" style="3" customWidth="1"/>
    <col min="7426" max="7426" width="18.44140625" style="3" customWidth="1"/>
    <col min="7427" max="7427" width="5.5546875" style="3" customWidth="1"/>
    <col min="7428" max="7428" width="13.109375" style="3" customWidth="1"/>
    <col min="7429" max="7429" width="12.44140625" style="3" customWidth="1"/>
    <col min="7430" max="7430" width="13.33203125" style="3" customWidth="1"/>
    <col min="7431" max="7431" width="5.44140625" style="3" customWidth="1"/>
    <col min="7432" max="7432" width="12.44140625" style="3" customWidth="1"/>
    <col min="7433" max="7433" width="11.5546875" style="3" customWidth="1"/>
    <col min="7434" max="7434" width="12.44140625" style="3" customWidth="1"/>
    <col min="7435" max="7435" width="6" style="3" customWidth="1"/>
    <col min="7436" max="7436" width="12.5546875" style="3" customWidth="1"/>
    <col min="7437" max="7438" width="11.88671875" style="3" customWidth="1"/>
    <col min="7439" max="7439" width="15" style="3" customWidth="1"/>
    <col min="7440" max="7680" width="9.109375" style="3" customWidth="1"/>
    <col min="7681" max="7681" width="4.44140625" style="3" customWidth="1"/>
    <col min="7682" max="7682" width="18.44140625" style="3" customWidth="1"/>
    <col min="7683" max="7683" width="5.5546875" style="3" customWidth="1"/>
    <col min="7684" max="7684" width="13.109375" style="3" customWidth="1"/>
    <col min="7685" max="7685" width="12.44140625" style="3" customWidth="1"/>
    <col min="7686" max="7686" width="13.33203125" style="3" customWidth="1"/>
    <col min="7687" max="7687" width="5.44140625" style="3" customWidth="1"/>
    <col min="7688" max="7688" width="12.44140625" style="3" customWidth="1"/>
    <col min="7689" max="7689" width="11.5546875" style="3" customWidth="1"/>
    <col min="7690" max="7690" width="12.44140625" style="3" customWidth="1"/>
    <col min="7691" max="7691" width="6" style="3" customWidth="1"/>
    <col min="7692" max="7692" width="12.5546875" style="3" customWidth="1"/>
    <col min="7693" max="7694" width="11.88671875" style="3" customWidth="1"/>
    <col min="7695" max="7695" width="15" style="3" customWidth="1"/>
    <col min="7696" max="7936" width="9.109375" style="3" customWidth="1"/>
    <col min="7937" max="7937" width="4.44140625" style="3" customWidth="1"/>
    <col min="7938" max="7938" width="18.44140625" style="3" customWidth="1"/>
    <col min="7939" max="7939" width="5.5546875" style="3" customWidth="1"/>
    <col min="7940" max="7940" width="13.109375" style="3" customWidth="1"/>
    <col min="7941" max="7941" width="12.44140625" style="3" customWidth="1"/>
    <col min="7942" max="7942" width="13.33203125" style="3" customWidth="1"/>
    <col min="7943" max="7943" width="5.44140625" style="3" customWidth="1"/>
    <col min="7944" max="7944" width="12.44140625" style="3" customWidth="1"/>
    <col min="7945" max="7945" width="11.5546875" style="3" customWidth="1"/>
    <col min="7946" max="7946" width="12.44140625" style="3" customWidth="1"/>
    <col min="7947" max="7947" width="6" style="3" customWidth="1"/>
    <col min="7948" max="7948" width="12.5546875" style="3" customWidth="1"/>
    <col min="7949" max="7950" width="11.88671875" style="3" customWidth="1"/>
    <col min="7951" max="7951" width="15" style="3" customWidth="1"/>
    <col min="7952" max="8192" width="9.109375" style="3" customWidth="1"/>
    <col min="8193" max="8193" width="4.44140625" style="3" customWidth="1"/>
    <col min="8194" max="8194" width="18.44140625" style="3" customWidth="1"/>
    <col min="8195" max="8195" width="5.5546875" style="3" customWidth="1"/>
    <col min="8196" max="8196" width="13.109375" style="3" customWidth="1"/>
    <col min="8197" max="8197" width="12.44140625" style="3" customWidth="1"/>
    <col min="8198" max="8198" width="13.33203125" style="3" customWidth="1"/>
    <col min="8199" max="8199" width="5.44140625" style="3" customWidth="1"/>
    <col min="8200" max="8200" width="12.44140625" style="3" customWidth="1"/>
    <col min="8201" max="8201" width="11.5546875" style="3" customWidth="1"/>
    <col min="8202" max="8202" width="12.44140625" style="3" customWidth="1"/>
    <col min="8203" max="8203" width="6" style="3" customWidth="1"/>
    <col min="8204" max="8204" width="12.5546875" style="3" customWidth="1"/>
    <col min="8205" max="8206" width="11.88671875" style="3" customWidth="1"/>
    <col min="8207" max="8207" width="15" style="3" customWidth="1"/>
    <col min="8208" max="8448" width="9.109375" style="3" customWidth="1"/>
    <col min="8449" max="8449" width="4.44140625" style="3" customWidth="1"/>
    <col min="8450" max="8450" width="18.44140625" style="3" customWidth="1"/>
    <col min="8451" max="8451" width="5.5546875" style="3" customWidth="1"/>
    <col min="8452" max="8452" width="13.109375" style="3" customWidth="1"/>
    <col min="8453" max="8453" width="12.44140625" style="3" customWidth="1"/>
    <col min="8454" max="8454" width="13.33203125" style="3" customWidth="1"/>
    <col min="8455" max="8455" width="5.44140625" style="3" customWidth="1"/>
    <col min="8456" max="8456" width="12.44140625" style="3" customWidth="1"/>
    <col min="8457" max="8457" width="11.5546875" style="3" customWidth="1"/>
    <col min="8458" max="8458" width="12.44140625" style="3" customWidth="1"/>
    <col min="8459" max="8459" width="6" style="3" customWidth="1"/>
    <col min="8460" max="8460" width="12.5546875" style="3" customWidth="1"/>
    <col min="8461" max="8462" width="11.88671875" style="3" customWidth="1"/>
    <col min="8463" max="8463" width="15" style="3" customWidth="1"/>
    <col min="8464" max="8704" width="9.109375" style="3" customWidth="1"/>
    <col min="8705" max="8705" width="4.44140625" style="3" customWidth="1"/>
    <col min="8706" max="8706" width="18.44140625" style="3" customWidth="1"/>
    <col min="8707" max="8707" width="5.5546875" style="3" customWidth="1"/>
    <col min="8708" max="8708" width="13.109375" style="3" customWidth="1"/>
    <col min="8709" max="8709" width="12.44140625" style="3" customWidth="1"/>
    <col min="8710" max="8710" width="13.33203125" style="3" customWidth="1"/>
    <col min="8711" max="8711" width="5.44140625" style="3" customWidth="1"/>
    <col min="8712" max="8712" width="12.44140625" style="3" customWidth="1"/>
    <col min="8713" max="8713" width="11.5546875" style="3" customWidth="1"/>
    <col min="8714" max="8714" width="12.44140625" style="3" customWidth="1"/>
    <col min="8715" max="8715" width="6" style="3" customWidth="1"/>
    <col min="8716" max="8716" width="12.5546875" style="3" customWidth="1"/>
    <col min="8717" max="8718" width="11.88671875" style="3" customWidth="1"/>
    <col min="8719" max="8719" width="15" style="3" customWidth="1"/>
    <col min="8720" max="8960" width="9.109375" style="3" customWidth="1"/>
    <col min="8961" max="8961" width="4.44140625" style="3" customWidth="1"/>
    <col min="8962" max="8962" width="18.44140625" style="3" customWidth="1"/>
    <col min="8963" max="8963" width="5.5546875" style="3" customWidth="1"/>
    <col min="8964" max="8964" width="13.109375" style="3" customWidth="1"/>
    <col min="8965" max="8965" width="12.44140625" style="3" customWidth="1"/>
    <col min="8966" max="8966" width="13.33203125" style="3" customWidth="1"/>
    <col min="8967" max="8967" width="5.44140625" style="3" customWidth="1"/>
    <col min="8968" max="8968" width="12.44140625" style="3" customWidth="1"/>
    <col min="8969" max="8969" width="11.5546875" style="3" customWidth="1"/>
    <col min="8970" max="8970" width="12.44140625" style="3" customWidth="1"/>
    <col min="8971" max="8971" width="6" style="3" customWidth="1"/>
    <col min="8972" max="8972" width="12.5546875" style="3" customWidth="1"/>
    <col min="8973" max="8974" width="11.88671875" style="3" customWidth="1"/>
    <col min="8975" max="8975" width="15" style="3" customWidth="1"/>
    <col min="8976" max="9216" width="9.109375" style="3" customWidth="1"/>
    <col min="9217" max="9217" width="4.44140625" style="3" customWidth="1"/>
    <col min="9218" max="9218" width="18.44140625" style="3" customWidth="1"/>
    <col min="9219" max="9219" width="5.5546875" style="3" customWidth="1"/>
    <col min="9220" max="9220" width="13.109375" style="3" customWidth="1"/>
    <col min="9221" max="9221" width="12.44140625" style="3" customWidth="1"/>
    <col min="9222" max="9222" width="13.33203125" style="3" customWidth="1"/>
    <col min="9223" max="9223" width="5.44140625" style="3" customWidth="1"/>
    <col min="9224" max="9224" width="12.44140625" style="3" customWidth="1"/>
    <col min="9225" max="9225" width="11.5546875" style="3" customWidth="1"/>
    <col min="9226" max="9226" width="12.44140625" style="3" customWidth="1"/>
    <col min="9227" max="9227" width="6" style="3" customWidth="1"/>
    <col min="9228" max="9228" width="12.5546875" style="3" customWidth="1"/>
    <col min="9229" max="9230" width="11.88671875" style="3" customWidth="1"/>
    <col min="9231" max="9231" width="15" style="3" customWidth="1"/>
    <col min="9232" max="9472" width="9.109375" style="3" customWidth="1"/>
    <col min="9473" max="9473" width="4.44140625" style="3" customWidth="1"/>
    <col min="9474" max="9474" width="18.44140625" style="3" customWidth="1"/>
    <col min="9475" max="9475" width="5.5546875" style="3" customWidth="1"/>
    <col min="9476" max="9476" width="13.109375" style="3" customWidth="1"/>
    <col min="9477" max="9477" width="12.44140625" style="3" customWidth="1"/>
    <col min="9478" max="9478" width="13.33203125" style="3" customWidth="1"/>
    <col min="9479" max="9479" width="5.44140625" style="3" customWidth="1"/>
    <col min="9480" max="9480" width="12.44140625" style="3" customWidth="1"/>
    <col min="9481" max="9481" width="11.5546875" style="3" customWidth="1"/>
    <col min="9482" max="9482" width="12.44140625" style="3" customWidth="1"/>
    <col min="9483" max="9483" width="6" style="3" customWidth="1"/>
    <col min="9484" max="9484" width="12.5546875" style="3" customWidth="1"/>
    <col min="9485" max="9486" width="11.88671875" style="3" customWidth="1"/>
    <col min="9487" max="9487" width="15" style="3" customWidth="1"/>
    <col min="9488" max="9728" width="9.109375" style="3" customWidth="1"/>
    <col min="9729" max="9729" width="4.44140625" style="3" customWidth="1"/>
    <col min="9730" max="9730" width="18.44140625" style="3" customWidth="1"/>
    <col min="9731" max="9731" width="5.5546875" style="3" customWidth="1"/>
    <col min="9732" max="9732" width="13.109375" style="3" customWidth="1"/>
    <col min="9733" max="9733" width="12.44140625" style="3" customWidth="1"/>
    <col min="9734" max="9734" width="13.33203125" style="3" customWidth="1"/>
    <col min="9735" max="9735" width="5.44140625" style="3" customWidth="1"/>
    <col min="9736" max="9736" width="12.44140625" style="3" customWidth="1"/>
    <col min="9737" max="9737" width="11.5546875" style="3" customWidth="1"/>
    <col min="9738" max="9738" width="12.44140625" style="3" customWidth="1"/>
    <col min="9739" max="9739" width="6" style="3" customWidth="1"/>
    <col min="9740" max="9740" width="12.5546875" style="3" customWidth="1"/>
    <col min="9741" max="9742" width="11.88671875" style="3" customWidth="1"/>
    <col min="9743" max="9743" width="15" style="3" customWidth="1"/>
    <col min="9744" max="9984" width="9.109375" style="3" customWidth="1"/>
    <col min="9985" max="9985" width="4.44140625" style="3" customWidth="1"/>
    <col min="9986" max="9986" width="18.44140625" style="3" customWidth="1"/>
    <col min="9987" max="9987" width="5.5546875" style="3" customWidth="1"/>
    <col min="9988" max="9988" width="13.109375" style="3" customWidth="1"/>
    <col min="9989" max="9989" width="12.44140625" style="3" customWidth="1"/>
    <col min="9990" max="9990" width="13.33203125" style="3" customWidth="1"/>
    <col min="9991" max="9991" width="5.44140625" style="3" customWidth="1"/>
    <col min="9992" max="9992" width="12.44140625" style="3" customWidth="1"/>
    <col min="9993" max="9993" width="11.5546875" style="3" customWidth="1"/>
    <col min="9994" max="9994" width="12.44140625" style="3" customWidth="1"/>
    <col min="9995" max="9995" width="6" style="3" customWidth="1"/>
    <col min="9996" max="9996" width="12.5546875" style="3" customWidth="1"/>
    <col min="9997" max="9998" width="11.88671875" style="3" customWidth="1"/>
    <col min="9999" max="9999" width="15" style="3" customWidth="1"/>
    <col min="10000" max="10240" width="9.109375" style="3" customWidth="1"/>
    <col min="10241" max="10241" width="4.44140625" style="3" customWidth="1"/>
    <col min="10242" max="10242" width="18.44140625" style="3" customWidth="1"/>
    <col min="10243" max="10243" width="5.5546875" style="3" customWidth="1"/>
    <col min="10244" max="10244" width="13.109375" style="3" customWidth="1"/>
    <col min="10245" max="10245" width="12.44140625" style="3" customWidth="1"/>
    <col min="10246" max="10246" width="13.33203125" style="3" customWidth="1"/>
    <col min="10247" max="10247" width="5.44140625" style="3" customWidth="1"/>
    <col min="10248" max="10248" width="12.44140625" style="3" customWidth="1"/>
    <col min="10249" max="10249" width="11.5546875" style="3" customWidth="1"/>
    <col min="10250" max="10250" width="12.44140625" style="3" customWidth="1"/>
    <col min="10251" max="10251" width="6" style="3" customWidth="1"/>
    <col min="10252" max="10252" width="12.5546875" style="3" customWidth="1"/>
    <col min="10253" max="10254" width="11.88671875" style="3" customWidth="1"/>
    <col min="10255" max="10255" width="15" style="3" customWidth="1"/>
    <col min="10256" max="10496" width="9.109375" style="3" customWidth="1"/>
    <col min="10497" max="10497" width="4.44140625" style="3" customWidth="1"/>
    <col min="10498" max="10498" width="18.44140625" style="3" customWidth="1"/>
    <col min="10499" max="10499" width="5.5546875" style="3" customWidth="1"/>
    <col min="10500" max="10500" width="13.109375" style="3" customWidth="1"/>
    <col min="10501" max="10501" width="12.44140625" style="3" customWidth="1"/>
    <col min="10502" max="10502" width="13.33203125" style="3" customWidth="1"/>
    <col min="10503" max="10503" width="5.44140625" style="3" customWidth="1"/>
    <col min="10504" max="10504" width="12.44140625" style="3" customWidth="1"/>
    <col min="10505" max="10505" width="11.5546875" style="3" customWidth="1"/>
    <col min="10506" max="10506" width="12.44140625" style="3" customWidth="1"/>
    <col min="10507" max="10507" width="6" style="3" customWidth="1"/>
    <col min="10508" max="10508" width="12.5546875" style="3" customWidth="1"/>
    <col min="10509" max="10510" width="11.88671875" style="3" customWidth="1"/>
    <col min="10511" max="10511" width="15" style="3" customWidth="1"/>
    <col min="10512" max="10752" width="9.109375" style="3" customWidth="1"/>
    <col min="10753" max="10753" width="4.44140625" style="3" customWidth="1"/>
    <col min="10754" max="10754" width="18.44140625" style="3" customWidth="1"/>
    <col min="10755" max="10755" width="5.5546875" style="3" customWidth="1"/>
    <col min="10756" max="10756" width="13.109375" style="3" customWidth="1"/>
    <col min="10757" max="10757" width="12.44140625" style="3" customWidth="1"/>
    <col min="10758" max="10758" width="13.33203125" style="3" customWidth="1"/>
    <col min="10759" max="10759" width="5.44140625" style="3" customWidth="1"/>
    <col min="10760" max="10760" width="12.44140625" style="3" customWidth="1"/>
    <col min="10761" max="10761" width="11.5546875" style="3" customWidth="1"/>
    <col min="10762" max="10762" width="12.44140625" style="3" customWidth="1"/>
    <col min="10763" max="10763" width="6" style="3" customWidth="1"/>
    <col min="10764" max="10764" width="12.5546875" style="3" customWidth="1"/>
    <col min="10765" max="10766" width="11.88671875" style="3" customWidth="1"/>
    <col min="10767" max="10767" width="15" style="3" customWidth="1"/>
    <col min="10768" max="11008" width="9.109375" style="3" customWidth="1"/>
    <col min="11009" max="11009" width="4.44140625" style="3" customWidth="1"/>
    <col min="11010" max="11010" width="18.44140625" style="3" customWidth="1"/>
    <col min="11011" max="11011" width="5.5546875" style="3" customWidth="1"/>
    <col min="11012" max="11012" width="13.109375" style="3" customWidth="1"/>
    <col min="11013" max="11013" width="12.44140625" style="3" customWidth="1"/>
    <col min="11014" max="11014" width="13.33203125" style="3" customWidth="1"/>
    <col min="11015" max="11015" width="5.44140625" style="3" customWidth="1"/>
    <col min="11016" max="11016" width="12.44140625" style="3" customWidth="1"/>
    <col min="11017" max="11017" width="11.5546875" style="3" customWidth="1"/>
    <col min="11018" max="11018" width="12.44140625" style="3" customWidth="1"/>
    <col min="11019" max="11019" width="6" style="3" customWidth="1"/>
    <col min="11020" max="11020" width="12.5546875" style="3" customWidth="1"/>
    <col min="11021" max="11022" width="11.88671875" style="3" customWidth="1"/>
    <col min="11023" max="11023" width="15" style="3" customWidth="1"/>
    <col min="11024" max="11264" width="9.109375" style="3" customWidth="1"/>
    <col min="11265" max="11265" width="4.44140625" style="3" customWidth="1"/>
    <col min="11266" max="11266" width="18.44140625" style="3" customWidth="1"/>
    <col min="11267" max="11267" width="5.5546875" style="3" customWidth="1"/>
    <col min="11268" max="11268" width="13.109375" style="3" customWidth="1"/>
    <col min="11269" max="11269" width="12.44140625" style="3" customWidth="1"/>
    <col min="11270" max="11270" width="13.33203125" style="3" customWidth="1"/>
    <col min="11271" max="11271" width="5.44140625" style="3" customWidth="1"/>
    <col min="11272" max="11272" width="12.44140625" style="3" customWidth="1"/>
    <col min="11273" max="11273" width="11.5546875" style="3" customWidth="1"/>
    <col min="11274" max="11274" width="12.44140625" style="3" customWidth="1"/>
    <col min="11275" max="11275" width="6" style="3" customWidth="1"/>
    <col min="11276" max="11276" width="12.5546875" style="3" customWidth="1"/>
    <col min="11277" max="11278" width="11.88671875" style="3" customWidth="1"/>
    <col min="11279" max="11279" width="15" style="3" customWidth="1"/>
    <col min="11280" max="11520" width="9.109375" style="3" customWidth="1"/>
    <col min="11521" max="11521" width="4.44140625" style="3" customWidth="1"/>
    <col min="11522" max="11522" width="18.44140625" style="3" customWidth="1"/>
    <col min="11523" max="11523" width="5.5546875" style="3" customWidth="1"/>
    <col min="11524" max="11524" width="13.109375" style="3" customWidth="1"/>
    <col min="11525" max="11525" width="12.44140625" style="3" customWidth="1"/>
    <col min="11526" max="11526" width="13.33203125" style="3" customWidth="1"/>
    <col min="11527" max="11527" width="5.44140625" style="3" customWidth="1"/>
    <col min="11528" max="11528" width="12.44140625" style="3" customWidth="1"/>
    <col min="11529" max="11529" width="11.5546875" style="3" customWidth="1"/>
    <col min="11530" max="11530" width="12.44140625" style="3" customWidth="1"/>
    <col min="11531" max="11531" width="6" style="3" customWidth="1"/>
    <col min="11532" max="11532" width="12.5546875" style="3" customWidth="1"/>
    <col min="11533" max="11534" width="11.88671875" style="3" customWidth="1"/>
    <col min="11535" max="11535" width="15" style="3" customWidth="1"/>
    <col min="11536" max="11776" width="9.109375" style="3" customWidth="1"/>
    <col min="11777" max="11777" width="4.44140625" style="3" customWidth="1"/>
    <col min="11778" max="11778" width="18.44140625" style="3" customWidth="1"/>
    <col min="11779" max="11779" width="5.5546875" style="3" customWidth="1"/>
    <col min="11780" max="11780" width="13.109375" style="3" customWidth="1"/>
    <col min="11781" max="11781" width="12.44140625" style="3" customWidth="1"/>
    <col min="11782" max="11782" width="13.33203125" style="3" customWidth="1"/>
    <col min="11783" max="11783" width="5.44140625" style="3" customWidth="1"/>
    <col min="11784" max="11784" width="12.44140625" style="3" customWidth="1"/>
    <col min="11785" max="11785" width="11.5546875" style="3" customWidth="1"/>
    <col min="11786" max="11786" width="12.44140625" style="3" customWidth="1"/>
    <col min="11787" max="11787" width="6" style="3" customWidth="1"/>
    <col min="11788" max="11788" width="12.5546875" style="3" customWidth="1"/>
    <col min="11789" max="11790" width="11.88671875" style="3" customWidth="1"/>
    <col min="11791" max="11791" width="15" style="3" customWidth="1"/>
    <col min="11792" max="12032" width="9.109375" style="3" customWidth="1"/>
    <col min="12033" max="12033" width="4.44140625" style="3" customWidth="1"/>
    <col min="12034" max="12034" width="18.44140625" style="3" customWidth="1"/>
    <col min="12035" max="12035" width="5.5546875" style="3" customWidth="1"/>
    <col min="12036" max="12036" width="13.109375" style="3" customWidth="1"/>
    <col min="12037" max="12037" width="12.44140625" style="3" customWidth="1"/>
    <col min="12038" max="12038" width="13.33203125" style="3" customWidth="1"/>
    <col min="12039" max="12039" width="5.44140625" style="3" customWidth="1"/>
    <col min="12040" max="12040" width="12.44140625" style="3" customWidth="1"/>
    <col min="12041" max="12041" width="11.5546875" style="3" customWidth="1"/>
    <col min="12042" max="12042" width="12.44140625" style="3" customWidth="1"/>
    <col min="12043" max="12043" width="6" style="3" customWidth="1"/>
    <col min="12044" max="12044" width="12.5546875" style="3" customWidth="1"/>
    <col min="12045" max="12046" width="11.88671875" style="3" customWidth="1"/>
    <col min="12047" max="12047" width="15" style="3" customWidth="1"/>
    <col min="12048" max="12288" width="9.109375" style="3" customWidth="1"/>
    <col min="12289" max="12289" width="4.44140625" style="3" customWidth="1"/>
    <col min="12290" max="12290" width="18.44140625" style="3" customWidth="1"/>
    <col min="12291" max="12291" width="5.5546875" style="3" customWidth="1"/>
    <col min="12292" max="12292" width="13.109375" style="3" customWidth="1"/>
    <col min="12293" max="12293" width="12.44140625" style="3" customWidth="1"/>
    <col min="12294" max="12294" width="13.33203125" style="3" customWidth="1"/>
    <col min="12295" max="12295" width="5.44140625" style="3" customWidth="1"/>
    <col min="12296" max="12296" width="12.44140625" style="3" customWidth="1"/>
    <col min="12297" max="12297" width="11.5546875" style="3" customWidth="1"/>
    <col min="12298" max="12298" width="12.44140625" style="3" customWidth="1"/>
    <col min="12299" max="12299" width="6" style="3" customWidth="1"/>
    <col min="12300" max="12300" width="12.5546875" style="3" customWidth="1"/>
    <col min="12301" max="12302" width="11.88671875" style="3" customWidth="1"/>
    <col min="12303" max="12303" width="15" style="3" customWidth="1"/>
    <col min="12304" max="12544" width="9.109375" style="3" customWidth="1"/>
    <col min="12545" max="12545" width="4.44140625" style="3" customWidth="1"/>
    <col min="12546" max="12546" width="18.44140625" style="3" customWidth="1"/>
    <col min="12547" max="12547" width="5.5546875" style="3" customWidth="1"/>
    <col min="12548" max="12548" width="13.109375" style="3" customWidth="1"/>
    <col min="12549" max="12549" width="12.44140625" style="3" customWidth="1"/>
    <col min="12550" max="12550" width="13.33203125" style="3" customWidth="1"/>
    <col min="12551" max="12551" width="5.44140625" style="3" customWidth="1"/>
    <col min="12552" max="12552" width="12.44140625" style="3" customWidth="1"/>
    <col min="12553" max="12553" width="11.5546875" style="3" customWidth="1"/>
    <col min="12554" max="12554" width="12.44140625" style="3" customWidth="1"/>
    <col min="12555" max="12555" width="6" style="3" customWidth="1"/>
    <col min="12556" max="12556" width="12.5546875" style="3" customWidth="1"/>
    <col min="12557" max="12558" width="11.88671875" style="3" customWidth="1"/>
    <col min="12559" max="12559" width="15" style="3" customWidth="1"/>
    <col min="12560" max="12800" width="9.109375" style="3" customWidth="1"/>
    <col min="12801" max="12801" width="4.44140625" style="3" customWidth="1"/>
    <col min="12802" max="12802" width="18.44140625" style="3" customWidth="1"/>
    <col min="12803" max="12803" width="5.5546875" style="3" customWidth="1"/>
    <col min="12804" max="12804" width="13.109375" style="3" customWidth="1"/>
    <col min="12805" max="12805" width="12.44140625" style="3" customWidth="1"/>
    <col min="12806" max="12806" width="13.33203125" style="3" customWidth="1"/>
    <col min="12807" max="12807" width="5.44140625" style="3" customWidth="1"/>
    <col min="12808" max="12808" width="12.44140625" style="3" customWidth="1"/>
    <col min="12809" max="12809" width="11.5546875" style="3" customWidth="1"/>
    <col min="12810" max="12810" width="12.44140625" style="3" customWidth="1"/>
    <col min="12811" max="12811" width="6" style="3" customWidth="1"/>
    <col min="12812" max="12812" width="12.5546875" style="3" customWidth="1"/>
    <col min="12813" max="12814" width="11.88671875" style="3" customWidth="1"/>
    <col min="12815" max="12815" width="15" style="3" customWidth="1"/>
    <col min="12816" max="13056" width="9.109375" style="3" customWidth="1"/>
    <col min="13057" max="13057" width="4.44140625" style="3" customWidth="1"/>
    <col min="13058" max="13058" width="18.44140625" style="3" customWidth="1"/>
    <col min="13059" max="13059" width="5.5546875" style="3" customWidth="1"/>
    <col min="13060" max="13060" width="13.109375" style="3" customWidth="1"/>
    <col min="13061" max="13061" width="12.44140625" style="3" customWidth="1"/>
    <col min="13062" max="13062" width="13.33203125" style="3" customWidth="1"/>
    <col min="13063" max="13063" width="5.44140625" style="3" customWidth="1"/>
    <col min="13064" max="13064" width="12.44140625" style="3" customWidth="1"/>
    <col min="13065" max="13065" width="11.5546875" style="3" customWidth="1"/>
    <col min="13066" max="13066" width="12.44140625" style="3" customWidth="1"/>
    <col min="13067" max="13067" width="6" style="3" customWidth="1"/>
    <col min="13068" max="13068" width="12.5546875" style="3" customWidth="1"/>
    <col min="13069" max="13070" width="11.88671875" style="3" customWidth="1"/>
    <col min="13071" max="13071" width="15" style="3" customWidth="1"/>
    <col min="13072" max="13312" width="9.109375" style="3" customWidth="1"/>
    <col min="13313" max="13313" width="4.44140625" style="3" customWidth="1"/>
    <col min="13314" max="13314" width="18.44140625" style="3" customWidth="1"/>
    <col min="13315" max="13315" width="5.5546875" style="3" customWidth="1"/>
    <col min="13316" max="13316" width="13.109375" style="3" customWidth="1"/>
    <col min="13317" max="13317" width="12.44140625" style="3" customWidth="1"/>
    <col min="13318" max="13318" width="13.33203125" style="3" customWidth="1"/>
    <col min="13319" max="13319" width="5.44140625" style="3" customWidth="1"/>
    <col min="13320" max="13320" width="12.44140625" style="3" customWidth="1"/>
    <col min="13321" max="13321" width="11.5546875" style="3" customWidth="1"/>
    <col min="13322" max="13322" width="12.44140625" style="3" customWidth="1"/>
    <col min="13323" max="13323" width="6" style="3" customWidth="1"/>
    <col min="13324" max="13324" width="12.5546875" style="3" customWidth="1"/>
    <col min="13325" max="13326" width="11.88671875" style="3" customWidth="1"/>
    <col min="13327" max="13327" width="15" style="3" customWidth="1"/>
    <col min="13328" max="13568" width="9.109375" style="3" customWidth="1"/>
    <col min="13569" max="13569" width="4.44140625" style="3" customWidth="1"/>
    <col min="13570" max="13570" width="18.44140625" style="3" customWidth="1"/>
    <col min="13571" max="13571" width="5.5546875" style="3" customWidth="1"/>
    <col min="13572" max="13572" width="13.109375" style="3" customWidth="1"/>
    <col min="13573" max="13573" width="12.44140625" style="3" customWidth="1"/>
    <col min="13574" max="13574" width="13.33203125" style="3" customWidth="1"/>
    <col min="13575" max="13575" width="5.44140625" style="3" customWidth="1"/>
    <col min="13576" max="13576" width="12.44140625" style="3" customWidth="1"/>
    <col min="13577" max="13577" width="11.5546875" style="3" customWidth="1"/>
    <col min="13578" max="13578" width="12.44140625" style="3" customWidth="1"/>
    <col min="13579" max="13579" width="6" style="3" customWidth="1"/>
    <col min="13580" max="13580" width="12.5546875" style="3" customWidth="1"/>
    <col min="13581" max="13582" width="11.88671875" style="3" customWidth="1"/>
    <col min="13583" max="13583" width="15" style="3" customWidth="1"/>
    <col min="13584" max="13824" width="9.109375" style="3" customWidth="1"/>
    <col min="13825" max="13825" width="4.44140625" style="3" customWidth="1"/>
    <col min="13826" max="13826" width="18.44140625" style="3" customWidth="1"/>
    <col min="13827" max="13827" width="5.5546875" style="3" customWidth="1"/>
    <col min="13828" max="13828" width="13.109375" style="3" customWidth="1"/>
    <col min="13829" max="13829" width="12.44140625" style="3" customWidth="1"/>
    <col min="13830" max="13830" width="13.33203125" style="3" customWidth="1"/>
    <col min="13831" max="13831" width="5.44140625" style="3" customWidth="1"/>
    <col min="13832" max="13832" width="12.44140625" style="3" customWidth="1"/>
    <col min="13833" max="13833" width="11.5546875" style="3" customWidth="1"/>
    <col min="13834" max="13834" width="12.44140625" style="3" customWidth="1"/>
    <col min="13835" max="13835" width="6" style="3" customWidth="1"/>
    <col min="13836" max="13836" width="12.5546875" style="3" customWidth="1"/>
    <col min="13837" max="13838" width="11.88671875" style="3" customWidth="1"/>
    <col min="13839" max="13839" width="15" style="3" customWidth="1"/>
    <col min="13840" max="14080" width="9.109375" style="3" customWidth="1"/>
    <col min="14081" max="14081" width="4.44140625" style="3" customWidth="1"/>
    <col min="14082" max="14082" width="18.44140625" style="3" customWidth="1"/>
    <col min="14083" max="14083" width="5.5546875" style="3" customWidth="1"/>
    <col min="14084" max="14084" width="13.109375" style="3" customWidth="1"/>
    <col min="14085" max="14085" width="12.44140625" style="3" customWidth="1"/>
    <col min="14086" max="14086" width="13.33203125" style="3" customWidth="1"/>
    <col min="14087" max="14087" width="5.44140625" style="3" customWidth="1"/>
    <col min="14088" max="14088" width="12.44140625" style="3" customWidth="1"/>
    <col min="14089" max="14089" width="11.5546875" style="3" customWidth="1"/>
    <col min="14090" max="14090" width="12.44140625" style="3" customWidth="1"/>
    <col min="14091" max="14091" width="6" style="3" customWidth="1"/>
    <col min="14092" max="14092" width="12.5546875" style="3" customWidth="1"/>
    <col min="14093" max="14094" width="11.88671875" style="3" customWidth="1"/>
    <col min="14095" max="14095" width="15" style="3" customWidth="1"/>
    <col min="14096" max="14336" width="9.109375" style="3" customWidth="1"/>
    <col min="14337" max="14337" width="4.44140625" style="3" customWidth="1"/>
    <col min="14338" max="14338" width="18.44140625" style="3" customWidth="1"/>
    <col min="14339" max="14339" width="5.5546875" style="3" customWidth="1"/>
    <col min="14340" max="14340" width="13.109375" style="3" customWidth="1"/>
    <col min="14341" max="14341" width="12.44140625" style="3" customWidth="1"/>
    <col min="14342" max="14342" width="13.33203125" style="3" customWidth="1"/>
    <col min="14343" max="14343" width="5.44140625" style="3" customWidth="1"/>
    <col min="14344" max="14344" width="12.44140625" style="3" customWidth="1"/>
    <col min="14345" max="14345" width="11.5546875" style="3" customWidth="1"/>
    <col min="14346" max="14346" width="12.44140625" style="3" customWidth="1"/>
    <col min="14347" max="14347" width="6" style="3" customWidth="1"/>
    <col min="14348" max="14348" width="12.5546875" style="3" customWidth="1"/>
    <col min="14349" max="14350" width="11.88671875" style="3" customWidth="1"/>
    <col min="14351" max="14351" width="15" style="3" customWidth="1"/>
    <col min="14352" max="14592" width="9.109375" style="3" customWidth="1"/>
    <col min="14593" max="14593" width="4.44140625" style="3" customWidth="1"/>
    <col min="14594" max="14594" width="18.44140625" style="3" customWidth="1"/>
    <col min="14595" max="14595" width="5.5546875" style="3" customWidth="1"/>
    <col min="14596" max="14596" width="13.109375" style="3" customWidth="1"/>
    <col min="14597" max="14597" width="12.44140625" style="3" customWidth="1"/>
    <col min="14598" max="14598" width="13.33203125" style="3" customWidth="1"/>
    <col min="14599" max="14599" width="5.44140625" style="3" customWidth="1"/>
    <col min="14600" max="14600" width="12.44140625" style="3" customWidth="1"/>
    <col min="14601" max="14601" width="11.5546875" style="3" customWidth="1"/>
    <col min="14602" max="14602" width="12.44140625" style="3" customWidth="1"/>
    <col min="14603" max="14603" width="6" style="3" customWidth="1"/>
    <col min="14604" max="14604" width="12.5546875" style="3" customWidth="1"/>
    <col min="14605" max="14606" width="11.88671875" style="3" customWidth="1"/>
    <col min="14607" max="14607" width="15" style="3" customWidth="1"/>
    <col min="14608" max="14848" width="9.109375" style="3" customWidth="1"/>
    <col min="14849" max="14849" width="4.44140625" style="3" customWidth="1"/>
    <col min="14850" max="14850" width="18.44140625" style="3" customWidth="1"/>
    <col min="14851" max="14851" width="5.5546875" style="3" customWidth="1"/>
    <col min="14852" max="14852" width="13.109375" style="3" customWidth="1"/>
    <col min="14853" max="14853" width="12.44140625" style="3" customWidth="1"/>
    <col min="14854" max="14854" width="13.33203125" style="3" customWidth="1"/>
    <col min="14855" max="14855" width="5.44140625" style="3" customWidth="1"/>
    <col min="14856" max="14856" width="12.44140625" style="3" customWidth="1"/>
    <col min="14857" max="14857" width="11.5546875" style="3" customWidth="1"/>
    <col min="14858" max="14858" width="12.44140625" style="3" customWidth="1"/>
    <col min="14859" max="14859" width="6" style="3" customWidth="1"/>
    <col min="14860" max="14860" width="12.5546875" style="3" customWidth="1"/>
    <col min="14861" max="14862" width="11.88671875" style="3" customWidth="1"/>
    <col min="14863" max="14863" width="15" style="3" customWidth="1"/>
    <col min="14864" max="15104" width="9.109375" style="3" customWidth="1"/>
    <col min="15105" max="15105" width="4.44140625" style="3" customWidth="1"/>
    <col min="15106" max="15106" width="18.44140625" style="3" customWidth="1"/>
    <col min="15107" max="15107" width="5.5546875" style="3" customWidth="1"/>
    <col min="15108" max="15108" width="13.109375" style="3" customWidth="1"/>
    <col min="15109" max="15109" width="12.44140625" style="3" customWidth="1"/>
    <col min="15110" max="15110" width="13.33203125" style="3" customWidth="1"/>
    <col min="15111" max="15111" width="5.44140625" style="3" customWidth="1"/>
    <col min="15112" max="15112" width="12.44140625" style="3" customWidth="1"/>
    <col min="15113" max="15113" width="11.5546875" style="3" customWidth="1"/>
    <col min="15114" max="15114" width="12.44140625" style="3" customWidth="1"/>
    <col min="15115" max="15115" width="6" style="3" customWidth="1"/>
    <col min="15116" max="15116" width="12.5546875" style="3" customWidth="1"/>
    <col min="15117" max="15118" width="11.88671875" style="3" customWidth="1"/>
    <col min="15119" max="15119" width="15" style="3" customWidth="1"/>
    <col min="15120" max="15360" width="9.109375" style="3" customWidth="1"/>
    <col min="15361" max="15361" width="4.44140625" style="3" customWidth="1"/>
    <col min="15362" max="15362" width="18.44140625" style="3" customWidth="1"/>
    <col min="15363" max="15363" width="5.5546875" style="3" customWidth="1"/>
    <col min="15364" max="15364" width="13.109375" style="3" customWidth="1"/>
    <col min="15365" max="15365" width="12.44140625" style="3" customWidth="1"/>
    <col min="15366" max="15366" width="13.33203125" style="3" customWidth="1"/>
    <col min="15367" max="15367" width="5.44140625" style="3" customWidth="1"/>
    <col min="15368" max="15368" width="12.44140625" style="3" customWidth="1"/>
    <col min="15369" max="15369" width="11.5546875" style="3" customWidth="1"/>
    <col min="15370" max="15370" width="12.44140625" style="3" customWidth="1"/>
    <col min="15371" max="15371" width="6" style="3" customWidth="1"/>
    <col min="15372" max="15372" width="12.5546875" style="3" customWidth="1"/>
    <col min="15373" max="15374" width="11.88671875" style="3" customWidth="1"/>
    <col min="15375" max="15375" width="15" style="3" customWidth="1"/>
    <col min="15376" max="15616" width="9.109375" style="3" customWidth="1"/>
    <col min="15617" max="15617" width="4.44140625" style="3" customWidth="1"/>
    <col min="15618" max="15618" width="18.44140625" style="3" customWidth="1"/>
    <col min="15619" max="15619" width="5.5546875" style="3" customWidth="1"/>
    <col min="15620" max="15620" width="13.109375" style="3" customWidth="1"/>
    <col min="15621" max="15621" width="12.44140625" style="3" customWidth="1"/>
    <col min="15622" max="15622" width="13.33203125" style="3" customWidth="1"/>
    <col min="15623" max="15623" width="5.44140625" style="3" customWidth="1"/>
    <col min="15624" max="15624" width="12.44140625" style="3" customWidth="1"/>
    <col min="15625" max="15625" width="11.5546875" style="3" customWidth="1"/>
    <col min="15626" max="15626" width="12.44140625" style="3" customWidth="1"/>
    <col min="15627" max="15627" width="6" style="3" customWidth="1"/>
    <col min="15628" max="15628" width="12.5546875" style="3" customWidth="1"/>
    <col min="15629" max="15630" width="11.88671875" style="3" customWidth="1"/>
    <col min="15631" max="15631" width="15" style="3" customWidth="1"/>
    <col min="15632" max="15872" width="9.109375" style="3" customWidth="1"/>
    <col min="15873" max="15873" width="4.44140625" style="3" customWidth="1"/>
    <col min="15874" max="15874" width="18.44140625" style="3" customWidth="1"/>
    <col min="15875" max="15875" width="5.5546875" style="3" customWidth="1"/>
    <col min="15876" max="15876" width="13.109375" style="3" customWidth="1"/>
    <col min="15877" max="15877" width="12.44140625" style="3" customWidth="1"/>
    <col min="15878" max="15878" width="13.33203125" style="3" customWidth="1"/>
    <col min="15879" max="15879" width="5.44140625" style="3" customWidth="1"/>
    <col min="15880" max="15880" width="12.44140625" style="3" customWidth="1"/>
    <col min="15881" max="15881" width="11.5546875" style="3" customWidth="1"/>
    <col min="15882" max="15882" width="12.44140625" style="3" customWidth="1"/>
    <col min="15883" max="15883" width="6" style="3" customWidth="1"/>
    <col min="15884" max="15884" width="12.5546875" style="3" customWidth="1"/>
    <col min="15885" max="15886" width="11.88671875" style="3" customWidth="1"/>
    <col min="15887" max="15887" width="15" style="3" customWidth="1"/>
    <col min="15888" max="16128" width="9.109375" style="3" customWidth="1"/>
    <col min="16129" max="16129" width="4.44140625" style="3" customWidth="1"/>
    <col min="16130" max="16130" width="18.44140625" style="3" customWidth="1"/>
    <col min="16131" max="16131" width="5.5546875" style="3" customWidth="1"/>
    <col min="16132" max="16132" width="13.109375" style="3" customWidth="1"/>
    <col min="16133" max="16133" width="12.44140625" style="3" customWidth="1"/>
    <col min="16134" max="16134" width="13.33203125" style="3" customWidth="1"/>
    <col min="16135" max="16135" width="5.44140625" style="3" customWidth="1"/>
    <col min="16136" max="16136" width="12.44140625" style="3" customWidth="1"/>
    <col min="16137" max="16137" width="11.5546875" style="3" customWidth="1"/>
    <col min="16138" max="16138" width="12.44140625" style="3" customWidth="1"/>
    <col min="16139" max="16139" width="6" style="3" customWidth="1"/>
    <col min="16140" max="16140" width="12.5546875" style="3" customWidth="1"/>
    <col min="16141" max="16142" width="11.88671875" style="3" customWidth="1"/>
    <col min="16143" max="16143" width="15" style="3" customWidth="1"/>
    <col min="16144" max="16384" width="9.109375" style="3" customWidth="1"/>
  </cols>
  <sheetData>
    <row r="1" spans="1:15" ht="17.399999999999999" customHeight="1" x14ac:dyDescent="0.25">
      <c r="A1" s="601" t="s">
        <v>349</v>
      </c>
      <c r="B1" s="557"/>
      <c r="C1" s="557"/>
      <c r="D1" s="557"/>
      <c r="E1" s="557"/>
      <c r="F1" s="557"/>
      <c r="G1" s="557"/>
      <c r="H1" s="557"/>
      <c r="I1" s="557"/>
      <c r="J1" s="557"/>
      <c r="K1" s="557"/>
      <c r="L1" s="557"/>
      <c r="M1" s="557"/>
      <c r="N1" s="557"/>
    </row>
    <row r="2" spans="1:15" x14ac:dyDescent="0.25">
      <c r="A2" s="595" t="str">
        <f>'AType Cottage'!A1</f>
        <v xml:space="preserve"> Name of Work :-   Repairing and Renovation of  Circuit House at Bokakhat Co District under Golaghat District</v>
      </c>
      <c r="B2" s="516"/>
      <c r="C2" s="516"/>
      <c r="D2" s="516"/>
      <c r="E2" s="516"/>
      <c r="F2" s="516"/>
      <c r="G2" s="516"/>
      <c r="H2" s="516"/>
      <c r="I2" s="516"/>
      <c r="J2" s="516"/>
      <c r="K2" s="516"/>
      <c r="L2" s="516"/>
      <c r="M2" s="516"/>
      <c r="N2" s="517"/>
      <c r="O2" s="258"/>
    </row>
    <row r="3" spans="1:15" x14ac:dyDescent="0.25">
      <c r="A3" s="602" t="s">
        <v>350</v>
      </c>
      <c r="B3" s="516"/>
      <c r="C3" s="598" t="s">
        <v>351</v>
      </c>
      <c r="D3" s="516"/>
      <c r="E3" s="516"/>
      <c r="F3" s="517"/>
      <c r="G3" s="598" t="s">
        <v>352</v>
      </c>
      <c r="H3" s="516"/>
      <c r="I3" s="516"/>
      <c r="J3" s="517"/>
      <c r="K3" s="598" t="s">
        <v>353</v>
      </c>
      <c r="L3" s="516"/>
      <c r="M3" s="516"/>
      <c r="N3" s="517"/>
      <c r="O3" s="593" t="s">
        <v>354</v>
      </c>
    </row>
    <row r="4" spans="1:15" x14ac:dyDescent="0.25">
      <c r="A4" s="597" t="s">
        <v>355</v>
      </c>
      <c r="B4" s="577"/>
      <c r="C4" s="594" t="s">
        <v>356</v>
      </c>
      <c r="D4" s="516"/>
      <c r="E4" s="516"/>
      <c r="F4" s="517"/>
      <c r="G4" s="594" t="s">
        <v>357</v>
      </c>
      <c r="H4" s="516"/>
      <c r="I4" s="516"/>
      <c r="J4" s="517"/>
      <c r="K4" s="594" t="s">
        <v>358</v>
      </c>
      <c r="L4" s="516"/>
      <c r="M4" s="516"/>
      <c r="N4" s="517"/>
      <c r="O4" s="543"/>
    </row>
    <row r="5" spans="1:15" ht="55.2" customHeight="1" x14ac:dyDescent="0.25">
      <c r="A5" s="260" t="s">
        <v>350</v>
      </c>
      <c r="B5" s="260" t="s">
        <v>359</v>
      </c>
      <c r="C5" s="261" t="s">
        <v>360</v>
      </c>
      <c r="D5" s="259" t="s">
        <v>361</v>
      </c>
      <c r="E5" s="259" t="s">
        <v>362</v>
      </c>
      <c r="F5" s="259" t="s">
        <v>363</v>
      </c>
      <c r="G5" s="261" t="s">
        <v>360</v>
      </c>
      <c r="H5" s="259" t="s">
        <v>361</v>
      </c>
      <c r="I5" s="259" t="s">
        <v>362</v>
      </c>
      <c r="J5" s="259" t="s">
        <v>363</v>
      </c>
      <c r="K5" s="261" t="s">
        <v>360</v>
      </c>
      <c r="L5" s="259" t="s">
        <v>361</v>
      </c>
      <c r="M5" s="259" t="s">
        <v>362</v>
      </c>
      <c r="N5" s="259" t="s">
        <v>363</v>
      </c>
      <c r="O5" s="544"/>
    </row>
    <row r="6" spans="1:15" x14ac:dyDescent="0.25">
      <c r="A6" s="262">
        <v>1</v>
      </c>
      <c r="B6" s="262" t="s">
        <v>364</v>
      </c>
      <c r="C6" s="262">
        <v>1</v>
      </c>
      <c r="D6" s="266">
        <v>474534</v>
      </c>
      <c r="E6" s="266">
        <f>D6*0.18</f>
        <v>85416.12</v>
      </c>
      <c r="F6" s="266">
        <f>ROUND(E6+D6,0)</f>
        <v>559950</v>
      </c>
      <c r="G6" s="231">
        <v>1</v>
      </c>
      <c r="H6" s="266">
        <v>503814</v>
      </c>
      <c r="I6" s="266">
        <f>H6*0.18</f>
        <v>90686.52</v>
      </c>
      <c r="J6" s="266">
        <f>ROUND(I6+H6,-2)</f>
        <v>594500</v>
      </c>
      <c r="K6" s="231">
        <v>1</v>
      </c>
      <c r="L6" s="266">
        <v>693898</v>
      </c>
      <c r="M6" s="266">
        <f>L6*0.18</f>
        <v>124901.64</v>
      </c>
      <c r="N6" s="266">
        <f>ROUND(M6+L6,-2)</f>
        <v>818800</v>
      </c>
      <c r="O6" s="592" t="s">
        <v>365</v>
      </c>
    </row>
    <row r="7" spans="1:15" x14ac:dyDescent="0.25">
      <c r="A7" s="258"/>
      <c r="B7" s="263" t="s">
        <v>15</v>
      </c>
      <c r="C7" s="258"/>
      <c r="D7" s="196"/>
      <c r="E7" s="196"/>
      <c r="F7" s="264">
        <f>F6</f>
        <v>559950</v>
      </c>
      <c r="G7" s="196"/>
      <c r="H7" s="196"/>
      <c r="I7" s="196"/>
      <c r="J7" s="264">
        <f>J6</f>
        <v>594500</v>
      </c>
      <c r="K7" s="196"/>
      <c r="L7" s="196"/>
      <c r="M7" s="196"/>
      <c r="N7" s="264">
        <f>N6</f>
        <v>818800</v>
      </c>
      <c r="O7" s="543"/>
    </row>
    <row r="8" spans="1:15" x14ac:dyDescent="0.25">
      <c r="A8" s="596" t="s">
        <v>366</v>
      </c>
      <c r="B8" s="517"/>
      <c r="C8" s="258"/>
      <c r="D8" s="196"/>
      <c r="E8" s="196"/>
      <c r="F8" s="265" t="s">
        <v>367</v>
      </c>
      <c r="G8" s="265"/>
      <c r="H8" s="265"/>
      <c r="I8" s="265"/>
      <c r="J8" s="265" t="s">
        <v>368</v>
      </c>
      <c r="K8" s="265"/>
      <c r="L8" s="265"/>
      <c r="M8" s="265"/>
      <c r="N8" s="265" t="s">
        <v>369</v>
      </c>
      <c r="O8" s="544"/>
    </row>
    <row r="13" spans="1:15" x14ac:dyDescent="0.25">
      <c r="B13" s="599" t="s">
        <v>370</v>
      </c>
      <c r="C13" s="600"/>
      <c r="D13" s="600"/>
      <c r="E13" s="600"/>
      <c r="G13" s="599" t="s">
        <v>371</v>
      </c>
      <c r="H13" s="600"/>
      <c r="I13" s="600"/>
      <c r="J13" s="600"/>
    </row>
    <row r="14" spans="1:15" x14ac:dyDescent="0.25">
      <c r="B14" s="599" t="s">
        <v>372</v>
      </c>
      <c r="C14" s="600"/>
      <c r="D14" s="600"/>
      <c r="E14" s="600"/>
      <c r="G14" s="599" t="s">
        <v>372</v>
      </c>
      <c r="H14" s="600"/>
      <c r="I14" s="600"/>
      <c r="J14" s="600"/>
    </row>
    <row r="15" spans="1:15" x14ac:dyDescent="0.25">
      <c r="B15" s="599" t="s">
        <v>373</v>
      </c>
      <c r="C15" s="600"/>
      <c r="D15" s="600"/>
      <c r="E15" s="600"/>
      <c r="G15" s="599" t="s">
        <v>373</v>
      </c>
      <c r="H15" s="600"/>
      <c r="I15" s="600"/>
      <c r="J15" s="600"/>
    </row>
  </sheetData>
  <mergeCells count="19">
    <mergeCell ref="B15:E15"/>
    <mergeCell ref="A1:N1"/>
    <mergeCell ref="K4:N4"/>
    <mergeCell ref="C3:F3"/>
    <mergeCell ref="K3:N3"/>
    <mergeCell ref="A3:B3"/>
    <mergeCell ref="B14:E14"/>
    <mergeCell ref="G13:J13"/>
    <mergeCell ref="B13:E13"/>
    <mergeCell ref="G15:J15"/>
    <mergeCell ref="G14:J14"/>
    <mergeCell ref="O6:O8"/>
    <mergeCell ref="O3:O5"/>
    <mergeCell ref="C4:F4"/>
    <mergeCell ref="A2:N2"/>
    <mergeCell ref="A8:B8"/>
    <mergeCell ref="A4:B4"/>
    <mergeCell ref="G3:J3"/>
    <mergeCell ref="G4:J4"/>
  </mergeCells>
  <pageMargins left="0.22" right="0.2" top="0.75" bottom="0.75" header="0.3" footer="0.3"/>
  <pageSetup paperSize="9" orientation="landscape" horizontalDpi="4294967293"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J12"/>
  <sheetViews>
    <sheetView workbookViewId="0">
      <selection activeCell="N20" sqref="N20"/>
    </sheetView>
  </sheetViews>
  <sheetFormatPr defaultRowHeight="13.2" x14ac:dyDescent="0.25"/>
  <cols>
    <col min="1" max="4" width="8.88671875" style="4" customWidth="1"/>
    <col min="5" max="16384" width="8.88671875" style="4"/>
  </cols>
  <sheetData>
    <row r="2" spans="1:10" ht="22.8" customHeight="1" x14ac:dyDescent="0.4">
      <c r="A2" s="582" t="s">
        <v>374</v>
      </c>
      <c r="B2" s="470"/>
      <c r="C2" s="470"/>
      <c r="D2" s="470"/>
      <c r="E2" s="470"/>
      <c r="F2" s="470"/>
      <c r="G2" s="470"/>
      <c r="H2" s="470"/>
      <c r="I2" s="470"/>
      <c r="J2" s="470"/>
    </row>
    <row r="8" spans="1:10" x14ac:dyDescent="0.25">
      <c r="A8" s="603" t="str">
        <f>"                   The estimate for the work ""  "&amp;  Report!D3&amp;" "&amp; """ has been thoroughly checked and the estimate has been prepared as per rates of CPWD Schedule of Rates 2021 including contingency as per norms and is found correct as per norms/guidelines of CVC ."</f>
        <v xml:space="preserve">                   The estimate for the work "  Repairing and Renovation of Circuit House at Bokakhat Co District under Golaghat District " has been thoroughly checked and the estimate has been prepared as per rates of CPWD Schedule of Rates 2021 including contingency as per norms and is found correct as per norms/guidelines of CVC .</v>
      </c>
      <c r="B8" s="470"/>
      <c r="C8" s="470"/>
      <c r="D8" s="470"/>
      <c r="E8" s="470"/>
      <c r="F8" s="470"/>
      <c r="G8" s="470"/>
      <c r="H8" s="470"/>
      <c r="I8" s="470"/>
      <c r="J8" s="470"/>
    </row>
    <row r="9" spans="1:10" x14ac:dyDescent="0.25">
      <c r="A9" s="470"/>
      <c r="B9" s="470"/>
      <c r="C9" s="470"/>
      <c r="D9" s="470"/>
      <c r="E9" s="470"/>
      <c r="F9" s="470"/>
      <c r="G9" s="470"/>
      <c r="H9" s="470"/>
      <c r="I9" s="470"/>
      <c r="J9" s="470"/>
    </row>
    <row r="10" spans="1:10" x14ac:dyDescent="0.25">
      <c r="A10" s="470"/>
      <c r="B10" s="470"/>
      <c r="C10" s="470"/>
      <c r="D10" s="470"/>
      <c r="E10" s="470"/>
      <c r="F10" s="470"/>
      <c r="G10" s="470"/>
      <c r="H10" s="470"/>
      <c r="I10" s="470"/>
      <c r="J10" s="470"/>
    </row>
    <row r="11" spans="1:10" x14ac:dyDescent="0.25">
      <c r="A11" s="470"/>
      <c r="B11" s="470"/>
      <c r="C11" s="470"/>
      <c r="D11" s="470"/>
      <c r="E11" s="470"/>
      <c r="F11" s="470"/>
      <c r="G11" s="470"/>
      <c r="H11" s="470"/>
      <c r="I11" s="470"/>
      <c r="J11" s="470"/>
    </row>
    <row r="12" spans="1:10" ht="112.2" customHeight="1" x14ac:dyDescent="0.25">
      <c r="A12" s="470"/>
      <c r="B12" s="470"/>
      <c r="C12" s="470"/>
      <c r="D12" s="470"/>
      <c r="E12" s="470"/>
      <c r="F12" s="470"/>
      <c r="G12" s="470"/>
      <c r="H12" s="470"/>
      <c r="I12" s="470"/>
      <c r="J12" s="470"/>
    </row>
  </sheetData>
  <mergeCells count="2">
    <mergeCell ref="A8:J12"/>
    <mergeCell ref="A2:J2"/>
  </mergeCells>
  <pageMargins left="0.7" right="0.7" top="0.75" bottom="0.75" header="0.3" footer="0.3"/>
  <pageSetup paperSize="9" orientation="portrait" horizontalDpi="4294967293"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J14"/>
  <sheetViews>
    <sheetView workbookViewId="0">
      <selection activeCell="D15" sqref="D15"/>
    </sheetView>
  </sheetViews>
  <sheetFormatPr defaultRowHeight="13.2" x14ac:dyDescent="0.25"/>
  <cols>
    <col min="1" max="4" width="8.88671875" style="4" customWidth="1"/>
    <col min="5" max="16384" width="8.88671875" style="4"/>
  </cols>
  <sheetData>
    <row r="2" spans="1:10" ht="22.8" customHeight="1" x14ac:dyDescent="0.4">
      <c r="A2" s="582" t="s">
        <v>374</v>
      </c>
      <c r="B2" s="470"/>
      <c r="C2" s="470"/>
      <c r="D2" s="470"/>
      <c r="E2" s="470"/>
      <c r="F2" s="470"/>
      <c r="G2" s="470"/>
      <c r="H2" s="470"/>
      <c r="I2" s="470"/>
      <c r="J2" s="470"/>
    </row>
    <row r="8" spans="1:10" x14ac:dyDescent="0.25">
      <c r="A8" s="604" t="s">
        <v>375</v>
      </c>
      <c r="B8" s="470"/>
      <c r="C8" s="470"/>
      <c r="D8" s="470"/>
      <c r="E8" s="470"/>
      <c r="F8" s="470"/>
      <c r="G8" s="470"/>
      <c r="H8" s="470"/>
      <c r="I8" s="470"/>
      <c r="J8" s="470"/>
    </row>
    <row r="9" spans="1:10" x14ac:dyDescent="0.25">
      <c r="A9" s="470"/>
      <c r="B9" s="470"/>
      <c r="C9" s="470"/>
      <c r="D9" s="470"/>
      <c r="E9" s="470"/>
      <c r="F9" s="470"/>
      <c r="G9" s="470"/>
      <c r="H9" s="470"/>
      <c r="I9" s="470"/>
      <c r="J9" s="470"/>
    </row>
    <row r="10" spans="1:10" x14ac:dyDescent="0.25">
      <c r="A10" s="470"/>
      <c r="B10" s="470"/>
      <c r="C10" s="470"/>
      <c r="D10" s="470"/>
      <c r="E10" s="470"/>
      <c r="F10" s="470"/>
      <c r="G10" s="470"/>
      <c r="H10" s="470"/>
      <c r="I10" s="470"/>
      <c r="J10" s="470"/>
    </row>
    <row r="11" spans="1:10" x14ac:dyDescent="0.25">
      <c r="A11" s="470"/>
      <c r="B11" s="470"/>
      <c r="C11" s="470"/>
      <c r="D11" s="470"/>
      <c r="E11" s="470"/>
      <c r="F11" s="470"/>
      <c r="G11" s="470"/>
      <c r="H11" s="470"/>
      <c r="I11" s="470"/>
      <c r="J11" s="470"/>
    </row>
    <row r="12" spans="1:10" ht="37.799999999999997" customHeight="1" x14ac:dyDescent="0.25">
      <c r="A12" s="470"/>
      <c r="B12" s="470"/>
      <c r="C12" s="470"/>
      <c r="D12" s="470"/>
      <c r="E12" s="470"/>
      <c r="F12" s="470"/>
      <c r="G12" s="470"/>
      <c r="H12" s="470"/>
      <c r="I12" s="470"/>
      <c r="J12" s="470"/>
    </row>
    <row r="13" spans="1:10" ht="15.6" customHeight="1" x14ac:dyDescent="0.3">
      <c r="A13" s="230"/>
      <c r="B13" s="230"/>
      <c r="C13" s="230"/>
      <c r="D13" s="230"/>
      <c r="E13" s="230"/>
      <c r="F13" s="230"/>
      <c r="G13" s="230"/>
      <c r="H13" s="230"/>
      <c r="I13" s="230"/>
      <c r="J13" s="230"/>
    </row>
    <row r="14" spans="1:10" ht="46.2" customHeight="1" x14ac:dyDescent="0.3">
      <c r="A14" s="230"/>
      <c r="B14" s="605" t="s">
        <v>376</v>
      </c>
      <c r="C14" s="470"/>
      <c r="D14" s="470"/>
      <c r="E14" s="470"/>
      <c r="F14" s="470"/>
      <c r="G14" s="470"/>
      <c r="H14" s="470"/>
      <c r="I14" s="470"/>
      <c r="J14" s="470"/>
    </row>
  </sheetData>
  <mergeCells count="3">
    <mergeCell ref="A8:J12"/>
    <mergeCell ref="B14:J14"/>
    <mergeCell ref="A2:J2"/>
  </mergeCells>
  <pageMargins left="0.7" right="0.41" top="0.75" bottom="0.75" header="0.3" footer="0.3"/>
  <pageSetup paperSize="9" orientation="portrait" horizontalDpi="4294967293"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4"/>
  <sheetViews>
    <sheetView zoomScale="57" workbookViewId="0">
      <selection activeCell="G7" sqref="G7"/>
    </sheetView>
  </sheetViews>
  <sheetFormatPr defaultRowHeight="13.2" x14ac:dyDescent="0.25"/>
  <cols>
    <col min="1" max="1" width="7" style="4" customWidth="1"/>
    <col min="2" max="2" width="40.5546875" style="4" customWidth="1"/>
    <col min="3" max="3" width="63" style="4" customWidth="1"/>
    <col min="4" max="7" width="8.88671875" style="4" customWidth="1"/>
    <col min="8" max="16384" width="8.88671875" style="4"/>
  </cols>
  <sheetData>
    <row r="1" spans="1:6" ht="24" customHeight="1" x14ac:dyDescent="0.25">
      <c r="A1" s="607" t="s">
        <v>377</v>
      </c>
      <c r="B1" s="462"/>
      <c r="C1" s="463"/>
    </row>
    <row r="2" spans="1:6" ht="22.95" customHeight="1" x14ac:dyDescent="0.25">
      <c r="A2" s="609" t="s">
        <v>378</v>
      </c>
      <c r="B2" s="462"/>
      <c r="C2" s="463"/>
    </row>
    <row r="3" spans="1:6" ht="24" customHeight="1" x14ac:dyDescent="0.25">
      <c r="A3" s="376" t="s">
        <v>379</v>
      </c>
      <c r="B3" s="376" t="s">
        <v>380</v>
      </c>
      <c r="C3" s="376" t="s">
        <v>381</v>
      </c>
    </row>
    <row r="4" spans="1:6" ht="37.950000000000003" customHeight="1" x14ac:dyDescent="0.25">
      <c r="A4" s="377" t="s">
        <v>351</v>
      </c>
      <c r="B4" s="378" t="s">
        <v>382</v>
      </c>
      <c r="C4" s="378" t="str">
        <f>Report!D3</f>
        <v>Repairing and Renovation of Circuit House at Bokakhat Co District under Golaghat District</v>
      </c>
    </row>
    <row r="5" spans="1:6" ht="37.950000000000003" customHeight="1" x14ac:dyDescent="0.25">
      <c r="A5" s="377" t="s">
        <v>352</v>
      </c>
      <c r="B5" s="378" t="s">
        <v>383</v>
      </c>
      <c r="C5" s="378" t="str">
        <f>Report!B17</f>
        <v>Circuit House, Bokakhat.</v>
      </c>
    </row>
    <row r="6" spans="1:6" ht="37.950000000000003" customHeight="1" x14ac:dyDescent="0.25">
      <c r="A6" s="377" t="s">
        <v>353</v>
      </c>
      <c r="B6" s="378" t="s">
        <v>384</v>
      </c>
      <c r="C6" s="378" t="str">
        <f>"Rs. " &amp; TEXT(Report!D7,"#,##0.00") &amp; " " &amp; Report!D8</f>
        <v>Rs. 46,23,500.00 (Rupees forty eight lakh twenty three thousand five hundred ) only.</v>
      </c>
    </row>
    <row r="7" spans="1:6" ht="55.05" customHeight="1" x14ac:dyDescent="0.25">
      <c r="A7" s="377" t="s">
        <v>385</v>
      </c>
      <c r="B7" s="378" t="s">
        <v>386</v>
      </c>
      <c r="C7" s="378" t="s">
        <v>222</v>
      </c>
    </row>
    <row r="8" spans="1:6" ht="30" customHeight="1" x14ac:dyDescent="0.25">
      <c r="A8" s="606" t="s">
        <v>387</v>
      </c>
      <c r="B8" s="378" t="s">
        <v>388</v>
      </c>
      <c r="C8" s="608"/>
      <c r="F8" t="s">
        <v>389</v>
      </c>
    </row>
    <row r="9" spans="1:6" ht="30" customHeight="1" x14ac:dyDescent="0.25">
      <c r="A9" s="465"/>
      <c r="B9" s="378" t="s">
        <v>390</v>
      </c>
      <c r="C9" s="465"/>
    </row>
    <row r="10" spans="1:6" ht="34.049999999999997" customHeight="1" x14ac:dyDescent="0.25">
      <c r="A10" s="466"/>
      <c r="B10" s="378" t="s">
        <v>391</v>
      </c>
      <c r="C10" s="466"/>
    </row>
    <row r="11" spans="1:6" ht="30" customHeight="1" x14ac:dyDescent="0.25">
      <c r="A11" s="606" t="s">
        <v>392</v>
      </c>
      <c r="B11" s="378" t="s">
        <v>393</v>
      </c>
      <c r="C11" s="606"/>
    </row>
    <row r="12" spans="1:6" ht="30" customHeight="1" x14ac:dyDescent="0.25">
      <c r="A12" s="465"/>
      <c r="B12" s="378" t="s">
        <v>390</v>
      </c>
      <c r="C12" s="465"/>
    </row>
    <row r="13" spans="1:6" ht="37.950000000000003" customHeight="1" x14ac:dyDescent="0.25">
      <c r="A13" s="466"/>
      <c r="B13" s="378" t="s">
        <v>394</v>
      </c>
      <c r="C13" s="466"/>
    </row>
    <row r="14" spans="1:6" ht="42" customHeight="1" x14ac:dyDescent="0.25">
      <c r="A14" s="606" t="s">
        <v>395</v>
      </c>
      <c r="B14" s="378" t="s">
        <v>396</v>
      </c>
      <c r="C14" s="606"/>
    </row>
    <row r="15" spans="1:6" ht="25.05" customHeight="1" x14ac:dyDescent="0.25">
      <c r="A15" s="465"/>
      <c r="B15" s="378" t="s">
        <v>397</v>
      </c>
      <c r="C15" s="465"/>
    </row>
    <row r="16" spans="1:6" ht="25.05" customHeight="1" x14ac:dyDescent="0.25">
      <c r="A16" s="465"/>
      <c r="B16" s="378" t="s">
        <v>398</v>
      </c>
      <c r="C16" s="465"/>
    </row>
    <row r="17" spans="1:3" ht="30" customHeight="1" x14ac:dyDescent="0.25">
      <c r="A17" s="466"/>
      <c r="B17" s="378" t="s">
        <v>399</v>
      </c>
      <c r="C17" s="466"/>
    </row>
    <row r="18" spans="1:3" ht="55.05" customHeight="1" x14ac:dyDescent="0.25">
      <c r="A18" s="377" t="s">
        <v>400</v>
      </c>
      <c r="B18" s="378" t="s">
        <v>401</v>
      </c>
      <c r="C18" s="378" t="s">
        <v>402</v>
      </c>
    </row>
    <row r="19" spans="1:3" ht="49.95" customHeight="1" x14ac:dyDescent="0.25">
      <c r="A19" s="377" t="s">
        <v>403</v>
      </c>
      <c r="B19" s="378" t="s">
        <v>404</v>
      </c>
      <c r="C19" s="378" t="s">
        <v>222</v>
      </c>
    </row>
    <row r="20" spans="1:3" ht="55.05" customHeight="1" x14ac:dyDescent="0.25">
      <c r="A20" s="377" t="s">
        <v>405</v>
      </c>
      <c r="B20" s="378" t="s">
        <v>406</v>
      </c>
      <c r="C20" s="378"/>
    </row>
    <row r="21" spans="1:3" ht="49.95" customHeight="1" x14ac:dyDescent="0.25">
      <c r="A21" s="377" t="s">
        <v>407</v>
      </c>
      <c r="B21" s="378" t="s">
        <v>408</v>
      </c>
      <c r="C21" s="378"/>
    </row>
    <row r="22" spans="1:3" ht="64.95" customHeight="1" x14ac:dyDescent="0.25">
      <c r="A22" s="377" t="s">
        <v>409</v>
      </c>
      <c r="B22" s="378" t="s">
        <v>410</v>
      </c>
      <c r="C22" s="378"/>
    </row>
    <row r="23" spans="1:3" ht="64.95" customHeight="1" x14ac:dyDescent="0.25">
      <c r="A23" s="377" t="s">
        <v>411</v>
      </c>
      <c r="B23" s="378" t="s">
        <v>412</v>
      </c>
      <c r="C23" s="378"/>
    </row>
    <row r="24" spans="1:3" ht="42" customHeight="1" x14ac:dyDescent="0.25">
      <c r="A24" s="606" t="s">
        <v>413</v>
      </c>
      <c r="B24" s="378" t="s">
        <v>414</v>
      </c>
      <c r="C24" s="608"/>
    </row>
    <row r="25" spans="1:3" ht="40.049999999999997" customHeight="1" x14ac:dyDescent="0.25">
      <c r="A25" s="465"/>
      <c r="B25" s="378" t="s">
        <v>415</v>
      </c>
      <c r="C25" s="465"/>
    </row>
    <row r="26" spans="1:3" ht="46.05" customHeight="1" x14ac:dyDescent="0.25">
      <c r="A26" s="466"/>
      <c r="B26" s="378" t="s">
        <v>416</v>
      </c>
      <c r="C26" s="466"/>
    </row>
    <row r="28" spans="1:3" x14ac:dyDescent="0.25">
      <c r="B28" s="470"/>
      <c r="C28" s="470"/>
    </row>
    <row r="29" spans="1:3" x14ac:dyDescent="0.25">
      <c r="B29" s="470"/>
      <c r="C29" s="470"/>
    </row>
    <row r="30" spans="1:3" x14ac:dyDescent="0.25">
      <c r="B30" s="470"/>
      <c r="C30" s="470"/>
    </row>
    <row r="32" spans="1:3" x14ac:dyDescent="0.25">
      <c r="B32" s="470"/>
      <c r="C32" s="470"/>
    </row>
    <row r="33" spans="2:3" x14ac:dyDescent="0.25">
      <c r="B33" s="470"/>
      <c r="C33" s="470"/>
    </row>
    <row r="34" spans="2:3" x14ac:dyDescent="0.25">
      <c r="B34" s="470"/>
      <c r="C34" s="470"/>
    </row>
  </sheetData>
  <mergeCells count="12">
    <mergeCell ref="C14:C17"/>
    <mergeCell ref="A8:A10"/>
    <mergeCell ref="A1:C1"/>
    <mergeCell ref="B32:C34"/>
    <mergeCell ref="C11:C13"/>
    <mergeCell ref="A11:A13"/>
    <mergeCell ref="B28:C30"/>
    <mergeCell ref="A14:A17"/>
    <mergeCell ref="A24:A26"/>
    <mergeCell ref="C8:C10"/>
    <mergeCell ref="C24:C26"/>
    <mergeCell ref="A2:C2"/>
  </mergeCells>
  <pageMargins left="0.28000000000000003" right="0.18" top="0.28000000000000003" bottom="0.2" header="0.3" footer="0.2"/>
  <pageSetup paperSize="9" orientation="portrait" horizontalDpi="429496729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0"/>
  <sheetViews>
    <sheetView view="pageBreakPreview" zoomScale="108" zoomScaleNormal="100" workbookViewId="0">
      <selection activeCell="M44" sqref="M44"/>
    </sheetView>
  </sheetViews>
  <sheetFormatPr defaultRowHeight="13.2" x14ac:dyDescent="0.25"/>
  <cols>
    <col min="1" max="1" width="4.33203125" style="4" customWidth="1"/>
    <col min="2" max="2" width="6.6640625" style="4" customWidth="1"/>
    <col min="7" max="7" width="13.88671875" style="4" customWidth="1"/>
    <col min="8" max="8" width="2.21875" style="4" customWidth="1"/>
    <col min="9" max="9" width="5" style="4" hidden="1" customWidth="1"/>
    <col min="10" max="10" width="2.5546875" style="4" hidden="1" customWidth="1"/>
    <col min="11" max="11" width="4.44140625" style="4" customWidth="1"/>
    <col min="12" max="12" width="7.21875" style="4" customWidth="1"/>
    <col min="13" max="13" width="11.44140625" style="4" customWidth="1"/>
    <col min="14" max="14" width="16.21875" style="4" customWidth="1"/>
    <col min="16" max="16" width="9.33203125" style="4" bestFit="1" customWidth="1"/>
  </cols>
  <sheetData>
    <row r="1" spans="1:16" s="71" customFormat="1" ht="24" customHeight="1" x14ac:dyDescent="0.3">
      <c r="A1" s="614" t="str">
        <f>'AType Cottage'!A1</f>
        <v xml:space="preserve"> Name of Work :-   Repairing and Renovation of  Circuit House at Bokakhat Co District under Golaghat District</v>
      </c>
      <c r="B1" s="557"/>
      <c r="C1" s="557"/>
      <c r="D1" s="557"/>
      <c r="E1" s="557"/>
      <c r="F1" s="557"/>
      <c r="G1" s="557"/>
      <c r="H1" s="557"/>
      <c r="I1" s="557"/>
      <c r="J1" s="557"/>
      <c r="K1" s="557"/>
      <c r="L1" s="557"/>
      <c r="M1" s="557"/>
      <c r="N1" s="557"/>
    </row>
    <row r="2" spans="1:16" s="71" customFormat="1" ht="13.8" customHeight="1" x14ac:dyDescent="0.3">
      <c r="A2" s="613" t="s">
        <v>417</v>
      </c>
      <c r="B2" s="516"/>
      <c r="C2" s="516"/>
      <c r="D2" s="516"/>
      <c r="E2" s="516"/>
      <c r="F2" s="516"/>
      <c r="G2" s="516"/>
      <c r="H2" s="516"/>
      <c r="I2" s="516"/>
      <c r="J2" s="516"/>
      <c r="K2" s="516"/>
      <c r="L2" s="516"/>
      <c r="M2" s="516"/>
      <c r="N2" s="517"/>
    </row>
    <row r="3" spans="1:16" s="71" customFormat="1" ht="13.8" customHeight="1" x14ac:dyDescent="0.3">
      <c r="A3" s="613" t="s">
        <v>418</v>
      </c>
      <c r="B3" s="516"/>
      <c r="C3" s="516"/>
      <c r="D3" s="516"/>
      <c r="E3" s="516"/>
      <c r="F3" s="516"/>
      <c r="G3" s="516"/>
      <c r="H3" s="516"/>
      <c r="I3" s="516"/>
      <c r="J3" s="516"/>
      <c r="K3" s="516"/>
      <c r="L3" s="516"/>
      <c r="M3" s="516"/>
      <c r="N3" s="517"/>
    </row>
    <row r="4" spans="1:16" s="71" customFormat="1" ht="27.6" customHeight="1" x14ac:dyDescent="0.3">
      <c r="A4" s="72" t="s">
        <v>379</v>
      </c>
      <c r="B4" s="72" t="s">
        <v>419</v>
      </c>
      <c r="C4" s="612" t="s">
        <v>420</v>
      </c>
      <c r="D4" s="516"/>
      <c r="E4" s="516"/>
      <c r="F4" s="516"/>
      <c r="G4" s="516"/>
      <c r="H4" s="516"/>
      <c r="I4" s="516"/>
      <c r="J4" s="517"/>
      <c r="K4" s="72" t="s">
        <v>7</v>
      </c>
      <c r="L4" s="72" t="s">
        <v>305</v>
      </c>
      <c r="M4" s="72" t="s">
        <v>421</v>
      </c>
      <c r="N4" s="73" t="s">
        <v>422</v>
      </c>
    </row>
    <row r="5" spans="1:16" s="71" customFormat="1" ht="13.8" customHeight="1" x14ac:dyDescent="0.3">
      <c r="A5" s="72"/>
      <c r="B5" s="72"/>
      <c r="C5" s="612" t="s">
        <v>423</v>
      </c>
      <c r="D5" s="516"/>
      <c r="E5" s="516"/>
      <c r="F5" s="516"/>
      <c r="G5" s="516"/>
      <c r="H5" s="516"/>
      <c r="I5" s="516"/>
      <c r="J5" s="517"/>
      <c r="K5" s="72"/>
      <c r="L5" s="72"/>
      <c r="M5" s="72"/>
      <c r="N5" s="73"/>
    </row>
    <row r="6" spans="1:16" s="71" customFormat="1" ht="60.6" customHeight="1" x14ac:dyDescent="0.3">
      <c r="A6" s="74">
        <v>1</v>
      </c>
      <c r="B6" s="74">
        <v>14.81</v>
      </c>
      <c r="C6" s="611" t="s">
        <v>424</v>
      </c>
      <c r="D6" s="516"/>
      <c r="E6" s="516"/>
      <c r="F6" s="516"/>
      <c r="G6" s="516"/>
      <c r="H6" s="516"/>
      <c r="I6" s="516"/>
      <c r="J6" s="517"/>
      <c r="K6" s="75" t="s">
        <v>157</v>
      </c>
      <c r="L6" s="76">
        <v>14</v>
      </c>
      <c r="M6" s="77">
        <v>243.1</v>
      </c>
      <c r="N6" s="77">
        <f>ROUND(L6*M6,2)</f>
        <v>3403.4</v>
      </c>
    </row>
    <row r="7" spans="1:16" s="71" customFormat="1" ht="87" customHeight="1" x14ac:dyDescent="0.3">
      <c r="A7" s="75">
        <v>2</v>
      </c>
      <c r="B7" s="78">
        <v>17.3</v>
      </c>
      <c r="C7" s="611" t="s">
        <v>425</v>
      </c>
      <c r="D7" s="516"/>
      <c r="E7" s="516"/>
      <c r="F7" s="516"/>
      <c r="G7" s="516"/>
      <c r="H7" s="516"/>
      <c r="I7" s="516"/>
      <c r="J7" s="517"/>
      <c r="K7" s="62"/>
      <c r="L7" s="79"/>
      <c r="M7" s="77"/>
      <c r="N7" s="77"/>
    </row>
    <row r="8" spans="1:16" s="71" customFormat="1" ht="13.8" customHeight="1" x14ac:dyDescent="0.3">
      <c r="A8" s="74"/>
      <c r="B8" s="74" t="s">
        <v>426</v>
      </c>
      <c r="C8" s="611" t="s">
        <v>427</v>
      </c>
      <c r="D8" s="516"/>
      <c r="E8" s="516"/>
      <c r="F8" s="516"/>
      <c r="G8" s="516"/>
      <c r="H8" s="516"/>
      <c r="I8" s="516"/>
      <c r="J8" s="517"/>
      <c r="K8" s="75" t="s">
        <v>157</v>
      </c>
      <c r="L8" s="76">
        <v>14</v>
      </c>
      <c r="M8" s="77">
        <v>6941.3</v>
      </c>
      <c r="N8" s="77">
        <f>ROUND(L8*M8,2)</f>
        <v>97178.2</v>
      </c>
    </row>
    <row r="9" spans="1:16" s="71" customFormat="1" ht="73.2" customHeight="1" x14ac:dyDescent="0.3">
      <c r="A9" s="75">
        <v>3</v>
      </c>
      <c r="B9" s="78">
        <v>17.7</v>
      </c>
      <c r="C9" s="611" t="s">
        <v>428</v>
      </c>
      <c r="D9" s="516"/>
      <c r="E9" s="516"/>
      <c r="F9" s="516"/>
      <c r="G9" s="516"/>
      <c r="H9" s="516"/>
      <c r="I9" s="516"/>
      <c r="J9" s="517"/>
      <c r="K9" s="62"/>
      <c r="L9" s="79"/>
      <c r="M9" s="77"/>
      <c r="N9" s="77"/>
    </row>
    <row r="10" spans="1:16" s="71" customFormat="1" ht="76.2" customHeight="1" x14ac:dyDescent="0.3">
      <c r="A10" s="75"/>
      <c r="B10" s="74" t="s">
        <v>429</v>
      </c>
      <c r="C10" s="611" t="s">
        <v>430</v>
      </c>
      <c r="D10" s="516"/>
      <c r="E10" s="516"/>
      <c r="F10" s="516"/>
      <c r="G10" s="516"/>
      <c r="H10" s="516"/>
      <c r="I10" s="516"/>
      <c r="J10" s="517"/>
      <c r="K10" s="75" t="s">
        <v>157</v>
      </c>
      <c r="L10" s="76">
        <v>14</v>
      </c>
      <c r="M10" s="77">
        <v>2275</v>
      </c>
      <c r="N10" s="77">
        <f>ROUND(L10*M10,2)</f>
        <v>31850</v>
      </c>
      <c r="O10" s="71">
        <v>2275</v>
      </c>
      <c r="P10" s="374">
        <f>N10/O10</f>
        <v>14</v>
      </c>
    </row>
    <row r="11" spans="1:16" s="71" customFormat="1" ht="76.2" customHeight="1" x14ac:dyDescent="0.3">
      <c r="A11" s="75"/>
      <c r="B11" s="74">
        <v>17.8</v>
      </c>
      <c r="C11" s="611" t="s">
        <v>677</v>
      </c>
      <c r="D11" s="516"/>
      <c r="E11" s="516"/>
      <c r="F11" s="516"/>
      <c r="G11" s="516"/>
      <c r="H11" s="516"/>
      <c r="I11" s="516"/>
      <c r="J11" s="517"/>
      <c r="K11" s="75" t="s">
        <v>157</v>
      </c>
      <c r="L11" s="76">
        <v>14</v>
      </c>
      <c r="M11" s="77">
        <v>1500.05</v>
      </c>
      <c r="N11" s="77">
        <f>ROUND(L11*M11,2)</f>
        <v>21000.7</v>
      </c>
      <c r="O11" s="71">
        <v>2275</v>
      </c>
      <c r="P11" s="374">
        <f>N11/O11</f>
        <v>9.23</v>
      </c>
    </row>
    <row r="12" spans="1:16" s="71" customFormat="1" ht="75.599999999999994" customHeight="1" x14ac:dyDescent="0.3">
      <c r="A12" s="75">
        <v>4</v>
      </c>
      <c r="B12" s="63" t="s">
        <v>431</v>
      </c>
      <c r="C12" s="611" t="s">
        <v>432</v>
      </c>
      <c r="D12" s="516"/>
      <c r="E12" s="516"/>
      <c r="F12" s="516"/>
      <c r="G12" s="516"/>
      <c r="H12" s="516"/>
      <c r="I12" s="516"/>
      <c r="J12" s="517"/>
      <c r="K12" s="75" t="s">
        <v>157</v>
      </c>
      <c r="L12" s="76">
        <v>14</v>
      </c>
      <c r="M12" s="77">
        <v>299.35000000000002</v>
      </c>
      <c r="N12" s="77">
        <f>ROUND(L12*M12,2)</f>
        <v>4190.8999999999996</v>
      </c>
    </row>
    <row r="13" spans="1:16" s="71" customFormat="1" ht="75.599999999999994" customHeight="1" x14ac:dyDescent="0.3">
      <c r="A13" s="75">
        <v>5</v>
      </c>
      <c r="B13" s="63" t="s">
        <v>433</v>
      </c>
      <c r="C13" s="611" t="s">
        <v>434</v>
      </c>
      <c r="D13" s="516"/>
      <c r="E13" s="516"/>
      <c r="F13" s="516"/>
      <c r="G13" s="516"/>
      <c r="H13" s="516"/>
      <c r="I13" s="516"/>
      <c r="J13" s="517"/>
      <c r="K13" s="75" t="s">
        <v>157</v>
      </c>
      <c r="L13" s="76">
        <v>14</v>
      </c>
      <c r="M13" s="77">
        <v>6119.15</v>
      </c>
      <c r="N13" s="77">
        <f>ROUND(L13*M13,2)</f>
        <v>85668.1</v>
      </c>
    </row>
    <row r="14" spans="1:16" s="71" customFormat="1" ht="24" customHeight="1" x14ac:dyDescent="0.3">
      <c r="A14" s="75">
        <v>6</v>
      </c>
      <c r="B14" s="63">
        <v>17.350000000000001</v>
      </c>
      <c r="C14" s="611" t="s">
        <v>435</v>
      </c>
      <c r="D14" s="516"/>
      <c r="E14" s="516"/>
      <c r="F14" s="516"/>
      <c r="G14" s="516"/>
      <c r="H14" s="516"/>
      <c r="I14" s="516"/>
      <c r="J14" s="517"/>
      <c r="K14" s="62"/>
      <c r="L14" s="79"/>
      <c r="M14" s="77"/>
      <c r="N14" s="77"/>
    </row>
    <row r="15" spans="1:16" s="71" customFormat="1" ht="13.8" customHeight="1" x14ac:dyDescent="0.3">
      <c r="A15" s="75"/>
      <c r="B15" s="74" t="s">
        <v>436</v>
      </c>
      <c r="C15" s="611" t="s">
        <v>437</v>
      </c>
      <c r="D15" s="516"/>
      <c r="E15" s="516"/>
      <c r="F15" s="516"/>
      <c r="G15" s="516"/>
      <c r="H15" s="516"/>
      <c r="I15" s="516"/>
      <c r="J15" s="517"/>
      <c r="K15" s="63"/>
      <c r="L15" s="76"/>
      <c r="M15" s="77"/>
      <c r="N15" s="77"/>
    </row>
    <row r="16" spans="1:16" s="71" customFormat="1" ht="30" customHeight="1" x14ac:dyDescent="0.3">
      <c r="A16" s="75"/>
      <c r="B16" s="74" t="s">
        <v>438</v>
      </c>
      <c r="C16" s="611" t="s">
        <v>439</v>
      </c>
      <c r="D16" s="516"/>
      <c r="E16" s="516"/>
      <c r="F16" s="516"/>
      <c r="G16" s="516"/>
      <c r="H16" s="516"/>
      <c r="I16" s="516"/>
      <c r="J16" s="517"/>
      <c r="K16" s="75" t="s">
        <v>440</v>
      </c>
      <c r="L16" s="80">
        <v>50</v>
      </c>
      <c r="M16" s="77">
        <v>1018.05</v>
      </c>
      <c r="N16" s="77">
        <f>ROUND(L16*M16,2)</f>
        <v>50902.5</v>
      </c>
    </row>
    <row r="17" spans="1:14" s="71" customFormat="1" ht="56.4" customHeight="1" x14ac:dyDescent="0.3">
      <c r="A17" s="75">
        <v>7</v>
      </c>
      <c r="B17" s="63">
        <v>17.36</v>
      </c>
      <c r="C17" s="611" t="s">
        <v>441</v>
      </c>
      <c r="D17" s="516"/>
      <c r="E17" s="516"/>
      <c r="F17" s="516"/>
      <c r="G17" s="516"/>
      <c r="H17" s="516"/>
      <c r="I17" s="516"/>
      <c r="J17" s="517"/>
      <c r="K17" s="62"/>
      <c r="L17" s="79"/>
      <c r="M17" s="77"/>
      <c r="N17" s="77"/>
    </row>
    <row r="18" spans="1:14" s="71" customFormat="1" ht="13.8" customHeight="1" x14ac:dyDescent="0.3">
      <c r="A18" s="75"/>
      <c r="B18" s="74" t="s">
        <v>442</v>
      </c>
      <c r="C18" s="611" t="s">
        <v>443</v>
      </c>
      <c r="D18" s="516"/>
      <c r="E18" s="516"/>
      <c r="F18" s="516"/>
      <c r="G18" s="516"/>
      <c r="H18" s="516"/>
      <c r="I18" s="516"/>
      <c r="J18" s="517"/>
      <c r="K18" s="62" t="s">
        <v>157</v>
      </c>
      <c r="L18" s="76">
        <v>25</v>
      </c>
      <c r="M18" s="77">
        <v>163.44999999999999</v>
      </c>
      <c r="N18" s="77">
        <f>ROUND(L18*M18,2)</f>
        <v>4086.25</v>
      </c>
    </row>
    <row r="19" spans="1:14" s="71" customFormat="1" ht="115.2" customHeight="1" x14ac:dyDescent="0.3">
      <c r="A19" s="75">
        <v>8</v>
      </c>
      <c r="B19" s="63">
        <v>17.37</v>
      </c>
      <c r="C19" s="611" t="s">
        <v>444</v>
      </c>
      <c r="D19" s="516"/>
      <c r="E19" s="516"/>
      <c r="F19" s="516"/>
      <c r="G19" s="516"/>
      <c r="H19" s="516"/>
      <c r="I19" s="516"/>
      <c r="J19" s="517"/>
      <c r="K19" s="62"/>
      <c r="L19" s="76"/>
      <c r="M19" s="77"/>
      <c r="N19" s="77"/>
    </row>
    <row r="20" spans="1:14" s="71" customFormat="1" ht="29.4" customHeight="1" x14ac:dyDescent="0.3">
      <c r="A20" s="75"/>
      <c r="B20" s="74" t="s">
        <v>445</v>
      </c>
      <c r="C20" s="611" t="s">
        <v>446</v>
      </c>
      <c r="D20" s="516"/>
      <c r="E20" s="516"/>
      <c r="F20" s="516"/>
      <c r="G20" s="516"/>
      <c r="H20" s="516"/>
      <c r="I20" s="516"/>
      <c r="J20" s="517"/>
      <c r="K20" s="62" t="s">
        <v>157</v>
      </c>
      <c r="L20" s="76">
        <v>25</v>
      </c>
      <c r="M20" s="77">
        <v>308.45</v>
      </c>
      <c r="N20" s="77">
        <f>ROUND(L20*M20,2)</f>
        <v>7711.25</v>
      </c>
    </row>
    <row r="21" spans="1:14" s="71" customFormat="1" ht="47.4" customHeight="1" x14ac:dyDescent="0.3">
      <c r="A21" s="75">
        <v>9</v>
      </c>
      <c r="B21" s="63">
        <v>17.38</v>
      </c>
      <c r="C21" s="611" t="s">
        <v>447</v>
      </c>
      <c r="D21" s="516"/>
      <c r="E21" s="516"/>
      <c r="F21" s="516"/>
      <c r="G21" s="516"/>
      <c r="H21" s="516"/>
      <c r="I21" s="516"/>
      <c r="J21" s="517"/>
      <c r="K21" s="62"/>
      <c r="L21" s="79"/>
      <c r="M21" s="77"/>
      <c r="N21" s="77"/>
    </row>
    <row r="22" spans="1:14" s="71" customFormat="1" ht="19.8" customHeight="1" x14ac:dyDescent="0.3">
      <c r="A22" s="75"/>
      <c r="B22" s="74" t="s">
        <v>448</v>
      </c>
      <c r="C22" s="611" t="s">
        <v>437</v>
      </c>
      <c r="D22" s="516"/>
      <c r="E22" s="516"/>
      <c r="F22" s="516"/>
      <c r="G22" s="516"/>
      <c r="H22" s="516"/>
      <c r="I22" s="516"/>
      <c r="J22" s="517"/>
      <c r="K22" s="63"/>
      <c r="L22" s="76"/>
      <c r="M22" s="77"/>
      <c r="N22" s="77"/>
    </row>
    <row r="23" spans="1:14" s="71" customFormat="1" ht="24" customHeight="1" x14ac:dyDescent="0.3">
      <c r="A23" s="75"/>
      <c r="B23" s="74" t="s">
        <v>449</v>
      </c>
      <c r="C23" s="611" t="s">
        <v>450</v>
      </c>
      <c r="D23" s="516"/>
      <c r="E23" s="516"/>
      <c r="F23" s="516"/>
      <c r="G23" s="516"/>
      <c r="H23" s="516"/>
      <c r="I23" s="516"/>
      <c r="J23" s="517"/>
      <c r="K23" s="62" t="s">
        <v>157</v>
      </c>
      <c r="L23" s="76">
        <v>20</v>
      </c>
      <c r="M23" s="77">
        <v>530.70000000000005</v>
      </c>
      <c r="N23" s="77">
        <f>ROUND(L23*M23,2)</f>
        <v>10614</v>
      </c>
    </row>
    <row r="24" spans="1:14" s="71" customFormat="1" ht="61.8" customHeight="1" x14ac:dyDescent="0.3">
      <c r="A24" s="75">
        <v>10</v>
      </c>
      <c r="B24" s="63">
        <v>17.43</v>
      </c>
      <c r="C24" s="611" t="s">
        <v>451</v>
      </c>
      <c r="D24" s="516"/>
      <c r="E24" s="516"/>
      <c r="F24" s="516"/>
      <c r="G24" s="516"/>
      <c r="H24" s="516"/>
      <c r="I24" s="516"/>
      <c r="J24" s="517"/>
      <c r="K24" s="62"/>
      <c r="L24" s="79"/>
      <c r="M24" s="77"/>
      <c r="N24" s="77"/>
    </row>
    <row r="25" spans="1:14" s="71" customFormat="1" ht="13.8" customHeight="1" x14ac:dyDescent="0.3">
      <c r="A25" s="75"/>
      <c r="B25" s="74" t="s">
        <v>452</v>
      </c>
      <c r="C25" s="611" t="s">
        <v>453</v>
      </c>
      <c r="D25" s="516"/>
      <c r="E25" s="516"/>
      <c r="F25" s="516"/>
      <c r="G25" s="516"/>
      <c r="H25" s="516"/>
      <c r="I25" s="516"/>
      <c r="J25" s="517"/>
      <c r="K25" s="63"/>
      <c r="L25" s="76"/>
      <c r="M25" s="77"/>
      <c r="N25" s="77"/>
    </row>
    <row r="26" spans="1:14" s="71" customFormat="1" ht="27.6" customHeight="1" x14ac:dyDescent="0.3">
      <c r="A26" s="75"/>
      <c r="B26" s="74" t="s">
        <v>454</v>
      </c>
      <c r="C26" s="611" t="s">
        <v>450</v>
      </c>
      <c r="D26" s="516"/>
      <c r="E26" s="516"/>
      <c r="F26" s="516"/>
      <c r="G26" s="516"/>
      <c r="H26" s="516"/>
      <c r="I26" s="516"/>
      <c r="J26" s="517"/>
      <c r="K26" s="62" t="s">
        <v>157</v>
      </c>
      <c r="L26" s="76">
        <v>15</v>
      </c>
      <c r="M26" s="77">
        <v>671.2</v>
      </c>
      <c r="N26" s="77">
        <f>ROUND(L26*M26,2)</f>
        <v>10068</v>
      </c>
    </row>
    <row r="27" spans="1:14" s="71" customFormat="1" ht="73.2" customHeight="1" x14ac:dyDescent="0.3">
      <c r="A27" s="75">
        <v>11</v>
      </c>
      <c r="B27" s="63">
        <v>17.72</v>
      </c>
      <c r="C27" s="611" t="s">
        <v>455</v>
      </c>
      <c r="D27" s="516"/>
      <c r="E27" s="516"/>
      <c r="F27" s="516"/>
      <c r="G27" s="516"/>
      <c r="H27" s="516"/>
      <c r="I27" s="516"/>
      <c r="J27" s="517"/>
      <c r="K27" s="75" t="s">
        <v>157</v>
      </c>
      <c r="L27" s="76">
        <v>14</v>
      </c>
      <c r="M27" s="77">
        <v>146.30000000000001</v>
      </c>
      <c r="N27" s="77">
        <f>ROUND(L27*M27,2)</f>
        <v>2048.1999999999998</v>
      </c>
    </row>
    <row r="28" spans="1:14" s="71" customFormat="1" ht="73.8" customHeight="1" x14ac:dyDescent="0.3">
      <c r="A28" s="75">
        <v>12</v>
      </c>
      <c r="B28" s="63">
        <v>17.72</v>
      </c>
      <c r="C28" s="611" t="s">
        <v>456</v>
      </c>
      <c r="D28" s="516"/>
      <c r="E28" s="516"/>
      <c r="F28" s="516"/>
      <c r="G28" s="516"/>
      <c r="H28" s="516"/>
      <c r="I28" s="516"/>
      <c r="J28" s="517"/>
      <c r="K28" s="75" t="s">
        <v>157</v>
      </c>
      <c r="L28" s="76">
        <v>14</v>
      </c>
      <c r="M28" s="77">
        <v>204.7</v>
      </c>
      <c r="N28" s="77">
        <f>ROUND(L28*M28,2)</f>
        <v>2865.8</v>
      </c>
    </row>
    <row r="29" spans="1:14" s="71" customFormat="1" ht="13.8" customHeight="1" x14ac:dyDescent="0.3">
      <c r="A29" s="72"/>
      <c r="B29" s="72"/>
      <c r="C29" s="612" t="s">
        <v>457</v>
      </c>
      <c r="D29" s="516"/>
      <c r="E29" s="516"/>
      <c r="F29" s="516"/>
      <c r="G29" s="516"/>
      <c r="H29" s="516"/>
      <c r="I29" s="516"/>
      <c r="J29" s="517"/>
      <c r="K29" s="72"/>
      <c r="L29" s="72"/>
      <c r="M29" s="77"/>
      <c r="N29" s="77" t="s">
        <v>458</v>
      </c>
    </row>
    <row r="30" spans="1:14" s="71" customFormat="1" ht="85.8" customHeight="1" x14ac:dyDescent="0.3">
      <c r="A30" s="75">
        <v>12</v>
      </c>
      <c r="B30" s="78">
        <v>18.7</v>
      </c>
      <c r="C30" s="611" t="s">
        <v>459</v>
      </c>
      <c r="D30" s="516"/>
      <c r="E30" s="516"/>
      <c r="F30" s="516"/>
      <c r="G30" s="516"/>
      <c r="H30" s="516"/>
      <c r="I30" s="516"/>
      <c r="J30" s="517"/>
      <c r="K30" s="79"/>
      <c r="L30" s="227"/>
      <c r="M30" s="77"/>
      <c r="N30" s="77"/>
    </row>
    <row r="31" spans="1:14" s="71" customFormat="1" ht="17.399999999999999" customHeight="1" x14ac:dyDescent="0.3">
      <c r="A31" s="75"/>
      <c r="B31" s="74" t="s">
        <v>460</v>
      </c>
      <c r="C31" s="611" t="s">
        <v>461</v>
      </c>
      <c r="D31" s="516"/>
      <c r="E31" s="516"/>
      <c r="F31" s="516"/>
      <c r="G31" s="516"/>
      <c r="H31" s="516"/>
      <c r="I31" s="516"/>
      <c r="J31" s="517"/>
      <c r="K31" s="75" t="s">
        <v>462</v>
      </c>
      <c r="L31" s="228">
        <v>150</v>
      </c>
      <c r="M31" s="77">
        <v>325.10000000000002</v>
      </c>
      <c r="N31" s="77">
        <f>ROUND(L31*M31,2)</f>
        <v>48765</v>
      </c>
    </row>
    <row r="32" spans="1:14" s="71" customFormat="1" ht="88.8" customHeight="1" x14ac:dyDescent="0.3">
      <c r="A32" s="75">
        <v>13</v>
      </c>
      <c r="B32" s="78">
        <v>18.899999999999999</v>
      </c>
      <c r="C32" s="611" t="s">
        <v>463</v>
      </c>
      <c r="D32" s="516"/>
      <c r="E32" s="516"/>
      <c r="F32" s="516"/>
      <c r="G32" s="516"/>
      <c r="H32" s="516"/>
      <c r="I32" s="516"/>
      <c r="J32" s="517"/>
      <c r="K32" s="79"/>
      <c r="L32" s="227"/>
      <c r="M32" s="77"/>
      <c r="N32" s="77"/>
    </row>
    <row r="33" spans="1:16" s="71" customFormat="1" ht="15.6" customHeight="1" x14ac:dyDescent="0.3">
      <c r="A33" s="75"/>
      <c r="B33" s="74" t="s">
        <v>464</v>
      </c>
      <c r="C33" s="611" t="s">
        <v>465</v>
      </c>
      <c r="D33" s="516"/>
      <c r="E33" s="516"/>
      <c r="F33" s="516"/>
      <c r="G33" s="516"/>
      <c r="H33" s="516"/>
      <c r="I33" s="516"/>
      <c r="J33" s="517"/>
      <c r="K33" s="75" t="s">
        <v>462</v>
      </c>
      <c r="L33" s="228">
        <v>178</v>
      </c>
      <c r="M33" s="77">
        <v>370.65</v>
      </c>
      <c r="N33" s="77">
        <f>ROUND(L33*M33,2)</f>
        <v>65975.7</v>
      </c>
    </row>
    <row r="34" spans="1:16" s="71" customFormat="1" ht="37.799999999999997" customHeight="1" x14ac:dyDescent="0.3">
      <c r="A34" s="75">
        <v>14</v>
      </c>
      <c r="B34" s="63">
        <v>18.5</v>
      </c>
      <c r="C34" s="611" t="s">
        <v>466</v>
      </c>
      <c r="D34" s="516"/>
      <c r="E34" s="516"/>
      <c r="F34" s="516"/>
      <c r="G34" s="516"/>
      <c r="H34" s="516"/>
      <c r="I34" s="516"/>
      <c r="J34" s="517"/>
      <c r="K34" s="79"/>
      <c r="L34" s="227"/>
      <c r="M34" s="77"/>
      <c r="N34" s="77"/>
    </row>
    <row r="35" spans="1:16" s="71" customFormat="1" ht="13.8" customHeight="1" x14ac:dyDescent="0.3">
      <c r="A35" s="75"/>
      <c r="B35" s="74" t="s">
        <v>467</v>
      </c>
      <c r="C35" s="611" t="s">
        <v>468</v>
      </c>
      <c r="D35" s="516"/>
      <c r="E35" s="516"/>
      <c r="F35" s="516"/>
      <c r="G35" s="516"/>
      <c r="H35" s="516"/>
      <c r="I35" s="516"/>
      <c r="J35" s="517"/>
      <c r="K35" s="63" t="s">
        <v>157</v>
      </c>
      <c r="L35" s="229">
        <v>35</v>
      </c>
      <c r="M35" s="77">
        <v>715.04</v>
      </c>
      <c r="N35" s="77">
        <f>ROUND(L35*M35,2)</f>
        <v>25026.400000000001</v>
      </c>
    </row>
    <row r="36" spans="1:16" s="71" customFormat="1" ht="37.799999999999997" customHeight="1" x14ac:dyDescent="0.3">
      <c r="A36" s="75">
        <v>15</v>
      </c>
      <c r="B36" s="63">
        <v>18.489999999999998</v>
      </c>
      <c r="C36" s="611" t="s">
        <v>469</v>
      </c>
      <c r="D36" s="516"/>
      <c r="E36" s="516"/>
      <c r="F36" s="516"/>
      <c r="G36" s="516"/>
      <c r="H36" s="516"/>
      <c r="I36" s="516"/>
      <c r="J36" s="517"/>
      <c r="K36" s="79"/>
      <c r="L36" s="227"/>
      <c r="M36" s="77"/>
      <c r="N36" s="77"/>
    </row>
    <row r="37" spans="1:16" s="71" customFormat="1" ht="13.8" customHeight="1" x14ac:dyDescent="0.3">
      <c r="A37" s="75"/>
      <c r="B37" s="74" t="s">
        <v>470</v>
      </c>
      <c r="C37" s="611" t="s">
        <v>468</v>
      </c>
      <c r="D37" s="516"/>
      <c r="E37" s="516"/>
      <c r="F37" s="516"/>
      <c r="G37" s="516"/>
      <c r="H37" s="516"/>
      <c r="I37" s="516"/>
      <c r="J37" s="517"/>
      <c r="K37" s="63" t="s">
        <v>157</v>
      </c>
      <c r="L37" s="229">
        <v>45</v>
      </c>
      <c r="M37" s="77">
        <v>594.75</v>
      </c>
      <c r="N37" s="77">
        <f>ROUND(L37*M37,2)</f>
        <v>26763.75</v>
      </c>
    </row>
    <row r="38" spans="1:16" s="71" customFormat="1" ht="13.8" customHeight="1" x14ac:dyDescent="0.3">
      <c r="A38" s="75"/>
      <c r="B38" s="688"/>
      <c r="C38" s="689"/>
      <c r="D38" s="456"/>
      <c r="E38" s="456"/>
      <c r="F38" s="456"/>
      <c r="G38" s="456"/>
      <c r="H38" s="456"/>
      <c r="I38" s="456"/>
      <c r="J38" s="456"/>
      <c r="K38" s="690"/>
      <c r="L38" s="691"/>
      <c r="M38" s="692"/>
      <c r="N38" s="77"/>
    </row>
    <row r="39" spans="1:16" s="71" customFormat="1" ht="13.8" customHeight="1" x14ac:dyDescent="0.3">
      <c r="A39" s="610" t="s">
        <v>215</v>
      </c>
      <c r="B39" s="516"/>
      <c r="C39" s="516"/>
      <c r="D39" s="516"/>
      <c r="E39" s="516"/>
      <c r="F39" s="516"/>
      <c r="G39" s="516"/>
      <c r="H39" s="516"/>
      <c r="I39" s="516"/>
      <c r="J39" s="516"/>
      <c r="K39" s="516"/>
      <c r="L39" s="516"/>
      <c r="M39" s="517"/>
      <c r="N39" s="81">
        <f>SUM(N6:N37)</f>
        <v>498118.15</v>
      </c>
    </row>
    <row r="40" spans="1:16" s="71" customFormat="1" ht="11.4" customHeight="1" x14ac:dyDescent="0.3">
      <c r="A40" s="610" t="s">
        <v>304</v>
      </c>
      <c r="B40" s="516"/>
      <c r="C40" s="516"/>
      <c r="D40" s="516"/>
      <c r="E40" s="516"/>
      <c r="F40" s="516"/>
      <c r="G40" s="516"/>
      <c r="H40" s="516"/>
      <c r="I40" s="516"/>
      <c r="J40" s="516"/>
      <c r="K40" s="516"/>
      <c r="L40" s="516"/>
      <c r="M40" s="517"/>
      <c r="N40" s="81">
        <f>ROUND(N39,0)</f>
        <v>498118</v>
      </c>
      <c r="O40" s="71">
        <v>398332</v>
      </c>
      <c r="P40" s="374">
        <f>O40-N40</f>
        <v>-99786</v>
      </c>
    </row>
  </sheetData>
  <mergeCells count="39">
    <mergeCell ref="A40:M40"/>
    <mergeCell ref="C36:J36"/>
    <mergeCell ref="C4:J4"/>
    <mergeCell ref="A1:N1"/>
    <mergeCell ref="C27:J27"/>
    <mergeCell ref="C30:J30"/>
    <mergeCell ref="C21:J21"/>
    <mergeCell ref="C26:J26"/>
    <mergeCell ref="C10:J10"/>
    <mergeCell ref="C17:J17"/>
    <mergeCell ref="C23:J23"/>
    <mergeCell ref="C32:J32"/>
    <mergeCell ref="C9:J9"/>
    <mergeCell ref="C13:J13"/>
    <mergeCell ref="A3:N3"/>
    <mergeCell ref="C35:J35"/>
    <mergeCell ref="A2:N2"/>
    <mergeCell ref="C37:J37"/>
    <mergeCell ref="C28:J28"/>
    <mergeCell ref="C24:J24"/>
    <mergeCell ref="C8:J8"/>
    <mergeCell ref="C18:J18"/>
    <mergeCell ref="C5:J5"/>
    <mergeCell ref="C31:J31"/>
    <mergeCell ref="C16:J16"/>
    <mergeCell ref="C34:J34"/>
    <mergeCell ref="C6:J6"/>
    <mergeCell ref="C25:J25"/>
    <mergeCell ref="C15:J15"/>
    <mergeCell ref="C22:J22"/>
    <mergeCell ref="C12:J12"/>
    <mergeCell ref="C11:J11"/>
    <mergeCell ref="A39:M39"/>
    <mergeCell ref="C7:J7"/>
    <mergeCell ref="C33:J33"/>
    <mergeCell ref="C29:J29"/>
    <mergeCell ref="C14:J14"/>
    <mergeCell ref="C20:J20"/>
    <mergeCell ref="C19:J19"/>
  </mergeCells>
  <pageMargins left="0.47244094488188981" right="0.31496062992125978" top="0.31496062992125978" bottom="0.35433070866141742" header="0.31496062992125978" footer="0.31496062992125978"/>
  <pageSetup paperSize="9" orientation="portrait" horizontalDpi="4294967294"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E50"/>
  <sheetViews>
    <sheetView topLeftCell="A24" workbookViewId="0">
      <selection activeCell="C28" sqref="C28"/>
    </sheetView>
  </sheetViews>
  <sheetFormatPr defaultColWidth="9.21875" defaultRowHeight="13.2" x14ac:dyDescent="0.25"/>
  <cols>
    <col min="1" max="1" width="6" style="195" customWidth="1"/>
    <col min="2" max="2" width="6.77734375" style="195" customWidth="1"/>
    <col min="3" max="3" width="53.6640625" style="195" customWidth="1"/>
    <col min="4" max="4" width="6.5546875" style="195" customWidth="1"/>
    <col min="5" max="5" width="9.33203125" style="195" customWidth="1"/>
    <col min="6" max="6" width="6" style="195" customWidth="1"/>
    <col min="7" max="7" width="15.44140625" style="218" customWidth="1"/>
    <col min="8" max="9" width="9.21875" style="195" customWidth="1"/>
    <col min="10" max="10" width="12" style="195" bestFit="1" customWidth="1"/>
    <col min="11" max="11" width="10.77734375" style="195" customWidth="1"/>
    <col min="12" max="15" width="9.21875" style="195" customWidth="1"/>
    <col min="16" max="16384" width="9.21875" style="195"/>
  </cols>
  <sheetData>
    <row r="1" spans="1:10" ht="31.5" customHeight="1" x14ac:dyDescent="0.25">
      <c r="A1" s="617" t="str">
        <f t="array" ref="A1">'Sanitart Works'!A1:A1</f>
        <v xml:space="preserve"> Name of Work :-   Repairing and Renovation of  Circuit House at Bokakhat Co District under Golaghat District</v>
      </c>
      <c r="B1" s="557"/>
      <c r="C1" s="557"/>
      <c r="D1" s="557"/>
      <c r="E1" s="557"/>
      <c r="F1" s="557"/>
      <c r="G1" s="557"/>
    </row>
    <row r="2" spans="1:10" ht="25.2" customHeight="1" x14ac:dyDescent="0.25">
      <c r="A2" s="256" t="s">
        <v>471</v>
      </c>
      <c r="B2" s="257" t="s">
        <v>472</v>
      </c>
      <c r="C2" s="257" t="s">
        <v>473</v>
      </c>
      <c r="D2" s="257" t="s">
        <v>296</v>
      </c>
      <c r="E2" s="257" t="s">
        <v>474</v>
      </c>
      <c r="F2" s="257" t="s">
        <v>475</v>
      </c>
      <c r="G2" s="257" t="s">
        <v>9</v>
      </c>
      <c r="J2" s="197"/>
    </row>
    <row r="3" spans="1:10" ht="82.8" customHeight="1" x14ac:dyDescent="0.25">
      <c r="A3" s="344">
        <v>1</v>
      </c>
      <c r="B3" s="345" t="s">
        <v>476</v>
      </c>
      <c r="C3" s="293" t="s">
        <v>477</v>
      </c>
      <c r="D3" s="263"/>
      <c r="E3" s="263"/>
      <c r="F3" s="346"/>
      <c r="G3" s="263"/>
      <c r="H3" s="198"/>
      <c r="J3" s="197"/>
    </row>
    <row r="4" spans="1:10" ht="13.8" customHeight="1" x14ac:dyDescent="0.25">
      <c r="A4" s="344"/>
      <c r="B4" s="345" t="s">
        <v>478</v>
      </c>
      <c r="C4" s="293" t="s">
        <v>479</v>
      </c>
      <c r="D4" s="263" t="s">
        <v>480</v>
      </c>
      <c r="E4" s="347">
        <v>1015</v>
      </c>
      <c r="F4" s="346">
        <v>20</v>
      </c>
      <c r="G4" s="348">
        <f>E4*F4</f>
        <v>20300</v>
      </c>
      <c r="H4" s="198"/>
      <c r="J4" s="197"/>
    </row>
    <row r="5" spans="1:10" ht="69" customHeight="1" x14ac:dyDescent="0.25">
      <c r="A5" s="344">
        <v>2</v>
      </c>
      <c r="B5" s="345">
        <v>1.1200000000000001</v>
      </c>
      <c r="C5" s="293" t="s">
        <v>481</v>
      </c>
      <c r="D5" s="263" t="s">
        <v>462</v>
      </c>
      <c r="E5" s="347">
        <v>334</v>
      </c>
      <c r="F5" s="346">
        <v>180</v>
      </c>
      <c r="G5" s="348">
        <f>E5*F5</f>
        <v>60120</v>
      </c>
      <c r="H5" s="198"/>
    </row>
    <row r="6" spans="1:10" ht="55.2" customHeight="1" x14ac:dyDescent="0.25">
      <c r="A6" s="344">
        <v>3</v>
      </c>
      <c r="B6" s="345">
        <v>1.1399999999999999</v>
      </c>
      <c r="C6" s="293" t="s">
        <v>482</v>
      </c>
      <c r="D6" s="263"/>
      <c r="E6" s="263"/>
      <c r="F6" s="346"/>
      <c r="G6" s="348"/>
      <c r="H6" s="198"/>
    </row>
    <row r="7" spans="1:10" ht="13.8" customHeight="1" x14ac:dyDescent="0.25">
      <c r="A7" s="344"/>
      <c r="B7" s="345" t="s">
        <v>483</v>
      </c>
      <c r="C7" s="293" t="s">
        <v>484</v>
      </c>
      <c r="D7" s="333" t="s">
        <v>462</v>
      </c>
      <c r="E7" s="347">
        <v>275</v>
      </c>
      <c r="F7" s="346">
        <v>240</v>
      </c>
      <c r="G7" s="348">
        <f>E7*F7</f>
        <v>66000</v>
      </c>
      <c r="H7" s="198"/>
    </row>
    <row r="8" spans="1:10" ht="13.8" customHeight="1" x14ac:dyDescent="0.25">
      <c r="A8" s="344"/>
      <c r="B8" s="349" t="s">
        <v>485</v>
      </c>
      <c r="C8" s="350" t="s">
        <v>486</v>
      </c>
      <c r="D8" s="351" t="s">
        <v>487</v>
      </c>
      <c r="E8" s="348">
        <v>334</v>
      </c>
      <c r="F8" s="263">
        <v>140</v>
      </c>
      <c r="G8" s="348">
        <f>E8*F8</f>
        <v>46760</v>
      </c>
      <c r="H8" s="198"/>
    </row>
    <row r="9" spans="1:10" ht="13.8" customHeight="1" x14ac:dyDescent="0.25">
      <c r="A9" s="344"/>
      <c r="B9" s="345" t="s">
        <v>488</v>
      </c>
      <c r="C9" s="293" t="s">
        <v>489</v>
      </c>
      <c r="D9" s="333" t="s">
        <v>462</v>
      </c>
      <c r="E9" s="347">
        <v>439</v>
      </c>
      <c r="F9" s="346">
        <v>100</v>
      </c>
      <c r="G9" s="348">
        <f>E9*F9</f>
        <v>43900</v>
      </c>
      <c r="H9" s="198"/>
    </row>
    <row r="10" spans="1:10" ht="41.4" customHeight="1" x14ac:dyDescent="0.25">
      <c r="A10" s="344">
        <v>4</v>
      </c>
      <c r="B10" s="345">
        <v>1.24</v>
      </c>
      <c r="C10" s="293" t="s">
        <v>490</v>
      </c>
      <c r="D10" s="333"/>
      <c r="E10" s="347"/>
      <c r="F10" s="346"/>
      <c r="G10" s="348"/>
      <c r="H10" s="198"/>
      <c r="J10" s="197"/>
    </row>
    <row r="11" spans="1:10" ht="13.8" customHeight="1" x14ac:dyDescent="0.25">
      <c r="A11" s="344"/>
      <c r="B11" s="345" t="s">
        <v>491</v>
      </c>
      <c r="C11" s="293" t="s">
        <v>492</v>
      </c>
      <c r="D11" s="333" t="s">
        <v>157</v>
      </c>
      <c r="E11" s="347">
        <v>103</v>
      </c>
      <c r="F11" s="346">
        <v>8</v>
      </c>
      <c r="G11" s="348">
        <f>E11*F11</f>
        <v>824</v>
      </c>
      <c r="H11" s="198"/>
      <c r="J11" s="197"/>
    </row>
    <row r="12" spans="1:10" ht="13.8" customHeight="1" x14ac:dyDescent="0.25">
      <c r="A12" s="344"/>
      <c r="B12" s="345" t="s">
        <v>493</v>
      </c>
      <c r="C12" s="293" t="s">
        <v>494</v>
      </c>
      <c r="D12" s="333" t="s">
        <v>157</v>
      </c>
      <c r="E12" s="347">
        <v>156</v>
      </c>
      <c r="F12" s="346">
        <v>12</v>
      </c>
      <c r="G12" s="348">
        <f>E12*F12</f>
        <v>1872</v>
      </c>
      <c r="H12" s="198"/>
      <c r="J12" s="197"/>
    </row>
    <row r="13" spans="1:10" ht="13.8" customHeight="1" x14ac:dyDescent="0.25">
      <c r="A13" s="344"/>
      <c r="B13" s="345" t="s">
        <v>495</v>
      </c>
      <c r="C13" s="293" t="s">
        <v>496</v>
      </c>
      <c r="D13" s="333" t="s">
        <v>157</v>
      </c>
      <c r="E13" s="347">
        <v>122</v>
      </c>
      <c r="F13" s="346">
        <v>8</v>
      </c>
      <c r="G13" s="348">
        <f>E13*F13</f>
        <v>976</v>
      </c>
      <c r="H13" s="198"/>
      <c r="J13" s="197"/>
    </row>
    <row r="14" spans="1:10" ht="13.8" customHeight="1" x14ac:dyDescent="0.25">
      <c r="A14" s="344"/>
      <c r="B14" s="345" t="s">
        <v>497</v>
      </c>
      <c r="C14" s="293" t="s">
        <v>498</v>
      </c>
      <c r="D14" s="333" t="s">
        <v>157</v>
      </c>
      <c r="E14" s="347">
        <v>197</v>
      </c>
      <c r="F14" s="346">
        <v>12</v>
      </c>
      <c r="G14" s="348">
        <f>E14*F14</f>
        <v>2364</v>
      </c>
      <c r="H14" s="198"/>
      <c r="J14" s="197"/>
    </row>
    <row r="15" spans="1:10" ht="41.4" customHeight="1" x14ac:dyDescent="0.25">
      <c r="A15" s="344">
        <v>5</v>
      </c>
      <c r="B15" s="345">
        <v>1.25</v>
      </c>
      <c r="C15" s="293" t="s">
        <v>499</v>
      </c>
      <c r="D15" s="333" t="s">
        <v>157</v>
      </c>
      <c r="E15" s="347">
        <v>369</v>
      </c>
      <c r="F15" s="346">
        <v>6</v>
      </c>
      <c r="G15" s="348">
        <f>E15*F15</f>
        <v>2214</v>
      </c>
      <c r="H15" s="198"/>
      <c r="J15" s="197"/>
    </row>
    <row r="16" spans="1:10" ht="41.4" customHeight="1" x14ac:dyDescent="0.25">
      <c r="A16" s="344">
        <v>6</v>
      </c>
      <c r="B16" s="345">
        <v>1.27</v>
      </c>
      <c r="C16" s="293" t="s">
        <v>500</v>
      </c>
      <c r="D16" s="333"/>
      <c r="E16" s="352"/>
      <c r="F16" s="346"/>
      <c r="G16" s="348"/>
      <c r="H16" s="198"/>
      <c r="J16" s="197"/>
    </row>
    <row r="17" spans="1:10" ht="28.5" customHeight="1" x14ac:dyDescent="0.25">
      <c r="A17" s="344"/>
      <c r="B17" s="345" t="s">
        <v>501</v>
      </c>
      <c r="C17" s="293" t="s">
        <v>502</v>
      </c>
      <c r="D17" s="333" t="s">
        <v>157</v>
      </c>
      <c r="E17" s="347">
        <v>298</v>
      </c>
      <c r="F17" s="346">
        <v>8</v>
      </c>
      <c r="G17" s="348">
        <f>E17*F17</f>
        <v>2384</v>
      </c>
      <c r="H17" s="198"/>
      <c r="J17" s="199"/>
    </row>
    <row r="18" spans="1:10" ht="13.8" customHeight="1" x14ac:dyDescent="0.25">
      <c r="A18" s="344"/>
      <c r="B18" s="345" t="s">
        <v>503</v>
      </c>
      <c r="C18" s="353" t="s">
        <v>504</v>
      </c>
      <c r="D18" s="333" t="s">
        <v>157</v>
      </c>
      <c r="E18" s="354">
        <v>343</v>
      </c>
      <c r="F18" s="346">
        <v>4</v>
      </c>
      <c r="G18" s="348">
        <f>E18*F18</f>
        <v>1372</v>
      </c>
      <c r="H18" s="198"/>
      <c r="J18" s="197"/>
    </row>
    <row r="19" spans="1:10" ht="13.8" customHeight="1" x14ac:dyDescent="0.25">
      <c r="A19" s="344"/>
      <c r="B19" s="345" t="s">
        <v>505</v>
      </c>
      <c r="C19" s="293" t="s">
        <v>506</v>
      </c>
      <c r="D19" s="333" t="s">
        <v>157</v>
      </c>
      <c r="E19" s="347">
        <v>547</v>
      </c>
      <c r="F19" s="263">
        <v>4</v>
      </c>
      <c r="G19" s="348">
        <f>E19*F19</f>
        <v>2188</v>
      </c>
      <c r="H19" s="198"/>
      <c r="J19" s="197"/>
    </row>
    <row r="20" spans="1:10" ht="27.6" customHeight="1" x14ac:dyDescent="0.25">
      <c r="A20" s="344">
        <v>7</v>
      </c>
      <c r="B20" s="355">
        <v>1.28</v>
      </c>
      <c r="C20" s="353" t="s">
        <v>507</v>
      </c>
      <c r="D20" s="333"/>
      <c r="E20" s="354"/>
      <c r="F20" s="348"/>
      <c r="G20" s="348"/>
      <c r="H20" s="198"/>
      <c r="J20" s="197"/>
    </row>
    <row r="21" spans="1:10" ht="13.8" customHeight="1" x14ac:dyDescent="0.25">
      <c r="A21" s="344"/>
      <c r="B21" s="356" t="s">
        <v>508</v>
      </c>
      <c r="C21" s="353" t="s">
        <v>509</v>
      </c>
      <c r="D21" s="333" t="s">
        <v>157</v>
      </c>
      <c r="E21" s="354">
        <v>133</v>
      </c>
      <c r="F21" s="263">
        <v>8</v>
      </c>
      <c r="G21" s="348">
        <f t="shared" ref="G21:G28" si="0">E21*F21</f>
        <v>1064</v>
      </c>
      <c r="H21" s="198"/>
      <c r="J21" s="197"/>
    </row>
    <row r="22" spans="1:10" ht="13.8" customHeight="1" x14ac:dyDescent="0.25">
      <c r="A22" s="344"/>
      <c r="B22" s="356" t="s">
        <v>510</v>
      </c>
      <c r="C22" s="353" t="s">
        <v>511</v>
      </c>
      <c r="D22" s="333" t="s">
        <v>157</v>
      </c>
      <c r="E22" s="354">
        <v>158</v>
      </c>
      <c r="F22" s="263">
        <v>4</v>
      </c>
      <c r="G22" s="348">
        <f t="shared" si="0"/>
        <v>632</v>
      </c>
      <c r="H22" s="198"/>
      <c r="J22" s="197"/>
    </row>
    <row r="23" spans="1:10" ht="13.8" customHeight="1" x14ac:dyDescent="0.25">
      <c r="A23" s="357"/>
      <c r="B23" s="345" t="s">
        <v>512</v>
      </c>
      <c r="C23" s="293" t="s">
        <v>513</v>
      </c>
      <c r="D23" s="333" t="s">
        <v>157</v>
      </c>
      <c r="E23" s="354">
        <v>272</v>
      </c>
      <c r="F23" s="263">
        <v>4</v>
      </c>
      <c r="G23" s="348">
        <f t="shared" si="0"/>
        <v>1088</v>
      </c>
      <c r="H23" s="198"/>
      <c r="J23" s="197"/>
    </row>
    <row r="24" spans="1:10" ht="55.2" customHeight="1" x14ac:dyDescent="0.25">
      <c r="A24" s="344">
        <v>8</v>
      </c>
      <c r="B24" s="268">
        <v>1.44</v>
      </c>
      <c r="C24" s="293" t="s">
        <v>514</v>
      </c>
      <c r="D24" s="263" t="s">
        <v>487</v>
      </c>
      <c r="E24" s="348">
        <v>171</v>
      </c>
      <c r="F24" s="346">
        <v>8</v>
      </c>
      <c r="G24" s="348">
        <f t="shared" si="0"/>
        <v>1368</v>
      </c>
      <c r="H24" s="198"/>
      <c r="J24" s="197"/>
    </row>
    <row r="25" spans="1:10" ht="58.5" customHeight="1" x14ac:dyDescent="0.25">
      <c r="A25" s="358">
        <v>9</v>
      </c>
      <c r="B25" s="356" t="s">
        <v>515</v>
      </c>
      <c r="C25" s="353" t="s">
        <v>516</v>
      </c>
      <c r="D25" s="333" t="s">
        <v>157</v>
      </c>
      <c r="E25" s="354">
        <v>2730</v>
      </c>
      <c r="F25" s="346">
        <v>8</v>
      </c>
      <c r="G25" s="348">
        <f t="shared" si="0"/>
        <v>21840</v>
      </c>
      <c r="H25" s="198"/>
      <c r="I25" s="197"/>
    </row>
    <row r="26" spans="1:10" ht="27.6" customHeight="1" x14ac:dyDescent="0.25">
      <c r="A26" s="358">
        <v>10</v>
      </c>
      <c r="B26" s="358" t="s">
        <v>517</v>
      </c>
      <c r="C26" s="350" t="s">
        <v>518</v>
      </c>
      <c r="D26" s="359" t="s">
        <v>157</v>
      </c>
      <c r="E26" s="348">
        <v>213</v>
      </c>
      <c r="F26" s="346">
        <v>8</v>
      </c>
      <c r="G26" s="348">
        <f t="shared" si="0"/>
        <v>1704</v>
      </c>
      <c r="H26" s="198"/>
      <c r="I26" s="200"/>
    </row>
    <row r="27" spans="1:10" ht="110.4" customHeight="1" x14ac:dyDescent="0.25">
      <c r="A27" s="358">
        <v>11</v>
      </c>
      <c r="B27" s="358" t="s">
        <v>519</v>
      </c>
      <c r="C27" s="360" t="s">
        <v>520</v>
      </c>
      <c r="D27" s="359" t="s">
        <v>157</v>
      </c>
      <c r="E27" s="348">
        <v>1010</v>
      </c>
      <c r="F27" s="346">
        <v>10</v>
      </c>
      <c r="G27" s="348">
        <f t="shared" si="0"/>
        <v>10100</v>
      </c>
      <c r="H27" s="198"/>
      <c r="I27" s="201"/>
    </row>
    <row r="28" spans="1:10" ht="41.4" customHeight="1" x14ac:dyDescent="0.25">
      <c r="A28" s="344">
        <v>12</v>
      </c>
      <c r="B28" s="358" t="s">
        <v>521</v>
      </c>
      <c r="C28" s="361" t="s">
        <v>522</v>
      </c>
      <c r="D28" s="333" t="s">
        <v>157</v>
      </c>
      <c r="E28" s="362">
        <f>[50]Electrical!$E$28</f>
        <v>14820</v>
      </c>
      <c r="F28" s="363">
        <v>4</v>
      </c>
      <c r="G28" s="348">
        <f t="shared" si="0"/>
        <v>59280</v>
      </c>
      <c r="H28" s="198"/>
      <c r="I28" s="201"/>
    </row>
    <row r="29" spans="1:10" ht="78.599999999999994" customHeight="1" x14ac:dyDescent="0.25">
      <c r="A29" s="344">
        <v>13</v>
      </c>
      <c r="B29" s="358" t="s">
        <v>523</v>
      </c>
      <c r="C29" s="364" t="s">
        <v>524</v>
      </c>
      <c r="D29" s="365"/>
      <c r="E29" s="263"/>
      <c r="F29" s="346"/>
      <c r="G29" s="348"/>
      <c r="H29" s="198"/>
      <c r="I29" s="201"/>
    </row>
    <row r="30" spans="1:10" ht="13.8" customHeight="1" x14ac:dyDescent="0.25">
      <c r="A30" s="357"/>
      <c r="B30" s="358"/>
      <c r="C30" s="364" t="s">
        <v>525</v>
      </c>
      <c r="D30" s="333" t="s">
        <v>157</v>
      </c>
      <c r="E30" s="347">
        <f>[50]Electrical!$E$30</f>
        <v>62027</v>
      </c>
      <c r="F30" s="346">
        <v>6</v>
      </c>
      <c r="G30" s="348">
        <f>E30*F30</f>
        <v>372162</v>
      </c>
      <c r="H30" s="198"/>
      <c r="I30" s="202"/>
      <c r="J30" s="203"/>
    </row>
    <row r="31" spans="1:10" ht="13.8" customHeight="1" x14ac:dyDescent="0.25">
      <c r="A31" s="258"/>
      <c r="B31" s="268"/>
      <c r="C31" s="372"/>
      <c r="D31" s="365"/>
      <c r="E31" s="373" t="s">
        <v>15</v>
      </c>
      <c r="F31" s="351" t="s">
        <v>526</v>
      </c>
      <c r="G31" s="348">
        <f>SUM(G3:G30)</f>
        <v>720512</v>
      </c>
      <c r="H31" s="198"/>
      <c r="I31" s="202"/>
      <c r="J31" s="203"/>
    </row>
    <row r="32" spans="1:10" ht="13.8" customHeight="1" x14ac:dyDescent="0.25">
      <c r="A32" s="3"/>
      <c r="B32" s="366"/>
      <c r="C32" s="367"/>
      <c r="D32" s="368"/>
      <c r="E32" s="369"/>
      <c r="F32" s="370"/>
      <c r="G32" s="371"/>
      <c r="H32" s="198"/>
      <c r="I32" s="202"/>
      <c r="J32" s="203"/>
    </row>
    <row r="33" spans="1:135" ht="13.8" customHeight="1" x14ac:dyDescent="0.25">
      <c r="A33" s="3"/>
      <c r="B33" s="366"/>
      <c r="C33" s="615" t="str">
        <f>CU40</f>
        <v>(Rupees seven lakh twenty  thousand five hundred twelve) only.</v>
      </c>
      <c r="D33" s="616"/>
      <c r="E33" s="616"/>
      <c r="F33" s="370"/>
      <c r="G33" s="371"/>
      <c r="H33" s="198"/>
      <c r="I33" s="202"/>
      <c r="J33" s="203"/>
    </row>
    <row r="34" spans="1:135" ht="13.8" customHeight="1" x14ac:dyDescent="0.25">
      <c r="A34" s="3"/>
      <c r="B34" s="366"/>
      <c r="C34" s="367"/>
      <c r="D34" s="368"/>
      <c r="E34" s="369"/>
      <c r="F34" s="370"/>
      <c r="G34" s="371"/>
      <c r="H34" s="198"/>
      <c r="I34" s="202"/>
      <c r="J34" s="203"/>
    </row>
    <row r="35" spans="1:135" ht="13.8" customHeight="1" x14ac:dyDescent="0.25">
      <c r="A35" s="3"/>
      <c r="B35" s="366"/>
      <c r="C35" s="367"/>
      <c r="D35" s="368"/>
      <c r="E35" s="369"/>
      <c r="F35" s="370"/>
      <c r="G35" s="371"/>
      <c r="H35" s="198"/>
      <c r="I35" s="202"/>
      <c r="J35" s="203"/>
    </row>
    <row r="36" spans="1:135" ht="13.8" customHeight="1" x14ac:dyDescent="0.25">
      <c r="A36" s="3"/>
      <c r="B36" s="366"/>
      <c r="C36" s="367"/>
      <c r="D36" s="368"/>
      <c r="E36" s="369"/>
      <c r="F36" s="370"/>
      <c r="G36" s="371"/>
      <c r="H36" s="198"/>
      <c r="I36" s="202"/>
      <c r="J36" s="203"/>
    </row>
    <row r="37" spans="1:135" ht="15.6" customHeight="1" x14ac:dyDescent="0.25">
      <c r="B37" s="209" t="s">
        <v>527</v>
      </c>
      <c r="C37" s="207"/>
      <c r="D37" s="205"/>
      <c r="E37" s="208"/>
      <c r="F37" s="205"/>
      <c r="H37" s="198"/>
      <c r="I37" s="202"/>
      <c r="J37" s="203"/>
    </row>
    <row r="38" spans="1:135" x14ac:dyDescent="0.25">
      <c r="B38" s="210" t="s">
        <v>528</v>
      </c>
      <c r="C38" s="211"/>
      <c r="D38" s="205"/>
      <c r="E38" s="208"/>
      <c r="F38" s="205"/>
      <c r="H38" s="198"/>
      <c r="I38" s="202"/>
      <c r="J38" s="203"/>
    </row>
    <row r="39" spans="1:135" ht="13.8" customHeight="1" thickBot="1" x14ac:dyDescent="0.3">
      <c r="A39" s="204"/>
      <c r="B39" s="212" t="s">
        <v>529</v>
      </c>
      <c r="C39" s="207"/>
      <c r="D39" s="205"/>
      <c r="E39" s="208"/>
      <c r="F39" s="205"/>
      <c r="H39" s="198"/>
      <c r="I39" s="202"/>
      <c r="J39" s="203"/>
    </row>
    <row r="40" spans="1:135" s="53" customFormat="1" ht="12.75" customHeight="1" thickBot="1" x14ac:dyDescent="0.35">
      <c r="A40" s="42">
        <f>G31</f>
        <v>720512</v>
      </c>
      <c r="B40" s="43" t="s">
        <v>263</v>
      </c>
      <c r="C40" s="44">
        <v>1</v>
      </c>
      <c r="D40" s="45" t="s">
        <v>264</v>
      </c>
      <c r="E40" s="44">
        <v>2</v>
      </c>
      <c r="F40" s="45" t="s">
        <v>265</v>
      </c>
      <c r="G40" s="44">
        <v>3</v>
      </c>
      <c r="H40" s="45" t="s">
        <v>266</v>
      </c>
      <c r="I40" s="44">
        <v>4</v>
      </c>
      <c r="J40" s="45" t="s">
        <v>267</v>
      </c>
      <c r="K40" s="44">
        <v>5</v>
      </c>
      <c r="L40" s="45" t="s">
        <v>268</v>
      </c>
      <c r="M40" s="44">
        <v>6</v>
      </c>
      <c r="N40" s="217" t="s">
        <v>269</v>
      </c>
      <c r="O40" s="44">
        <v>7</v>
      </c>
      <c r="P40" s="45" t="s">
        <v>270</v>
      </c>
      <c r="Q40" s="44">
        <v>8</v>
      </c>
      <c r="R40" s="45" t="s">
        <v>271</v>
      </c>
      <c r="S40" s="44">
        <v>9</v>
      </c>
      <c r="T40" s="45" t="s">
        <v>272</v>
      </c>
      <c r="U40" s="44">
        <v>10</v>
      </c>
      <c r="V40" s="45" t="s">
        <v>273</v>
      </c>
      <c r="W40" s="44">
        <v>11</v>
      </c>
      <c r="X40" s="45" t="s">
        <v>274</v>
      </c>
      <c r="Y40" s="44">
        <v>12</v>
      </c>
      <c r="Z40" s="45" t="s">
        <v>275</v>
      </c>
      <c r="AA40" s="44">
        <v>13</v>
      </c>
      <c r="AB40" s="45" t="s">
        <v>276</v>
      </c>
      <c r="AC40" s="44">
        <v>14</v>
      </c>
      <c r="AD40" s="45" t="s">
        <v>277</v>
      </c>
      <c r="AE40" s="44">
        <v>15</v>
      </c>
      <c r="AF40" s="45" t="s">
        <v>278</v>
      </c>
      <c r="AG40" s="44">
        <v>16</v>
      </c>
      <c r="AH40" s="45" t="s">
        <v>279</v>
      </c>
      <c r="AI40" s="44">
        <v>17</v>
      </c>
      <c r="AJ40" s="45" t="s">
        <v>280</v>
      </c>
      <c r="AK40" s="44">
        <v>18</v>
      </c>
      <c r="AL40" s="45" t="s">
        <v>281</v>
      </c>
      <c r="AM40" s="44">
        <v>19</v>
      </c>
      <c r="AN40" s="45" t="s">
        <v>282</v>
      </c>
      <c r="AO40" s="46" t="s">
        <v>283</v>
      </c>
      <c r="AP40" s="47" t="s">
        <v>284</v>
      </c>
      <c r="AQ40" s="48" t="s">
        <v>285</v>
      </c>
      <c r="AR40" s="48" t="str">
        <f>IF(AX40="","",IF(AX40&gt;=90,"ninety "&amp;IF((AX40-ROUNDDOWN(AX40,-1))=C40,D40,"")&amp;IF((AX40-ROUNDDOWN(AX40,-1))=E40,F40,"")&amp;IF((AX40-ROUNDDOWN(AX40,-1))=G40,H40,"")&amp;IF((AX40-ROUNDDOWN(AX40,-1))=I40,J40,"")&amp;IF((AX40-ROUNDDOWN(AX40,-1))=K40,L40,"")&amp;IF((AX40-ROUNDDOWN(AX40,-1))=M40,N40,"")&amp;IF((AX40-ROUNDDOWN(AX40,-1))=O40,P40,"")&amp;IF((AX40-ROUNDDOWN(AX40,-1))=Q40,R40,"")&amp;IF((AX40-ROUNDDOWN(AX40,-1))=S40,T40,""),IF(AX40&gt;=80,"eighty "&amp;IF((AX40-ROUNDDOWN(AX40,-1))=1,D40,"")&amp;IF((AX40-ROUNDDOWN(AX40,-1))=2,F40,"")&amp;IF((AX40-ROUNDDOWN(AX40,-1))=G40,H40,"")&amp;IF((AX40-ROUNDDOWN(AX40,-1))=I40,J40,"")&amp;IF((AX40-ROUNDDOWN(AX40,-1))=K40,L40,"")&amp;IF((AX40-ROUNDDOWN(AX40,-1))=M40,N40,"")&amp;IF((AX40-ROUNDDOWN(AX40,-1))=O40,P40,"")&amp;IF((AX40-ROUNDDOWN(AX40,-1))=Q40,R40,"")&amp;IF((AX40-ROUNDDOWN(AX40,-1))=S40,T40,""),"")))</f>
        <v/>
      </c>
      <c r="AS40" s="48" t="str">
        <f>IF(AX40="","",IF(AX40&gt;79,"",IF(AX40&gt;=70,"seventy "&amp;IF((AX40-ROUNDDOWN(AX40,-1))=C40,D40,"")&amp;IF((AX40-ROUNDDOWN(AX40,-1))=E40,F40,"")&amp;IF((AX40-ROUNDDOWN(AX40,-1))=G40,H40,"")&amp;IF((AX40-ROUNDDOWN(AX40,-1))=I40,J40,"")&amp;IF((AX40-ROUNDDOWN(AX40,-1))=K40,L40,"")&amp;IF((AX40-ROUNDDOWN(AX40,-1))=M40,N40,"")&amp;IF((AX40-ROUNDDOWN(AX40,-1))=O40,P40,"")&amp;IF((AX40-ROUNDDOWN(AX40,-1))=Q40,R40,"")&amp;IF((AX40-ROUNDDOWN(AX40,-1))=S40,T40,""),IF(AX40&gt;=60,"sixty "&amp;IF((AX40-ROUNDDOWN(AX40,-1))=1,D40,"")&amp;IF((AX40-ROUNDDOWN(AX40,-1))=2,F40,"")&amp;IF((AX40-ROUNDDOWN(AX40,-1))=G40,H40,"")&amp;IF((AX40-ROUNDDOWN(AX40,-1))=I40,J40,"")&amp;IF((AX40-ROUNDDOWN(AX40,-1))=K40,L40,"")&amp;IF((AX40-ROUNDDOWN(AX40,-1))=M40,N40,"")&amp;IF((AX40-ROUNDDOWN(AX40,-1))=O40,P40,"")&amp;IF((AX40-ROUNDDOWN(AX40,-1))=Q40,R40,"")&amp;IF((AX40-ROUNDDOWN(AX40,-1))=S40,T40,""),""))))</f>
        <v/>
      </c>
      <c r="AT40" s="48" t="str">
        <f>IF(AX40="","",IF(AX40&gt;59,"",IF(AX40&gt;=50,"fifty "&amp;IF((AX40-ROUNDDOWN(AX40,-1))=C40,D40,"")&amp;IF((AX40-ROUNDDOWN(AX40,-1))=E40,F40,"")&amp;IF((AX40-ROUNDDOWN(AX40,-1))=G40,H40,"")&amp;IF((AX40-ROUNDDOWN(AX40,-1))=I40,J40,"")&amp;IF((AX40-ROUNDDOWN(AX40,-1))=K40,L40,"")&amp;IF((AX40-ROUNDDOWN(AX40,-1))=M40,N40,"")&amp;IF((AX40-ROUNDDOWN(AX40,-1))=O40,P40,"")&amp;IF((AX40-ROUNDDOWN(AX40,-1))=Q40,R40,"")&amp;IF((AX40-ROUNDDOWN(AX40,-1))=S40,T40,""),IF(AX40&gt;=40,"forty "&amp;IF((AX40-ROUNDDOWN(AX40,-1))=1,D40,"")&amp;IF((AX40-ROUNDDOWN(AX40,-1))=2,F40,"")&amp;IF((AX40-ROUNDDOWN(AX40,-1))=G40,H40,"")&amp;IF((AX40-ROUNDDOWN(AX40,-1))=I40,J40,"")&amp;IF((AX40-ROUNDDOWN(AX40,-1))=K40,L40,"")&amp;IF((AX40-ROUNDDOWN(AX40,-1))=M40,N40,"")&amp;IF((AX40-ROUNDDOWN(AX40,-1))=O40,P40,"")&amp;IF((AX40-ROUNDDOWN(AX40,-1))=Q40,R40,"")&amp;IF((AX40-ROUNDDOWN(AX40,-1))=S40,T40,""),""))))</f>
        <v/>
      </c>
      <c r="AU40" s="48" t="str">
        <f>IF(AX40="","",IF(AX40&gt;39,"",IF(AX40&gt;=30,"thirty "&amp;IF((AX40-ROUNDDOWN(AX40,-1))=C40,D40,"")&amp;IF((AX40-ROUNDDOWN(AX40,-1))=E40,F40,"")&amp;IF((AX40-ROUNDDOWN(AX40,-1))=G40,H40,"")&amp;IF((AX40-ROUNDDOWN(AX40,-1))=I40,J40,"")&amp;IF((AX40-ROUNDDOWN(AX40,-1))=K40,L40,"")&amp;IF((AX40-ROUNDDOWN(AX40,-1))=M40,N40,"")&amp;IF((AX40-ROUNDDOWN(AX40,-1))=O40,P40,"")&amp;IF((AX40-ROUNDDOWN(AX40,-1))=Q40,R40,"")&amp;IF((AX40-ROUNDDOWN(AX40,-1))=S40,T40,""),IF(AX40&gt;=20,"twenty "&amp;IF((AX40-ROUNDDOWN(AX40,-1))=1,D40,"")&amp;IF((AX40-ROUNDDOWN(AX40,-1))=2,F40,"")&amp;IF((AX40-ROUNDDOWN(AX40,-1))=G40,H40,"")&amp;IF((AX40-ROUNDDOWN(AX40,-1))=I40,J40,"")&amp;IF((AX40-ROUNDDOWN(AX40,-1))=K40,L40,"")&amp;IF((AX40-ROUNDDOWN(AX40,-1))=M40,N40,"")&amp;IF((AX40-ROUNDDOWN(AX40,-1))=O40,P40,"")&amp;IF((AX40-ROUNDDOWN(AX40,-1))=Q40,R40,"")&amp;IF((AX40-ROUNDDOWN(AX40,-1))=S40,T40,""),""))))</f>
        <v/>
      </c>
      <c r="AV40" s="48" t="str">
        <f>IF(AX40="","",IF(AX40=C40,D40,"")&amp;IF(AX40=E40,F40,"")&amp;IF(AX40=G40,H40,"")&amp;IF(AX40=I40,J40,"")&amp;IF(AX40=K40,L40,"")&amp;IF(AX40=M40,N40,"")&amp;IF(AX40=O40,P40,"")&amp;IF(AX40=Q40,R40,"")&amp;IF(AX40=S40,T40,"")&amp;IF(AX40=U40,V40,"")&amp;IF(AX40=W40,X40,"")&amp;IF(AX40=Y40,Z40,"")&amp;IF(AX40=AA40,AB40,"")&amp;IF(AX40=AC40,AD40,"")&amp;IF(AX40=AE40,AF40,"")&amp;IF(AX40=AG40,AH40,"")&amp;IF(AX40=AI40,AJ40,"")&amp;IF(AX40=AK40,AL40,"")&amp;IF(AX40=AM40,AN40,""))</f>
        <v/>
      </c>
      <c r="AW40" s="49"/>
      <c r="AX40" s="48" t="str">
        <f>IF(A40&gt;=10000000,ROUNDDOWN(A40,-7)/10000000,"")</f>
        <v/>
      </c>
      <c r="AY40" s="48" t="str">
        <f>IF(AR40="","",AR40)&amp;IF(AS40="","",AS40)&amp;IF(AT40="","",AT40)&amp;IF(AU40="","",AU40)&amp;IF(AV40="","",AV40)</f>
        <v/>
      </c>
      <c r="AZ40" s="48" t="s">
        <v>286</v>
      </c>
      <c r="BA40" s="48" t="str">
        <f>IF(BG40="","",IF(BG40&gt;=90,"ninety "&amp;IF((BG40-ROUNDDOWN(BG40,-1))=C40,D40,"")&amp;IF((BG40-ROUNDDOWN(BG40,-1))=E40,F40,"")&amp;IF((BG40-ROUNDDOWN(BG40,-1))=G40,H40,"")&amp;IF((BG40-ROUNDDOWN(BG40,-1))=I40,J40,"")&amp;IF((BG40-ROUNDDOWN(BG40,-1))=K40,L40,"")&amp;IF((BG40-ROUNDDOWN(BG40,-1))=M40,N40,"")&amp;IF((BG40-ROUNDDOWN(BG40,-1))=O40,P40,"")&amp;IF((BG40-ROUNDDOWN(BG40,-1))=Q40,R40,"")&amp;IF((BG40-ROUNDDOWN(BG40,-1))=S40,T40,""),IF(BG40&gt;=80,"eighty "&amp;IF((BG40-ROUNDDOWN(BG40,-1))=1,D40,"")&amp;IF((BG40-ROUNDDOWN(BG40,-1))=2,F40,"")&amp;IF((BG40-ROUNDDOWN(BG40,-1))=G40,H40,"")&amp;IF((BG40-ROUNDDOWN(BG40,-1))=I40,J40,"")&amp;IF((BG40-ROUNDDOWN(BG40,-1))=K40,L40,"")&amp;IF((BG40-ROUNDDOWN(BG40,-1))=M40,N40,"")&amp;IF((BG40-ROUNDDOWN(BG40,-1))=O40,P40,"")&amp;IF((BG40-ROUNDDOWN(BG40,-1))=Q40,R40,"")&amp;IF((BG40-ROUNDDOWN(BG40,-1))=S40,T40,""),"")))</f>
        <v/>
      </c>
      <c r="BB40" s="48" t="str">
        <f>IF(BG40="","",IF(BG40&gt;79,"",IF(BG40&gt;=70,"seventy "&amp;IF((BG40-ROUNDDOWN(BG40,-1))=C40,D40,"")&amp;IF((BG40-ROUNDDOWN(BG40,-1))=E40,F40,"")&amp;IF((BG40-ROUNDDOWN(BG40,-1))=G40,H40,"")&amp;IF((BG40-ROUNDDOWN(BG40,-1))=I40,J40,"")&amp;IF((BG40-ROUNDDOWN(BG40,-1))=K40,L40,"")&amp;IF((BG40-ROUNDDOWN(BG40,-1))=M40,N40,"")&amp;IF((BG40-ROUNDDOWN(BG40,-1))=O40,P40,"")&amp;IF((BG40-ROUNDDOWN(BG40,-1))=Q40,R40,"")&amp;IF((BG40-ROUNDDOWN(BG40,-1))=S40,T40,""),IF(BG40&gt;=60,"sixty "&amp;IF((BG40-ROUNDDOWN(BG40,-1))=1,D40,"")&amp;IF((BG40-ROUNDDOWN(BG40,-1))=2,F40,"")&amp;IF((BG40-ROUNDDOWN(BG40,-1))=G40,H40,"")&amp;IF((BG40-ROUNDDOWN(BG40,-1))=I40,J40,"")&amp;IF((BG40-ROUNDDOWN(BG40,-1))=K40,L40,"")&amp;IF((BG40-ROUNDDOWN(BG40,-1))=M40,N40,"")&amp;IF((BG40-ROUNDDOWN(BG40,-1))=O40,P40,"")&amp;IF((BG40-ROUNDDOWN(BG40,-1))=Q40,R40,"")&amp;IF((BG40-ROUNDDOWN(BG40,-1))=S40,T40,""),""))))</f>
        <v/>
      </c>
      <c r="BC40" s="48" t="str">
        <f>IF(BG40="","",IF(BG40&gt;59,"",IF(BG40&gt;=50,"fifty "&amp;IF((BG40-ROUNDDOWN(BG40,-1))=C40,D40,"")&amp;IF((BG40-ROUNDDOWN(BG40,-1))=E40,F40,"")&amp;IF((BG40-ROUNDDOWN(BG40,-1))=G40,H40,"")&amp;IF((BG40-ROUNDDOWN(BG40,-1))=I40,J40,"")&amp;IF((BG40-ROUNDDOWN(BG40,-1))=K40,L40,"")&amp;IF((BG40-ROUNDDOWN(BG40,-1))=M40,N40,"")&amp;IF((BG40-ROUNDDOWN(BG40,-1))=O40,P40,"")&amp;IF((BG40-ROUNDDOWN(BG40,-1))=Q40,R40,"")&amp;IF((BG40-ROUNDDOWN(BG40,-1))=S40,T40,""),IF(BG40&gt;=40,"forty "&amp;IF((BG40-ROUNDDOWN(BG40,-1))=1,D40,"")&amp;IF((BG40-ROUNDDOWN(BG40,-1))=2,F40,"")&amp;IF((BG40-ROUNDDOWN(BG40,-1))=G40,H40,"")&amp;IF((BG40-ROUNDDOWN(BG40,-1))=I40,J40,"")&amp;IF((BG40-ROUNDDOWN(BG40,-1))=K40,L40,"")&amp;IF((BG40-ROUNDDOWN(BG40,-1))=M40,N40,"")&amp;IF((BG40-ROUNDDOWN(BG40,-1))=O40,P40,"")&amp;IF((BG40-ROUNDDOWN(BG40,-1))=Q40,R40,"")&amp;IF((BG40-ROUNDDOWN(BG40,-1))=S40,T40,""),""))))</f>
        <v/>
      </c>
      <c r="BD40" s="48" t="str">
        <f>IF(BG40="","",IF(BG40&gt;39,"",IF(BG40&gt;=30,"thirty "&amp;IF((BG40-ROUNDDOWN(BG40,-1))=C40,D40,"")&amp;IF((BG40-ROUNDDOWN(BG40,-1))=E40,F40,"")&amp;IF((BG40-ROUNDDOWN(BG40,-1))=G40,H40,"")&amp;IF((BG40-ROUNDDOWN(BG40,-1))=I40,J40,"")&amp;IF((BG40-ROUNDDOWN(BG40,-1))=K40,L40,"")&amp;IF((BG40-ROUNDDOWN(BG40,-1))=M40,N40,"")&amp;IF((BG40-ROUNDDOWN(BG40,-1))=O40,P40,"")&amp;IF((BG40-ROUNDDOWN(BG40,-1))=Q40,R40,"")&amp;IF((BG40-ROUNDDOWN(BG40,-1))=S40,T40,""),IF(BG40&gt;=20,"twenty "&amp;IF((BG40-ROUNDDOWN(BG40,-1))=1,D40,"")&amp;IF((BG40-ROUNDDOWN(BG40,-1))=2,F40,"")&amp;IF((BG40-ROUNDDOWN(BG40,-1))=G40,H40,"")&amp;IF((BG40-ROUNDDOWN(BG40,-1))=I40,J40,"")&amp;IF((BG40-ROUNDDOWN(BG40,-1))=K40,L40,"")&amp;IF((BG40-ROUNDDOWN(BG40,-1))=M40,N40,"")&amp;IF((BG40-ROUNDDOWN(BG40,-1))=O40,P40,"")&amp;IF((BG40-ROUNDDOWN(BG40,-1))=Q40,R40,"")&amp;IF((BG40-ROUNDDOWN(BG40,-1))=S40,T40,""),""))))</f>
        <v/>
      </c>
      <c r="BE40" s="48" t="str">
        <f>IF(BG40="","",IF(BG40=C40,D40,"")&amp;IF(BG40=E40,F40,"")&amp;IF(BG40=G40,H40,"")&amp;IF(BG40=I40,J40,"")&amp;IF(BG40=K40,L40,"")&amp;IF(BG40=M40,N40,"")&amp;IF(BG40=O40,P40,"")&amp;IF(BG40=Q40,R40,"")&amp;IF(BG40=S40,T40,"")&amp;IF(BG40=U40,V40,"")&amp;IF(BG40=W40,X40,"")&amp;IF(BG40=Y40,Z40,"")&amp;IF(BG40=AA40,AB40,"")&amp;IF(BG40=AC40,AD40,"")&amp;IF(BG40=AE40,AF40,"")&amp;IF(BG40=AG40,AH40,"")&amp;IF(BG40=AI40,AJ40,"")&amp;IF(BG40=AK40,AL40,"")&amp;IF(BG40=AM40,AN40,""))</f>
        <v>seven</v>
      </c>
      <c r="BF40" s="48"/>
      <c r="BG40" s="48">
        <f>IF(A40&gt;=100000,ROUNDDOWN((ROUND(A40,-4)-ROUNDDOWN(A40,-7))/100000,0),"")</f>
        <v>7</v>
      </c>
      <c r="BH40" s="48" t="str">
        <f>IF(BA40="","",BA40)&amp;IF(BB40="","",BB40)&amp;IF(BC40="","",BC40)&amp;IF(BD40="","",BD40)&amp;IF(BE40="","",BE40)</f>
        <v>seven</v>
      </c>
      <c r="BI40" s="48" t="s">
        <v>287</v>
      </c>
      <c r="BJ40" s="48" t="str">
        <f>IF(BP40="","",IF(BP40&gt;=90,"ninety "&amp;IF((BP40-ROUNDDOWN(BP40,-1))=1,D40,"")&amp;IF((BP40-ROUNDDOWN(BP40,-1))=2,F40,"")&amp;IF((BP40-ROUNDDOWN(BP40,-1))=G40,H40,"")&amp;IF((BP40-ROUNDDOWN(BP40,-1))=I40,J40,"")&amp;IF((BP40-ROUNDDOWN(BP40,-1))=K40,L40,"")&amp;IF((BP40-ROUNDDOWN(BP40,-1))=M40,N40,"")&amp;IF((BP40-ROUNDDOWN(BP40,-1))=O40,P40,"")&amp;IF((BP40-ROUNDDOWN(BP40,-1))=Q40,R40,"")&amp;IF((BP40-ROUNDDOWN(BP40,-1))=S40,T40,""),IF(BP40&gt;=80,"eighty "&amp;IF((BP40-ROUNDDOWN(BP40,-1))=1,D40,"")&amp;IF((BP40-ROUNDDOWN(BP40,-1))=2,F40,"")&amp;IF((BP40-ROUNDDOWN(BP40,-1))=G40,H40,"")&amp;IF((BP40-ROUNDDOWN(BP40,-1))=I40,J40,"")&amp;IF((BP40-ROUNDDOWN(BP40,-1))=K40,L40,"")&amp;IF((BP40-ROUNDDOWN(BP40,-1))=M40,N40,"")&amp;IF((BP40-ROUNDDOWN(BP40,-1))=O40,P40,"")&amp;IF((BP40-ROUNDDOWN(BP40,-1))=Q40,R40,"")&amp;IF((BP40-ROUNDDOWN(BP40,-1))=S40,T40,""),"")))</f>
        <v/>
      </c>
      <c r="BK40" s="48" t="str">
        <f>IF(BP40="","",IF(BP40&gt;79,"",IF(BP40&gt;=70,"seventy "&amp;IF((BP40-ROUNDDOWN(BP40,-1))=1,D40,"")&amp;IF((BP40-ROUNDDOWN(BP40,-1))=2,F40,"")&amp;IF((BP40-ROUNDDOWN(BP40,-1))=G40,H40,"")&amp;IF((BP40-ROUNDDOWN(BP40,-1))=I40,J40,"")&amp;IF((BP40-ROUNDDOWN(BP40,-1))=K40,L40,"")&amp;IF((BP40-ROUNDDOWN(BP40,-1))=M40,N40,"")&amp;IF((BP40-ROUNDDOWN(BP40,-1))=O40,P40,"")&amp;IF((BP40-ROUNDDOWN(BP40,-1))=Q40,R40,"")&amp;IF((BP40-ROUNDDOWN(BP40,-1))=S40,T40,""),IF(BP40&gt;=60,"sixty "&amp;IF((BP40-ROUNDDOWN(BP40,-1))=1,D40,"")&amp;IF((BP40-ROUNDDOWN(BP40,-1))=2,F40,"")&amp;IF((BP40-ROUNDDOWN(BP40,-1))=G40,H40,"")&amp;IF((BP40-ROUNDDOWN(BP40,-1))=I40,J40,"")&amp;IF((BP40-ROUNDDOWN(BP40,-1))=K40,L40,"")&amp;IF((BP40-ROUNDDOWN(BP40,-1))=M40,N40,"")&amp;IF((BP40-ROUNDDOWN(BP40,-1))=O40,P40,"")&amp;IF((BP40-ROUNDDOWN(BP40,-1))=Q40,R40,"")&amp;IF((BP40-ROUNDDOWN(BP40,-1))=S40,T40,""),""))))</f>
        <v/>
      </c>
      <c r="BL40" s="48" t="str">
        <f>IF(BP40="","",IF(BP40&gt;59,"",IF(BP40&gt;=50,"fifty "&amp;IF((BP40-ROUNDDOWN(BP40,-1))=1,D40,"")&amp;IF((BP40-ROUNDDOWN(BP40,-1))=2,F40,"")&amp;IF((BP40-ROUNDDOWN(BP40,-1))=G40,H40,"")&amp;IF((BP40-ROUNDDOWN(BP40,-1))=I40,J40,"")&amp;IF((BP40-ROUNDDOWN(BP40,-1))=K40,L40,"")&amp;IF((BP40-ROUNDDOWN(BP40,-1))=M40,N40,"")&amp;IF((BP40-ROUNDDOWN(BP40,-1))=O40,P40,"")&amp;IF((BP40-ROUNDDOWN(BP40,-1))=Q40,R40,"")&amp;IF((BP40-ROUNDDOWN(BP40,-1))=S40,T40,""),IF(BP40&gt;=40,"forty "&amp;IF((BP40-ROUNDDOWN(BP40,-1))=1,D40,"")&amp;IF((BP40-ROUNDDOWN(BP40,-1))=2,F40,"")&amp;IF((BP40-ROUNDDOWN(BP40,-1))=G40,H40,"")&amp;IF((BP40-ROUNDDOWN(BP40,-1))=I40,J40,"")&amp;IF((BP40-ROUNDDOWN(BP40,-1))=K40,L40,"")&amp;IF((BP40-ROUNDDOWN(BP40,-1))=M40,N40,"")&amp;IF((BP40-ROUNDDOWN(BP40,-1))=O40,P40,"")&amp;IF((BP40-ROUNDDOWN(BP40,-1))=Q40,R40,"")&amp;IF((BP40-ROUNDDOWN(BP40,-1))=S40,T40,""),""))))</f>
        <v/>
      </c>
      <c r="BM40" s="48" t="str">
        <f>IF(BP40="","",IF(BP40&gt;39,"",IF(BP40&gt;=30,"thirty "&amp;IF((BP40-ROUNDDOWN(BP40,-1))=1,D40,"")&amp;IF((BP40-ROUNDDOWN(BP40,-1))=2,F40,"")&amp;IF((BP40-ROUNDDOWN(BP40,-1))=G40,H40,"")&amp;IF((BP40-ROUNDDOWN(BP40,-1))=I40,J40,"")&amp;IF((BP40-ROUNDDOWN(BP40,-1))=K40,L40,"")&amp;IF((BP40-ROUNDDOWN(BP40,-1))=M40,N40,"")&amp;IF((BP40-ROUNDDOWN(BP40,-1))=O40,P40,"")&amp;IF((BP40-ROUNDDOWN(BP40,-1))=Q40,R40,"")&amp;IF((BP40-ROUNDDOWN(BP40,-1))=S40,T40,""),IF(BP40&gt;=20,"twenty "&amp;IF((BP40-ROUNDDOWN(BP40,-1))=1,D40,"")&amp;IF((BP40-ROUNDDOWN(BP40,-1))=2,F40,"")&amp;IF((BP40-ROUNDDOWN(BP40,-1))=G40,H40,"")&amp;IF((BP40-ROUNDDOWN(BP40,-1))=I40,J40,"")&amp;IF((BP40-ROUNDDOWN(BP40,-1))=K40,L40,"")&amp;IF((BP40-ROUNDDOWN(BP40,-1))=M40,N40,"")&amp;IF((BP40-ROUNDDOWN(BP40,-1))=O40,P40,"")&amp;IF((BP40-ROUNDDOWN(BP40,-1))=Q40,R40,"")&amp;IF((BP40-ROUNDDOWN(BP40,-1))=S40,T40,""),""))))</f>
        <v xml:space="preserve">twenty </v>
      </c>
      <c r="BN40" s="48" t="str">
        <f>IF(BP40="","",IF(BP40=C40,D40,"")&amp;IF(BP40=E40,F40,"")&amp;IF(BP40=G40,H40,"")&amp;IF(BP40=I40,J40,"")&amp;IF(BP40=K40,L40,"")&amp;IF(BP40=M40,N40,"")&amp;IF(BP40=O40,P40,"")&amp;IF(BP40=Q40,R40,"")&amp;IF(BP40=S40,T40,"")&amp;IF(BP40=U40,V40,"")&amp;IF(BP40=W40,X40,"")&amp;IF(BP40=Y40,Z40,"")&amp;IF(BP40=AA40,AB40,"")&amp;IF(BP40=AC40,AD40,"")&amp;IF(BP40=AE40,AF40,"")&amp;IF(BP40=AG40,AH40,"")&amp;IF(BP40=AI40,AJ40,"")&amp;IF(BP40=AK40,AL40,"")&amp;IF(BP40=AM40,AN40,""))</f>
        <v/>
      </c>
      <c r="BO40" s="48"/>
      <c r="BP40" s="48">
        <f>IF(A40&gt;=1000,ROUNDDOWN((A40-ROUNDDOWN(A40,-5))/1000,0),"")</f>
        <v>20</v>
      </c>
      <c r="BQ40" s="48" t="str">
        <f>IF(BJ40="","",BJ40)&amp;IF(BK40="","",BK40)&amp;IF(BL40="","",BL40)&amp;IF(BM40="","",BM40)&amp;IF(BN40="","",BN40)</f>
        <v xml:space="preserve">twenty </v>
      </c>
      <c r="BR40" s="48" t="s">
        <v>288</v>
      </c>
      <c r="BS40" s="48" t="str">
        <f>IF(BY40="","",IF(BY40&gt;=90,"ninety "&amp;IF((BY40-ROUNDDOWN(BY40,-1))=1,D40,"")&amp;IF((BY40-ROUNDDOWN(BY40,-1))=2,F40,"")&amp;IF((BY40-ROUNDDOWN(BY40,-1))=G40,H40,"")&amp;IF((BY40-ROUNDDOWN(BY40,-1))=I40,J40,"")&amp;IF((BY40-ROUNDDOWN(BY40,-1))=K40,L40,"")&amp;IF((BY40-ROUNDDOWN(BY40,-1))=M40,N40,"")&amp;IF((BY40-ROUNDDOWN(BY40,-1))=O40,P40,"")&amp;IF((BY40-ROUNDDOWN(BY40,-1))=Q40,R40,"")&amp;IF((BY40-ROUNDDOWN(BY40,-1))=S40,T40,""),IF(BY40&gt;=80,"eighty "&amp;IF((BY40-ROUNDDOWN(BY40,-1))=1,D40,"")&amp;IF((BY40-ROUNDDOWN(BY40,-1))=2,F40,"")&amp;IF((BY40-ROUNDDOWN(BY40,-1))=G40,H40,"")&amp;IF((BY40-ROUNDDOWN(BY40,-1))=I40,J40,"")&amp;IF((BY40-ROUNDDOWN(BY40,-1))=K40,L40,"")&amp;IF((BY40-ROUNDDOWN(BY40,-1))=M40,N40,"")&amp;IF((BY40-ROUNDDOWN(BY40,-1))=O40,P40,"")&amp;IF((BY40-ROUNDDOWN(BY40,-1))=Q40,R40,"")&amp;IF((BY40-ROUNDDOWN(BY40,-1))=S40,T40,""),"")))</f>
        <v/>
      </c>
      <c r="BT40" s="48" t="str">
        <f>IF(BY40="","",IF(BY40&gt;79,"",IF(BY40&gt;=70,"seventy "&amp;IF((BY40-ROUNDDOWN(BY40,-1))=1,D40,"")&amp;IF((BY40-ROUNDDOWN(BY40,-1))=2,F40,"")&amp;IF((BY40-ROUNDDOWN(BY40,-1))=G40,H40,"")&amp;IF((BY40-ROUNDDOWN(BY40,-1))=I40,J40,"")&amp;IF((BY40-ROUNDDOWN(BY40,-1))=K40,L40,"")&amp;IF((BY40-ROUNDDOWN(BY40,-1))=M40,N40,"")&amp;IF((BY40-ROUNDDOWN(BY40,-1))=O40,P40,"")&amp;IF((BY40-ROUNDDOWN(BY40,-1))=Q40,R40,"")&amp;IF((BY40-ROUNDDOWN(BY40,-1))=S40,T40,""),IF(BY40&gt;=60,"sixty "&amp;IF((BY40-ROUNDDOWN(BY40,-1))=1,D40,"")&amp;IF((BY40-ROUNDDOWN(BY40,-1))=2,F40,"")&amp;IF((BY40-ROUNDDOWN(BY40,-1))=G40,H40,"")&amp;IF((BY40-ROUNDDOWN(BY40,-1))=I40,J40,"")&amp;IF((BY40-ROUNDDOWN(BY40,-1))=K40,L40,"")&amp;IF((BY40-ROUNDDOWN(BY40,-1))=M40,N40,"")&amp;IF((BY40-ROUNDDOWN(BY40,-1))=O40,P40,"")&amp;IF((BY40-ROUNDDOWN(BY40,-1))=Q40,R40,"")&amp;IF((BY40-ROUNDDOWN(BY40,-1))=S40,T40,""),""))))</f>
        <v/>
      </c>
      <c r="BU40" s="48" t="str">
        <f>IF(BY40="","",IF(BY40&gt;59,"",IF(BY40&gt;=50,"fifty "&amp;IF((BY40-ROUNDDOWN(BY40,-1))=1,D40,"")&amp;IF((BY40-ROUNDDOWN(BY40,-1))=2,F40,"")&amp;IF((BY40-ROUNDDOWN(BY40,-1))=G40,H40,"")&amp;IF((BY40-ROUNDDOWN(BY40,-1))=I40,J40,"")&amp;IF((BY40-ROUNDDOWN(BY40,-1))=K40,L40,"")&amp;IF((BY40-ROUNDDOWN(BY40,-1))=M40,N40,"")&amp;IF((BY40-ROUNDDOWN(BY40,-1))=O40,P40,"")&amp;IF((BY40-ROUNDDOWN(BY40,-1))=Q40,R40,"")&amp;IF((BY40-ROUNDDOWN(BY40,-1))=S40,T40,""),IF(BY40&gt;=40,"forty "&amp;IF((BY40-ROUNDDOWN(BY40,-1))=1,D40,"")&amp;IF((BY40-ROUNDDOWN(BY40,-1))=2,F40,"")&amp;IF((BY40-ROUNDDOWN(BY40,-1))=G40,H40,"")&amp;IF((BY40-ROUNDDOWN(BY40,-1))=I40,J40,"")&amp;IF((BY40-ROUNDDOWN(BY40,-1))=K40,L40,"")&amp;IF((BY40-ROUNDDOWN(BY40,-1))=M40,N40,"")&amp;IF((BY40-ROUNDDOWN(BY40,-1))=O40,P40,"")&amp;IF((BY40-ROUNDDOWN(BY40,-1))=Q40,R40,"")&amp;IF((BY40-ROUNDDOWN(BY40,-1))=S40,T40,""),""))))</f>
        <v/>
      </c>
      <c r="BV40" s="48" t="str">
        <f>IF(BY40="","",IF(BY40&gt;39,"",IF(BY40&gt;=30,"thirty "&amp;IF((BY40-ROUNDDOWN(BY40,-1))=1,D40,"")&amp;IF((BY40-ROUNDDOWN(BY40,-1))=2,F40,"")&amp;IF((BY40-ROUNDDOWN(BY40,-1))=G40,H40,"")&amp;IF((BY40-ROUNDDOWN(BY40,-1))=I40,J40,"")&amp;IF((BY40-ROUNDDOWN(BY40,-1))=K40,L40,"")&amp;IF((BY40-ROUNDDOWN(BY40,-1))=M40,N40,"")&amp;IF((BY40-ROUNDDOWN(BY40,-1))=O40,P40,"")&amp;IF((BY40-ROUNDDOWN(BY40,-1))=Q40,R40,"")&amp;IF((BY40-ROUNDDOWN(BY40,-1))=S40,T40,""),IF(BY40&gt;=20,"twenty "&amp;IF((BY40-ROUNDDOWN(BY40,-1))=1,D40,"")&amp;IF((BY40-ROUNDDOWN(BY40,-1))=2,F40,"")&amp;IF((BY40-ROUNDDOWN(BY40,-1))=G40,H40,"")&amp;IF((BY40-ROUNDDOWN(BY40,-1))=I40,J40,"")&amp;IF((BY40-ROUNDDOWN(BY40,-1))=K40,L40,"")&amp;IF((BY40-ROUNDDOWN(BY40,-1))=M40,N40,"")&amp;IF((BY40-ROUNDDOWN(BY40,-1))=O40,P40,"")&amp;IF((BY40-ROUNDDOWN(BY40,-1))=Q40,R40,"")&amp;IF((BY40-ROUNDDOWN(BY40,-1))=S40,T40,""),""))))</f>
        <v/>
      </c>
      <c r="BW40" s="48" t="str">
        <f>IF(BY40="","",IF(BY40=C40,D40,"")&amp;IF(BY40=E40,F40,"")&amp;IF(BY40=G40,H40,"")&amp;IF(BY40=I40,J40,"")&amp;IF(BY40=K40,L40,"")&amp;IF(BY40=M40,N40,"")&amp;IF(BY40=O40,P40,"")&amp;IF(BY40=Q40,R40,"")&amp;IF(BY40=S40,T40,"")&amp;IF(BY40=U40,V40,"")&amp;IF(BY40=W40,X40,"")&amp;IF(BY40=Y40,Z40,"")&amp;IF(BY40=AA40,AB40,"")&amp;IF(BY40=AC40,AD40,"")&amp;IF(BY40=AE40,AF40,"")&amp;IF(BY40=AG40,AH40,"")&amp;IF(BY40=AI40,AJ40,"")&amp;IF(BY40=AK40,AL40,"")&amp;IF(BY40=AM40,AN40,""))</f>
        <v>five</v>
      </c>
      <c r="BX40" s="49"/>
      <c r="BY40" s="48">
        <f>IF(A40&gt;=100,ROUNDDOWN((A40-ROUNDDOWN(A40,-3))/100,0),"")</f>
        <v>5</v>
      </c>
      <c r="BZ40" s="48" t="str">
        <f>IF(BS40="","",BS40)&amp;IF(BT40="","",BT40)&amp;IF(BU40="","",BU40)&amp;IF(BV40="","",BV40)&amp;IF(BW40="","",BW40)</f>
        <v>five</v>
      </c>
      <c r="CA40" s="48" t="s">
        <v>289</v>
      </c>
      <c r="CB40" s="48" t="str">
        <f>IF(CH40="","",IF(CH40&gt;=90,"ninety "&amp;IF((CH40-ROUNDDOWN(CH40,-1))=1,D40,"")&amp;IF((CH40-ROUNDDOWN(CH40,-1))=2,F40,"")&amp;IF((CH40-ROUNDDOWN(CH40,-1))=G40,H40,"")&amp;IF((CH40-ROUNDDOWN(CH40,-1))=I40,J40,"")&amp;IF((CH40-ROUNDDOWN(CH40,-1))=K40,L40,"")&amp;IF((CH40-ROUNDDOWN(CH40,-1))=M40,N40,"")&amp;IF((CH40-ROUNDDOWN(CH40,-1))=O40,P40,"")&amp;IF((CH40-ROUNDDOWN(CH40,-1))=Q40,R40,"")&amp;IF((CH40-ROUNDDOWN(CH40,-1))=S40,T40,""),IF(CH40&gt;=80,"eighty "&amp;IF((CH40-ROUNDDOWN(CH40,-1))=1,D40,"")&amp;IF((CH40-ROUNDDOWN(CH40,-1))=2,F40,"")&amp;IF((CH40-ROUNDDOWN(CH40,-1))=G40,H40,"")&amp;IF((CH40-ROUNDDOWN(CH40,-1))=I40,J40,"")&amp;IF((CH40-ROUNDDOWN(CH40,-1))=K40,L40,"")&amp;IF((CH40-ROUNDDOWN(CH40,-1))=M40,N40,"")&amp;IF((CH40-ROUNDDOWN(CH40,-1))=O40,P40,"")&amp;IF((CH40-ROUNDDOWN(CH40,-1))=Q40,R40,"")&amp;IF((CH40-ROUNDDOWN(CH40,-1))=S40,T40,""),"")))</f>
        <v/>
      </c>
      <c r="CC40" s="48" t="str">
        <f>IF(CH40="","",IF(CH40&gt;79,"",IF(CH40&gt;=70,"seventy "&amp;IF((CH40-ROUNDDOWN(CH40,-1))=1,D40,"")&amp;IF((CH40-ROUNDDOWN(CH40,-1))=2,F40,"")&amp;IF((CH40-ROUNDDOWN(CH40,-1))=G40,H40,"")&amp;IF((CH40-ROUNDDOWN(CH40,-1))=I40,J40,"")&amp;IF((CH40-ROUNDDOWN(CH40,-1))=K40,L40,"")&amp;IF((CH40-ROUNDDOWN(CH40,-1))=M40,N40,"")&amp;IF((CH40-ROUNDDOWN(CH40,-1))=O40,P40,"")&amp;IF((CH40-ROUNDDOWN(CH40,-1))=Q40,R40,"")&amp;IF((CH40-ROUNDDOWN(CH40,-1))=S40,T40,""),IF(CH40&gt;=60,"sixty "&amp;IF((CH40-ROUNDDOWN(CH40,-1))=1,D40,"")&amp;IF((CH40-ROUNDDOWN(CH40,-1))=2,F40,"")&amp;IF((CH40-ROUNDDOWN(CH40,-1))=G40,H40,"")&amp;IF((CH40-ROUNDDOWN(CH40,-1))=I40,J40,"")&amp;IF((CH40-ROUNDDOWN(CH40,-1))=K40,L40,"")&amp;IF((CH40-ROUNDDOWN(CH40,-1))=M40,N40,"")&amp;IF((CH40-ROUNDDOWN(CH40,-1))=O40,P40,"")&amp;IF((CH40-ROUNDDOWN(CH40,-1))=Q40,R40,"")&amp;IF((CH40-ROUNDDOWN(CH40,-1))=S40,T40,""),""))))</f>
        <v/>
      </c>
      <c r="CD40" s="48" t="str">
        <f>IF(CH40="","",IF(CH40&gt;59,"",IF(CH40&gt;=50,"fifty "&amp;IF((CH40-ROUNDDOWN(CH40,-1))=1,D40,"")&amp;IF((CH40-ROUNDDOWN(CH40,-1))=2,F40,"")&amp;IF((CH40-ROUNDDOWN(CH40,-1))=G40,H40,"")&amp;IF((CH40-ROUNDDOWN(CH40,-1))=I40,J40,"")&amp;IF((CH40-ROUNDDOWN(CH40,-1))=K40,L40,"")&amp;IF((CH40-ROUNDDOWN(CH40,-1))=M40,N40,"")&amp;IF((CH40-ROUNDDOWN(CH40,-1))=O40,P40,"")&amp;IF((CH40-ROUNDDOWN(CH40,-1))=Q40,R40,"")&amp;IF((CH40-ROUNDDOWN(CH40,-1))=S40,T40,""),IF(CH40&gt;=40,"forty "&amp;IF((CH40-ROUNDDOWN(CH40,-1))=1,D40,"")&amp;IF((CH40-ROUNDDOWN(CH40,-1))=2,F40,"")&amp;IF((CH40-ROUNDDOWN(CH40,-1))=G40,H40,"")&amp;IF((CH40-ROUNDDOWN(CH40,-1))=I40,J40,"")&amp;IF((CH40-ROUNDDOWN(CH40,-1))=K40,L40,"")&amp;IF((CH40-ROUNDDOWN(CH40,-1))=M40,N40,"")&amp;IF((CH40-ROUNDDOWN(CH40,-1))=O40,P40,"")&amp;IF((CH40-ROUNDDOWN(CH40,-1))=Q40,R40,"")&amp;IF((CH40-ROUNDDOWN(CH40,-1))=S40,T40,""),""))))</f>
        <v/>
      </c>
      <c r="CE40" s="48" t="str">
        <f>IF(CH40="","",IF(CH40&gt;39,"",IF(CH40&gt;=30,"thirty "&amp;IF((CH40-ROUNDDOWN(CH40,-1))=1,D40,"")&amp;IF((CH40-ROUNDDOWN(CH40,-1))=2,F40,"")&amp;IF((CH40-ROUNDDOWN(CH40,-1))=G40,H40,"")&amp;IF((CH40-ROUNDDOWN(CH40,-1))=I40,J40,"")&amp;IF((CH40-ROUNDDOWN(CH40,-1))=K40,L40,"")&amp;IF((CH40-ROUNDDOWN(CH40,-1))=M40,N40,"")&amp;IF((CH40-ROUNDDOWN(CH40,-1))=O40,P40,"")&amp;IF((CH40-ROUNDDOWN(CH40,-1))=Q40,R40,"")&amp;IF((CH40-ROUNDDOWN(CH40,-1))=S40,T40,""),IF(CH40&gt;=20,"twenty "&amp;IF((CH40-ROUNDDOWN(CH40,-1))=1,D40,"")&amp;IF((CH40-ROUNDDOWN(CH40,-1))=2,F40,"")&amp;IF((CH40-ROUNDDOWN(CH40,-1))=G40,H40,"")&amp;IF((CH40-ROUNDDOWN(CH40,-1))=I40,J40,"")&amp;IF((CH40-ROUNDDOWN(CH40,-1))=K40,L40,"")&amp;IF((CH40-ROUNDDOWN(CH40,-1))=M40,N40,"")&amp;IF((CH40-ROUNDDOWN(CH40,-1))=O40,P40,"")&amp;IF((CH40-ROUNDDOWN(CH40,-1))=Q40,R40,"")&amp;IF((CH40-ROUNDDOWN(CH40,-1))=S40,T40,""),""))))</f>
        <v/>
      </c>
      <c r="CF40" s="48" t="str">
        <f>IF(CH40="","",IF(CH40=C40,D40,"")&amp;IF(CH40=E40,F40,"")&amp;IF(CH40=G40,H40,"")&amp;IF(CH40=I40,J40,"")&amp;IF(CH40=K40,L40,"")&amp;IF(CH40=M40,N40,"")&amp;IF(CH40=O40,P40,"")&amp;IF(CH40=Q40,R40,"")&amp;IF(CH40=S40,T40,"")&amp;IF(CH40=U40,V40,"")&amp;IF(CH40=W40,X40,"")&amp;IF(CH40=Y40,Z40,"")&amp;IF(CH40=AA40,AB40,"")&amp;IF(CH40=AC40,AD40,"")&amp;IF(CH40=AE40,AF40,"")&amp;IF(CH40=AG40,AH40,"")&amp;IF(CH40=AI40,AJ40,"")&amp;IF(CH40=AK40,AL40,"")&amp;IF(CH40=AM40,AN40,""))</f>
        <v>twelve</v>
      </c>
      <c r="CG40" s="49"/>
      <c r="CH40" s="48">
        <f>IF(A40&gt;=1,ROUNDDOWN(A40-ROUNDDOWN(A40,-2),0),"")</f>
        <v>12</v>
      </c>
      <c r="CI40" s="48" t="str">
        <f>IF(CB40="","",CB40)&amp;IF(CC40="","",CC40)&amp;IF(CD40="","",CD40)&amp;IF(CE40="","",CE40)&amp;IF(CF40="","",CF40)</f>
        <v>twelve</v>
      </c>
      <c r="CJ40" s="48" t="s">
        <v>290</v>
      </c>
      <c r="CK40" s="48" t="str">
        <f>IF(CQ40="","",IF(CQ40&gt;=90,"ninety "&amp;IF((CQ40-ROUNDDOWN(CQ40,-1))=1,D40,"")&amp;IF((CQ40-ROUNDDOWN(CQ40,-1))=2,F40,"")&amp;IF((CQ40-ROUNDDOWN(CQ40,-1))=G40,H40,"")&amp;IF((CQ40-ROUNDDOWN(CQ40,-1))=I40,J40,"")&amp;IF((CQ40-ROUNDDOWN(CQ40,-1))=K40,L40,"")&amp;IF((CQ40-ROUNDDOWN(CQ40,-1))=M40,N40,"")&amp;IF((CQ40-ROUNDDOWN(CQ40,-1))=O40,P40,"")&amp;IF((CQ40-ROUNDDOWN(CQ40,-1))=Q40,R40,"")&amp;IF((CQ40-ROUNDDOWN(CQ40,-1))=S40,T40,""),IF(CQ40&gt;=80,"eighty "&amp;IF((CQ40-ROUNDDOWN(CQ40,-1))=1,D40,"")&amp;IF((CQ40-ROUNDDOWN(CQ40,-1))=2,F40,"")&amp;IF((CQ40-ROUNDDOWN(CQ40,-1))=G40,H40,"")&amp;IF((CQ40-ROUNDDOWN(CQ40,-1))=I40,J40,"")&amp;IF((CQ40-ROUNDDOWN(CQ40,-1))=K40,L40,"")&amp;IF((CQ40-ROUNDDOWN(CQ40,-1))=M40,N40,"")&amp;IF((CQ40-ROUNDDOWN(CQ40,-1))=O40,P40,"")&amp;IF((CQ40-ROUNDDOWN(CQ40,-1))=Q40,R40,"")&amp;IF((CQ40-ROUNDDOWN(CQ40,-1))=S40,T40,""),"")))</f>
        <v/>
      </c>
      <c r="CL40" s="48" t="str">
        <f>IF(CQ40="","",IF(CQ40&gt;79,"",IF(CQ40&gt;=70,"seventy "&amp;IF((CQ40-ROUNDDOWN(CQ40,-1))=1,D40,"")&amp;IF((CQ40-ROUNDDOWN(CQ40,-1))=2,F40,"")&amp;IF((CQ40-ROUNDDOWN(CQ40,-1))=G40,H40,"")&amp;IF((CQ40-ROUNDDOWN(CQ40,-1))=I40,J40,"")&amp;IF((CQ40-ROUNDDOWN(CQ40,-1))=K40,L40,"")&amp;IF((CQ40-ROUNDDOWN(CQ40,-1))=M40,N40,"")&amp;IF((CQ40-ROUNDDOWN(CQ40,-1))=O40,P40,"")&amp;IF((CQ40-ROUNDDOWN(CQ40,-1))=Q40,R40,"")&amp;IF((CQ40-ROUNDDOWN(CQ40,-1))=S40,T40,""),IF(CQ40&gt;=60,"sixty "&amp;IF((CQ40-ROUNDDOWN(CQ40,-1))=1,D40,"")&amp;IF((CQ40-ROUNDDOWN(CQ40,-1))=2,F40,"")&amp;IF((CQ40-ROUNDDOWN(CQ40,-1))=G40,H40,"")&amp;IF((CQ40-ROUNDDOWN(CQ40,-1))=I40,J40,"")&amp;IF((CQ40-ROUNDDOWN(CQ40,-1))=K40,L40,"")&amp;IF((CQ40-ROUNDDOWN(CQ40,-1))=M40,N40,"")&amp;IF((CQ40-ROUNDDOWN(CQ40,-1))=O40,P40,"")&amp;IF((CQ40-ROUNDDOWN(CQ40,-1))=Q40,R40,"")&amp;IF((CQ40-ROUNDDOWN(CQ40,-1))=S40,T40,""),""))))</f>
        <v/>
      </c>
      <c r="CM40" s="48" t="str">
        <f>IF(CQ40="","",IF(CQ40&gt;59,"",IF(CQ40&gt;=50,"fifty "&amp;IF((CQ40-ROUNDDOWN(CQ40,-1))=1,D40,"")&amp;IF((CQ40-ROUNDDOWN(CQ40,-1))=2,F40,"")&amp;IF((CQ40-ROUNDDOWN(CQ40,-1))=G40,H40,"")&amp;IF((CQ40-ROUNDDOWN(CQ40,-1))=I40,J40,"")&amp;IF((CQ40-ROUNDDOWN(CQ40,-1))=K40,L40,"")&amp;IF((CQ40-ROUNDDOWN(CQ40,-1))=M40,N40,"")&amp;IF((CQ40-ROUNDDOWN(CQ40,-1))=O40,P40,"")&amp;IF((CQ40-ROUNDDOWN(CQ40,-1))=Q40,R40,"")&amp;IF((CQ40-ROUNDDOWN(CQ40,-1))=S40,T40,""),IF(CQ40&gt;=40,"forty "&amp;IF((CQ40-ROUNDDOWN(CQ40,-1))=1,D40,"")&amp;IF((CQ40-ROUNDDOWN(CQ40,-1))=2,F40,"")&amp;IF((CQ40-ROUNDDOWN(CQ40,-1))=G40,H40,"")&amp;IF((CQ40-ROUNDDOWN(CQ40,-1))=I40,J40,"")&amp;IF((CQ40-ROUNDDOWN(CQ40,-1))=K40,L40,"")&amp;IF((CQ40-ROUNDDOWN(CQ40,-1))=M40,N40,"")&amp;IF((CQ40-ROUNDDOWN(CQ40,-1))=O40,P40,"")&amp;IF((CQ40-ROUNDDOWN(CQ40,-1))=Q40,R40,"")&amp;IF((CQ40-ROUNDDOWN(CQ40,-1))=S40,T40,""),""))))</f>
        <v/>
      </c>
      <c r="CN40" s="48" t="str">
        <f>IF(CQ40="","",IF(CQ40&gt;39,"",IF(CQ40&gt;=30,"thirty "&amp;IF((CQ40-ROUNDDOWN(CQ40,-1))=1,D40,"")&amp;IF((CQ40-ROUNDDOWN(CQ40,-1))=2,F40,"")&amp;IF((CQ40-ROUNDDOWN(CQ40,-1))=G40,H40,"")&amp;IF((CQ40-ROUNDDOWN(CQ40,-1))=I40,J40,"")&amp;IF((CQ40-ROUNDDOWN(CQ40,-1))=K40,L40,"")&amp;IF((CQ40-ROUNDDOWN(CQ40,-1))=M40,N40,"")&amp;IF((CQ40-ROUNDDOWN(CQ40,-1))=O40,P40,"")&amp;IF((CQ40-ROUNDDOWN(CQ40,-1))=Q40,R40,"")&amp;IF((CQ40-ROUNDDOWN(CQ40,-1))=S40,T40,""),IF(CQ40&gt;=20,"twenty "&amp;IF((CQ40-ROUNDDOWN(CQ40,-1))=1,D40,"")&amp;IF((CQ40-ROUNDDOWN(CQ40,-1))=2,F40,"")&amp;IF((CQ40-ROUNDDOWN(CQ40,-1))=G40,H40,"")&amp;IF((CQ40-ROUNDDOWN(CQ40,-1))=I40,J40,"")&amp;IF((CQ40-ROUNDDOWN(CQ40,-1))=K40,L40,"")&amp;IF((CQ40-ROUNDDOWN(CQ40,-1))=M40,N40,"")&amp;IF((CQ40-ROUNDDOWN(CQ40,-1))=O40,P40,"")&amp;IF((CQ40-ROUNDDOWN(CQ40,-1))=Q40,R40,"")&amp;IF((CQ40-ROUNDDOWN(CQ40,-1))=S40,T40,""),""))))</f>
        <v/>
      </c>
      <c r="CO40" s="48" t="str">
        <f>IF(CQ40="","",IF(CQ40=C40,D40,"")&amp;IF(CQ40=E40,F40,"")&amp;IF(CQ40=G40,H40,"")&amp;IF(CQ40=I40,J40,"")&amp;IF(CQ40=K40,L40,"")&amp;IF(CQ40=M40,N40,"")&amp;IF(CQ40=O40,P40,"")&amp;IF(CQ40=Q40,R40,"")&amp;IF(CQ40=S40,T40,"")&amp;IF(CQ40=U40,V40,"")&amp;IF(CQ40=W40,X40,"")&amp;IF(CQ40=Y40,Z40,"")&amp;IF(CQ40=AA40,AB40,"")&amp;IF(CQ40=AC40,AD40,"")&amp;IF(CQ40=AE40,AF40,"")&amp;IF(CQ40=AG40,AH40,"")&amp;IF(CQ40=AI40,AJ40,"")&amp;IF(CQ40=AK40,AL40,"")&amp;IF(CQ40=AM40,AN40,""))</f>
        <v/>
      </c>
      <c r="CP40" s="49"/>
      <c r="CQ40" s="48" t="str">
        <f>IF((A40-ROUNDDOWN(A40,0))&gt;0,ROUND((A40-ROUNDDOWN(A40,0))*100,0),"")</f>
        <v/>
      </c>
      <c r="CR40" s="48" t="str">
        <f>IF(CK40="","",CK40)&amp;IF(CL40="","",CL40)&amp;IF(CM40="","",CM40)&amp;IF(CN40="","",CN40)&amp;IF(CO40="","",CO40)</f>
        <v/>
      </c>
      <c r="CS40" s="49" t="s">
        <v>291</v>
      </c>
      <c r="CT40" s="50"/>
      <c r="CU40" s="51" t="str">
        <f>IF(A40="","","(Rupees "&amp;IF(AY40="","",AY40&amp;" crore ")&amp;IF(BH40="","",BH40&amp;" lakh ")&amp;IF(BQ40="","",BQ40&amp;" thousand ")&amp;IF(BZ40="","",BZ40&amp;" hundred ")&amp;IF(CI40="","",CI40)&amp;IF(CR40="",""," and paise "&amp;CR40)&amp;") only.")</f>
        <v>(Rupees seven lakh twenty  thousand five hundred twelve) only.</v>
      </c>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c r="EA40" s="52"/>
      <c r="EB40" s="52"/>
      <c r="EC40" s="52"/>
      <c r="ED40" s="52"/>
      <c r="EE40" s="52"/>
    </row>
    <row r="41" spans="1:135" x14ac:dyDescent="0.25">
      <c r="A41" s="204"/>
      <c r="B41" s="206"/>
      <c r="C41" s="207"/>
      <c r="D41" s="205"/>
      <c r="E41" s="208"/>
      <c r="F41" s="205"/>
      <c r="H41" s="198"/>
      <c r="I41" s="202"/>
      <c r="J41" s="203"/>
    </row>
    <row r="42" spans="1:135" x14ac:dyDescent="0.25">
      <c r="A42" s="204"/>
      <c r="B42" s="206"/>
      <c r="C42" s="207"/>
      <c r="D42" s="205"/>
      <c r="E42" s="208"/>
      <c r="F42" s="205"/>
      <c r="H42" s="198"/>
      <c r="I42" s="202"/>
      <c r="J42" s="203"/>
    </row>
    <row r="43" spans="1:135" x14ac:dyDescent="0.25">
      <c r="A43" s="204"/>
      <c r="B43" s="206"/>
      <c r="C43" s="207"/>
      <c r="D43" s="205"/>
      <c r="E43" s="208"/>
      <c r="F43" s="205"/>
      <c r="H43" s="198"/>
      <c r="I43" s="202"/>
      <c r="J43" s="203"/>
    </row>
    <row r="44" spans="1:135" x14ac:dyDescent="0.25">
      <c r="A44" s="204"/>
      <c r="H44" s="198"/>
      <c r="I44" s="202"/>
      <c r="J44" s="203"/>
    </row>
    <row r="45" spans="1:135" x14ac:dyDescent="0.25">
      <c r="A45" s="204"/>
      <c r="H45" s="198"/>
      <c r="I45" s="202"/>
      <c r="J45" s="203"/>
    </row>
    <row r="46" spans="1:135" x14ac:dyDescent="0.25">
      <c r="A46" s="204"/>
      <c r="H46" s="198"/>
      <c r="I46" s="202"/>
      <c r="J46" s="203"/>
    </row>
    <row r="47" spans="1:135" x14ac:dyDescent="0.25">
      <c r="A47" s="204"/>
      <c r="H47" s="198"/>
      <c r="I47" s="202"/>
      <c r="J47" s="203"/>
    </row>
    <row r="48" spans="1:135" x14ac:dyDescent="0.25">
      <c r="B48" s="213"/>
      <c r="C48" s="214"/>
      <c r="D48" s="215"/>
    </row>
    <row r="49" spans="2:4" x14ac:dyDescent="0.25">
      <c r="B49" s="213"/>
      <c r="C49" s="214"/>
      <c r="D49" s="215"/>
    </row>
    <row r="50" spans="2:4" x14ac:dyDescent="0.25">
      <c r="B50" s="213"/>
      <c r="C50" s="214"/>
      <c r="D50" s="215"/>
    </row>
  </sheetData>
  <mergeCells count="2">
    <mergeCell ref="C33:E33"/>
    <mergeCell ref="A1:G1"/>
  </mergeCells>
  <pageMargins left="0.43307086614173229" right="0.31496062992125978" top="0.23622047244094491" bottom="0.27559055118110237" header="0.31496062992125978" footer="0.31496062992125978"/>
  <pageSetup paperSize="9" orientation="portrait" horizontalDpi="429496729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31"/>
  <sheetViews>
    <sheetView topLeftCell="B11" zoomScale="91" workbookViewId="0">
      <selection activeCell="N32" sqref="N32"/>
    </sheetView>
  </sheetViews>
  <sheetFormatPr defaultRowHeight="13.2" x14ac:dyDescent="0.25"/>
  <sheetData>
    <row r="1" spans="1:16" x14ac:dyDescent="0.25">
      <c r="A1" s="619" t="str">
        <f>Cover!B16 &amp;Cover!E16&amp;Cover!F16</f>
        <v>Name of Work:-Repairing and Renovation of Circuit House at Bokakhat Co District under Golaghat District</v>
      </c>
      <c r="B1" s="572"/>
      <c r="C1" s="572"/>
      <c r="D1" s="572"/>
      <c r="E1" s="572"/>
      <c r="F1" s="572"/>
      <c r="G1" s="572"/>
      <c r="H1" s="572"/>
      <c r="I1" s="572"/>
      <c r="J1" s="572"/>
      <c r="K1" s="572"/>
      <c r="L1" s="572"/>
      <c r="M1" s="572"/>
      <c r="N1" s="572"/>
      <c r="O1" s="572"/>
      <c r="P1" s="572"/>
    </row>
    <row r="2" spans="1:16" x14ac:dyDescent="0.25">
      <c r="A2" s="572"/>
      <c r="B2" s="572"/>
      <c r="C2" s="572"/>
      <c r="D2" s="572"/>
      <c r="E2" s="572"/>
      <c r="F2" s="572"/>
      <c r="G2" s="572"/>
      <c r="H2" s="572"/>
      <c r="I2" s="572"/>
      <c r="J2" s="572"/>
      <c r="K2" s="572"/>
      <c r="L2" s="572"/>
      <c r="M2" s="572"/>
      <c r="N2" s="572"/>
      <c r="O2" s="572"/>
      <c r="P2" s="572"/>
    </row>
    <row r="3" spans="1:16" x14ac:dyDescent="0.25">
      <c r="A3" s="572"/>
      <c r="B3" s="572"/>
      <c r="C3" s="572"/>
      <c r="D3" s="572"/>
      <c r="E3" s="572"/>
      <c r="F3" s="572"/>
      <c r="G3" s="572"/>
      <c r="H3" s="572"/>
      <c r="I3" s="572"/>
      <c r="J3" s="572"/>
      <c r="K3" s="572"/>
      <c r="L3" s="572"/>
      <c r="M3" s="572"/>
      <c r="N3" s="572"/>
      <c r="O3" s="572"/>
      <c r="P3" s="572"/>
    </row>
    <row r="27" spans="14:15" x14ac:dyDescent="0.25">
      <c r="N27" s="618" t="s">
        <v>530</v>
      </c>
      <c r="O27" s="572"/>
    </row>
    <row r="28" spans="14:15" x14ac:dyDescent="0.25">
      <c r="N28" s="572"/>
      <c r="O28" s="572"/>
    </row>
    <row r="29" spans="14:15" x14ac:dyDescent="0.25">
      <c r="N29" s="572"/>
      <c r="O29" s="572"/>
    </row>
    <row r="30" spans="14:15" x14ac:dyDescent="0.25">
      <c r="N30" s="572"/>
      <c r="O30" s="572"/>
    </row>
    <row r="31" spans="14:15" x14ac:dyDescent="0.25">
      <c r="N31" s="572"/>
      <c r="O31" s="572"/>
    </row>
  </sheetData>
  <mergeCells count="2">
    <mergeCell ref="N27:O31"/>
    <mergeCell ref="A1:P3"/>
  </mergeCells>
  <pageMargins left="0.7" right="0.7" top="0.31" bottom="0.26" header="0.3" footer="0.27"/>
  <pageSetup paperSize="9" orientation="landscape" horizontalDpi="4294967293" verticalDpi="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E39"/>
  <sheetViews>
    <sheetView view="pageBreakPreview" zoomScaleNormal="100" zoomScaleSheetLayoutView="100" workbookViewId="0">
      <selection sqref="A1:M1"/>
    </sheetView>
  </sheetViews>
  <sheetFormatPr defaultColWidth="9.109375" defaultRowHeight="13.8" x14ac:dyDescent="0.25"/>
  <cols>
    <col min="1" max="1" width="2.88671875" style="1" customWidth="1"/>
    <col min="2" max="2" width="4.109375" style="1" customWidth="1"/>
    <col min="3" max="3" width="21.6640625" style="37" customWidth="1"/>
    <col min="4" max="4" width="6.5546875" style="37" customWidth="1"/>
    <col min="5" max="5" width="6.33203125" style="37" customWidth="1"/>
    <col min="6" max="6" width="4.5546875" style="37" customWidth="1"/>
    <col min="7" max="7" width="0.44140625" style="37" customWidth="1"/>
    <col min="8" max="8" width="6.33203125" style="37" hidden="1" customWidth="1"/>
    <col min="9" max="9" width="4.21875" style="37" customWidth="1"/>
    <col min="10" max="10" width="7.88671875" style="37" customWidth="1"/>
    <col min="11" max="11" width="9.77734375" style="1" bestFit="1" customWidth="1"/>
    <col min="12" max="12" width="18" style="41" customWidth="1"/>
    <col min="13" max="13" width="16.109375" style="37" customWidth="1"/>
    <col min="14" max="215" width="9.109375" style="37" customWidth="1"/>
    <col min="216" max="216" width="6.33203125" style="37" customWidth="1"/>
    <col min="217" max="217" width="37.44140625" style="37" customWidth="1"/>
    <col min="218" max="219" width="9.109375" style="37" customWidth="1"/>
    <col min="220" max="220" width="5.33203125" style="37" customWidth="1"/>
    <col min="221" max="471" width="9.109375" style="37" customWidth="1"/>
    <col min="472" max="472" width="6.33203125" style="37" customWidth="1"/>
    <col min="473" max="473" width="37.44140625" style="37" customWidth="1"/>
    <col min="474" max="475" width="9.109375" style="37" customWidth="1"/>
    <col min="476" max="476" width="5.33203125" style="37" customWidth="1"/>
    <col min="477" max="727" width="9.109375" style="37" customWidth="1"/>
    <col min="728" max="728" width="6.33203125" style="37" customWidth="1"/>
    <col min="729" max="729" width="37.44140625" style="37" customWidth="1"/>
    <col min="730" max="731" width="9.109375" style="37" customWidth="1"/>
    <col min="732" max="732" width="5.33203125" style="37" customWidth="1"/>
    <col min="733" max="983" width="9.109375" style="37" customWidth="1"/>
    <col min="984" max="984" width="6.33203125" style="37" customWidth="1"/>
    <col min="985" max="985" width="37.44140625" style="37" customWidth="1"/>
    <col min="986" max="987" width="9.109375" style="37" customWidth="1"/>
    <col min="988" max="988" width="5.33203125" style="37" customWidth="1"/>
    <col min="989" max="1239" width="9.109375" style="37" customWidth="1"/>
    <col min="1240" max="1240" width="6.33203125" style="37" customWidth="1"/>
    <col min="1241" max="1241" width="37.44140625" style="37" customWidth="1"/>
    <col min="1242" max="1243" width="9.109375" style="37" customWidth="1"/>
    <col min="1244" max="1244" width="5.33203125" style="37" customWidth="1"/>
    <col min="1245" max="1495" width="9.109375" style="37" customWidth="1"/>
    <col min="1496" max="1496" width="6.33203125" style="37" customWidth="1"/>
    <col min="1497" max="1497" width="37.44140625" style="37" customWidth="1"/>
    <col min="1498" max="1499" width="9.109375" style="37" customWidth="1"/>
    <col min="1500" max="1500" width="5.33203125" style="37" customWidth="1"/>
    <col min="1501" max="1751" width="9.109375" style="37" customWidth="1"/>
    <col min="1752" max="1752" width="6.33203125" style="37" customWidth="1"/>
    <col min="1753" max="1753" width="37.44140625" style="37" customWidth="1"/>
    <col min="1754" max="1755" width="9.109375" style="37" customWidth="1"/>
    <col min="1756" max="1756" width="5.33203125" style="37" customWidth="1"/>
    <col min="1757" max="2007" width="9.109375" style="37" customWidth="1"/>
    <col min="2008" max="2008" width="6.33203125" style="37" customWidth="1"/>
    <col min="2009" max="2009" width="37.44140625" style="37" customWidth="1"/>
    <col min="2010" max="2011" width="9.109375" style="37" customWidth="1"/>
    <col min="2012" max="2012" width="5.33203125" style="37" customWidth="1"/>
    <col min="2013" max="2263" width="9.109375" style="37" customWidth="1"/>
    <col min="2264" max="2264" width="6.33203125" style="37" customWidth="1"/>
    <col min="2265" max="2265" width="37.44140625" style="37" customWidth="1"/>
    <col min="2266" max="2267" width="9.109375" style="37" customWidth="1"/>
    <col min="2268" max="2268" width="5.33203125" style="37" customWidth="1"/>
    <col min="2269" max="2519" width="9.109375" style="37" customWidth="1"/>
    <col min="2520" max="2520" width="6.33203125" style="37" customWidth="1"/>
    <col min="2521" max="2521" width="37.44140625" style="37" customWidth="1"/>
    <col min="2522" max="2523" width="9.109375" style="37" customWidth="1"/>
    <col min="2524" max="2524" width="5.33203125" style="37" customWidth="1"/>
    <col min="2525" max="2775" width="9.109375" style="37" customWidth="1"/>
    <col min="2776" max="2776" width="6.33203125" style="37" customWidth="1"/>
    <col min="2777" max="2777" width="37.44140625" style="37" customWidth="1"/>
    <col min="2778" max="2779" width="9.109375" style="37" customWidth="1"/>
    <col min="2780" max="2780" width="5.33203125" style="37" customWidth="1"/>
    <col min="2781" max="3031" width="9.109375" style="37" customWidth="1"/>
    <col min="3032" max="3032" width="6.33203125" style="37" customWidth="1"/>
    <col min="3033" max="3033" width="37.44140625" style="37" customWidth="1"/>
    <col min="3034" max="3035" width="9.109375" style="37" customWidth="1"/>
    <col min="3036" max="3036" width="5.33203125" style="37" customWidth="1"/>
    <col min="3037" max="3287" width="9.109375" style="37" customWidth="1"/>
    <col min="3288" max="3288" width="6.33203125" style="37" customWidth="1"/>
    <col min="3289" max="3289" width="37.44140625" style="37" customWidth="1"/>
    <col min="3290" max="3291" width="9.109375" style="37" customWidth="1"/>
    <col min="3292" max="3292" width="5.33203125" style="37" customWidth="1"/>
    <col min="3293" max="3543" width="9.109375" style="37" customWidth="1"/>
    <col min="3544" max="3544" width="6.33203125" style="37" customWidth="1"/>
    <col min="3545" max="3545" width="37.44140625" style="37" customWidth="1"/>
    <col min="3546" max="3547" width="9.109375" style="37" customWidth="1"/>
    <col min="3548" max="3548" width="5.33203125" style="37" customWidth="1"/>
    <col min="3549" max="3799" width="9.109375" style="37" customWidth="1"/>
    <col min="3800" max="3800" width="6.33203125" style="37" customWidth="1"/>
    <col min="3801" max="3801" width="37.44140625" style="37" customWidth="1"/>
    <col min="3802" max="3803" width="9.109375" style="37" customWidth="1"/>
    <col min="3804" max="3804" width="5.33203125" style="37" customWidth="1"/>
    <col min="3805" max="4055" width="9.109375" style="37" customWidth="1"/>
    <col min="4056" max="4056" width="6.33203125" style="37" customWidth="1"/>
    <col min="4057" max="4057" width="37.44140625" style="37" customWidth="1"/>
    <col min="4058" max="4059" width="9.109375" style="37" customWidth="1"/>
    <col min="4060" max="4060" width="5.33203125" style="37" customWidth="1"/>
    <col min="4061" max="4311" width="9.109375" style="37" customWidth="1"/>
    <col min="4312" max="4312" width="6.33203125" style="37" customWidth="1"/>
    <col min="4313" max="4313" width="37.44140625" style="37" customWidth="1"/>
    <col min="4314" max="4315" width="9.109375" style="37" customWidth="1"/>
    <col min="4316" max="4316" width="5.33203125" style="37" customWidth="1"/>
    <col min="4317" max="4567" width="9.109375" style="37" customWidth="1"/>
    <col min="4568" max="4568" width="6.33203125" style="37" customWidth="1"/>
    <col min="4569" max="4569" width="37.44140625" style="37" customWidth="1"/>
    <col min="4570" max="4571" width="9.109375" style="37" customWidth="1"/>
    <col min="4572" max="4572" width="5.33203125" style="37" customWidth="1"/>
    <col min="4573" max="4823" width="9.109375" style="37" customWidth="1"/>
    <col min="4824" max="4824" width="6.33203125" style="37" customWidth="1"/>
    <col min="4825" max="4825" width="37.44140625" style="37" customWidth="1"/>
    <col min="4826" max="4827" width="9.109375" style="37" customWidth="1"/>
    <col min="4828" max="4828" width="5.33203125" style="37" customWidth="1"/>
    <col min="4829" max="5079" width="9.109375" style="37" customWidth="1"/>
    <col min="5080" max="5080" width="6.33203125" style="37" customWidth="1"/>
    <col min="5081" max="5081" width="37.44140625" style="37" customWidth="1"/>
    <col min="5082" max="5083" width="9.109375" style="37" customWidth="1"/>
    <col min="5084" max="5084" width="5.33203125" style="37" customWidth="1"/>
    <col min="5085" max="5335" width="9.109375" style="37" customWidth="1"/>
    <col min="5336" max="5336" width="6.33203125" style="37" customWidth="1"/>
    <col min="5337" max="5337" width="37.44140625" style="37" customWidth="1"/>
    <col min="5338" max="5339" width="9.109375" style="37" customWidth="1"/>
    <col min="5340" max="5340" width="5.33203125" style="37" customWidth="1"/>
    <col min="5341" max="5591" width="9.109375" style="37" customWidth="1"/>
    <col min="5592" max="5592" width="6.33203125" style="37" customWidth="1"/>
    <col min="5593" max="5593" width="37.44140625" style="37" customWidth="1"/>
    <col min="5594" max="5595" width="9.109375" style="37" customWidth="1"/>
    <col min="5596" max="5596" width="5.33203125" style="37" customWidth="1"/>
    <col min="5597" max="5847" width="9.109375" style="37" customWidth="1"/>
    <col min="5848" max="5848" width="6.33203125" style="37" customWidth="1"/>
    <col min="5849" max="5849" width="37.44140625" style="37" customWidth="1"/>
    <col min="5850" max="5851" width="9.109375" style="37" customWidth="1"/>
    <col min="5852" max="5852" width="5.33203125" style="37" customWidth="1"/>
    <col min="5853" max="6103" width="9.109375" style="37" customWidth="1"/>
    <col min="6104" max="6104" width="6.33203125" style="37" customWidth="1"/>
    <col min="6105" max="6105" width="37.44140625" style="37" customWidth="1"/>
    <col min="6106" max="6107" width="9.109375" style="37" customWidth="1"/>
    <col min="6108" max="6108" width="5.33203125" style="37" customWidth="1"/>
    <col min="6109" max="6359" width="9.109375" style="37" customWidth="1"/>
    <col min="6360" max="6360" width="6.33203125" style="37" customWidth="1"/>
    <col min="6361" max="6361" width="37.44140625" style="37" customWidth="1"/>
    <col min="6362" max="6363" width="9.109375" style="37" customWidth="1"/>
    <col min="6364" max="6364" width="5.33203125" style="37" customWidth="1"/>
    <col min="6365" max="6615" width="9.109375" style="37" customWidth="1"/>
    <col min="6616" max="6616" width="6.33203125" style="37" customWidth="1"/>
    <col min="6617" max="6617" width="37.44140625" style="37" customWidth="1"/>
    <col min="6618" max="6619" width="9.109375" style="37" customWidth="1"/>
    <col min="6620" max="6620" width="5.33203125" style="37" customWidth="1"/>
    <col min="6621" max="6871" width="9.109375" style="37" customWidth="1"/>
    <col min="6872" max="6872" width="6.33203125" style="37" customWidth="1"/>
    <col min="6873" max="6873" width="37.44140625" style="37" customWidth="1"/>
    <col min="6874" max="6875" width="9.109375" style="37" customWidth="1"/>
    <col min="6876" max="6876" width="5.33203125" style="37" customWidth="1"/>
    <col min="6877" max="7127" width="9.109375" style="37" customWidth="1"/>
    <col min="7128" max="7128" width="6.33203125" style="37" customWidth="1"/>
    <col min="7129" max="7129" width="37.44140625" style="37" customWidth="1"/>
    <col min="7130" max="7131" width="9.109375" style="37" customWidth="1"/>
    <col min="7132" max="7132" width="5.33203125" style="37" customWidth="1"/>
    <col min="7133" max="7383" width="9.109375" style="37" customWidth="1"/>
    <col min="7384" max="7384" width="6.33203125" style="37" customWidth="1"/>
    <col min="7385" max="7385" width="37.44140625" style="37" customWidth="1"/>
    <col min="7386" max="7387" width="9.109375" style="37" customWidth="1"/>
    <col min="7388" max="7388" width="5.33203125" style="37" customWidth="1"/>
    <col min="7389" max="7639" width="9.109375" style="37" customWidth="1"/>
    <col min="7640" max="7640" width="6.33203125" style="37" customWidth="1"/>
    <col min="7641" max="7641" width="37.44140625" style="37" customWidth="1"/>
    <col min="7642" max="7643" width="9.109375" style="37" customWidth="1"/>
    <col min="7644" max="7644" width="5.33203125" style="37" customWidth="1"/>
    <col min="7645" max="7895" width="9.109375" style="37" customWidth="1"/>
    <col min="7896" max="7896" width="6.33203125" style="37" customWidth="1"/>
    <col min="7897" max="7897" width="37.44140625" style="37" customWidth="1"/>
    <col min="7898" max="7899" width="9.109375" style="37" customWidth="1"/>
    <col min="7900" max="7900" width="5.33203125" style="37" customWidth="1"/>
    <col min="7901" max="8151" width="9.109375" style="37" customWidth="1"/>
    <col min="8152" max="8152" width="6.33203125" style="37" customWidth="1"/>
    <col min="8153" max="8153" width="37.44140625" style="37" customWidth="1"/>
    <col min="8154" max="8155" width="9.109375" style="37" customWidth="1"/>
    <col min="8156" max="8156" width="5.33203125" style="37" customWidth="1"/>
    <col min="8157" max="8407" width="9.109375" style="37" customWidth="1"/>
    <col min="8408" max="8408" width="6.33203125" style="37" customWidth="1"/>
    <col min="8409" max="8409" width="37.44140625" style="37" customWidth="1"/>
    <col min="8410" max="8411" width="9.109375" style="37" customWidth="1"/>
    <col min="8412" max="8412" width="5.33203125" style="37" customWidth="1"/>
    <col min="8413" max="8663" width="9.109375" style="37" customWidth="1"/>
    <col min="8664" max="8664" width="6.33203125" style="37" customWidth="1"/>
    <col min="8665" max="8665" width="37.44140625" style="37" customWidth="1"/>
    <col min="8666" max="8667" width="9.109375" style="37" customWidth="1"/>
    <col min="8668" max="8668" width="5.33203125" style="37" customWidth="1"/>
    <col min="8669" max="8919" width="9.109375" style="37" customWidth="1"/>
    <col min="8920" max="8920" width="6.33203125" style="37" customWidth="1"/>
    <col min="8921" max="8921" width="37.44140625" style="37" customWidth="1"/>
    <col min="8922" max="8923" width="9.109375" style="37" customWidth="1"/>
    <col min="8924" max="8924" width="5.33203125" style="37" customWidth="1"/>
    <col min="8925" max="9175" width="9.109375" style="37" customWidth="1"/>
    <col min="9176" max="9176" width="6.33203125" style="37" customWidth="1"/>
    <col min="9177" max="9177" width="37.44140625" style="37" customWidth="1"/>
    <col min="9178" max="9179" width="9.109375" style="37" customWidth="1"/>
    <col min="9180" max="9180" width="5.33203125" style="37" customWidth="1"/>
    <col min="9181" max="9431" width="9.109375" style="37" customWidth="1"/>
    <col min="9432" max="9432" width="6.33203125" style="37" customWidth="1"/>
    <col min="9433" max="9433" width="37.44140625" style="37" customWidth="1"/>
    <col min="9434" max="9435" width="9.109375" style="37" customWidth="1"/>
    <col min="9436" max="9436" width="5.33203125" style="37" customWidth="1"/>
    <col min="9437" max="9687" width="9.109375" style="37" customWidth="1"/>
    <col min="9688" max="9688" width="6.33203125" style="37" customWidth="1"/>
    <col min="9689" max="9689" width="37.44140625" style="37" customWidth="1"/>
    <col min="9690" max="9691" width="9.109375" style="37" customWidth="1"/>
    <col min="9692" max="9692" width="5.33203125" style="37" customWidth="1"/>
    <col min="9693" max="9943" width="9.109375" style="37" customWidth="1"/>
    <col min="9944" max="9944" width="6.33203125" style="37" customWidth="1"/>
    <col min="9945" max="9945" width="37.44140625" style="37" customWidth="1"/>
    <col min="9946" max="9947" width="9.109375" style="37" customWidth="1"/>
    <col min="9948" max="9948" width="5.33203125" style="37" customWidth="1"/>
    <col min="9949" max="10199" width="9.109375" style="37" customWidth="1"/>
    <col min="10200" max="10200" width="6.33203125" style="37" customWidth="1"/>
    <col min="10201" max="10201" width="37.44140625" style="37" customWidth="1"/>
    <col min="10202" max="10203" width="9.109375" style="37" customWidth="1"/>
    <col min="10204" max="10204" width="5.33203125" style="37" customWidth="1"/>
    <col min="10205" max="10455" width="9.109375" style="37" customWidth="1"/>
    <col min="10456" max="10456" width="6.33203125" style="37" customWidth="1"/>
    <col min="10457" max="10457" width="37.44140625" style="37" customWidth="1"/>
    <col min="10458" max="10459" width="9.109375" style="37" customWidth="1"/>
    <col min="10460" max="10460" width="5.33203125" style="37" customWidth="1"/>
    <col min="10461" max="10711" width="9.109375" style="37" customWidth="1"/>
    <col min="10712" max="10712" width="6.33203125" style="37" customWidth="1"/>
    <col min="10713" max="10713" width="37.44140625" style="37" customWidth="1"/>
    <col min="10714" max="10715" width="9.109375" style="37" customWidth="1"/>
    <col min="10716" max="10716" width="5.33203125" style="37" customWidth="1"/>
    <col min="10717" max="10967" width="9.109375" style="37" customWidth="1"/>
    <col min="10968" max="10968" width="6.33203125" style="37" customWidth="1"/>
    <col min="10969" max="10969" width="37.44140625" style="37" customWidth="1"/>
    <col min="10970" max="10971" width="9.109375" style="37" customWidth="1"/>
    <col min="10972" max="10972" width="5.33203125" style="37" customWidth="1"/>
    <col min="10973" max="11223" width="9.109375" style="37" customWidth="1"/>
    <col min="11224" max="11224" width="6.33203125" style="37" customWidth="1"/>
    <col min="11225" max="11225" width="37.44140625" style="37" customWidth="1"/>
    <col min="11226" max="11227" width="9.109375" style="37" customWidth="1"/>
    <col min="11228" max="11228" width="5.33203125" style="37" customWidth="1"/>
    <col min="11229" max="11479" width="9.109375" style="37" customWidth="1"/>
    <col min="11480" max="11480" width="6.33203125" style="37" customWidth="1"/>
    <col min="11481" max="11481" width="37.44140625" style="37" customWidth="1"/>
    <col min="11482" max="11483" width="9.109375" style="37" customWidth="1"/>
    <col min="11484" max="11484" width="5.33203125" style="37" customWidth="1"/>
    <col min="11485" max="11735" width="9.109375" style="37" customWidth="1"/>
    <col min="11736" max="11736" width="6.33203125" style="37" customWidth="1"/>
    <col min="11737" max="11737" width="37.44140625" style="37" customWidth="1"/>
    <col min="11738" max="11739" width="9.109375" style="37" customWidth="1"/>
    <col min="11740" max="11740" width="5.33203125" style="37" customWidth="1"/>
    <col min="11741" max="11991" width="9.109375" style="37" customWidth="1"/>
    <col min="11992" max="11992" width="6.33203125" style="37" customWidth="1"/>
    <col min="11993" max="11993" width="37.44140625" style="37" customWidth="1"/>
    <col min="11994" max="11995" width="9.109375" style="37" customWidth="1"/>
    <col min="11996" max="11996" width="5.33203125" style="37" customWidth="1"/>
    <col min="11997" max="12247" width="9.109375" style="37" customWidth="1"/>
    <col min="12248" max="12248" width="6.33203125" style="37" customWidth="1"/>
    <col min="12249" max="12249" width="37.44140625" style="37" customWidth="1"/>
    <col min="12250" max="12251" width="9.109375" style="37" customWidth="1"/>
    <col min="12252" max="12252" width="5.33203125" style="37" customWidth="1"/>
    <col min="12253" max="12503" width="9.109375" style="37" customWidth="1"/>
    <col min="12504" max="12504" width="6.33203125" style="37" customWidth="1"/>
    <col min="12505" max="12505" width="37.44140625" style="37" customWidth="1"/>
    <col min="12506" max="12507" width="9.109375" style="37" customWidth="1"/>
    <col min="12508" max="12508" width="5.33203125" style="37" customWidth="1"/>
    <col min="12509" max="12759" width="9.109375" style="37" customWidth="1"/>
    <col min="12760" max="12760" width="6.33203125" style="37" customWidth="1"/>
    <col min="12761" max="12761" width="37.44140625" style="37" customWidth="1"/>
    <col min="12762" max="12763" width="9.109375" style="37" customWidth="1"/>
    <col min="12764" max="12764" width="5.33203125" style="37" customWidth="1"/>
    <col min="12765" max="13015" width="9.109375" style="37" customWidth="1"/>
    <col min="13016" max="13016" width="6.33203125" style="37" customWidth="1"/>
    <col min="13017" max="13017" width="37.44140625" style="37" customWidth="1"/>
    <col min="13018" max="13019" width="9.109375" style="37" customWidth="1"/>
    <col min="13020" max="13020" width="5.33203125" style="37" customWidth="1"/>
    <col min="13021" max="13271" width="9.109375" style="37" customWidth="1"/>
    <col min="13272" max="13272" width="6.33203125" style="37" customWidth="1"/>
    <col min="13273" max="13273" width="37.44140625" style="37" customWidth="1"/>
    <col min="13274" max="13275" width="9.109375" style="37" customWidth="1"/>
    <col min="13276" max="13276" width="5.33203125" style="37" customWidth="1"/>
    <col min="13277" max="13527" width="9.109375" style="37" customWidth="1"/>
    <col min="13528" max="13528" width="6.33203125" style="37" customWidth="1"/>
    <col min="13529" max="13529" width="37.44140625" style="37" customWidth="1"/>
    <col min="13530" max="13531" width="9.109375" style="37" customWidth="1"/>
    <col min="13532" max="13532" width="5.33203125" style="37" customWidth="1"/>
    <col min="13533" max="13783" width="9.109375" style="37" customWidth="1"/>
    <col min="13784" max="13784" width="6.33203125" style="37" customWidth="1"/>
    <col min="13785" max="13785" width="37.44140625" style="37" customWidth="1"/>
    <col min="13786" max="13787" width="9.109375" style="37" customWidth="1"/>
    <col min="13788" max="13788" width="5.33203125" style="37" customWidth="1"/>
    <col min="13789" max="14039" width="9.109375" style="37" customWidth="1"/>
    <col min="14040" max="14040" width="6.33203125" style="37" customWidth="1"/>
    <col min="14041" max="14041" width="37.44140625" style="37" customWidth="1"/>
    <col min="14042" max="14043" width="9.109375" style="37" customWidth="1"/>
    <col min="14044" max="14044" width="5.33203125" style="37" customWidth="1"/>
    <col min="14045" max="14295" width="9.109375" style="37" customWidth="1"/>
    <col min="14296" max="14296" width="6.33203125" style="37" customWidth="1"/>
    <col min="14297" max="14297" width="37.44140625" style="37" customWidth="1"/>
    <col min="14298" max="14299" width="9.109375" style="37" customWidth="1"/>
    <col min="14300" max="14300" width="5.33203125" style="37" customWidth="1"/>
    <col min="14301" max="14551" width="9.109375" style="37" customWidth="1"/>
    <col min="14552" max="14552" width="6.33203125" style="37" customWidth="1"/>
    <col min="14553" max="14553" width="37.44140625" style="37" customWidth="1"/>
    <col min="14554" max="14555" width="9.109375" style="37" customWidth="1"/>
    <col min="14556" max="14556" width="5.33203125" style="37" customWidth="1"/>
    <col min="14557" max="14807" width="9.109375" style="37" customWidth="1"/>
    <col min="14808" max="14808" width="6.33203125" style="37" customWidth="1"/>
    <col min="14809" max="14809" width="37.44140625" style="37" customWidth="1"/>
    <col min="14810" max="14811" width="9.109375" style="37" customWidth="1"/>
    <col min="14812" max="14812" width="5.33203125" style="37" customWidth="1"/>
    <col min="14813" max="15063" width="9.109375" style="37" customWidth="1"/>
    <col min="15064" max="15064" width="6.33203125" style="37" customWidth="1"/>
    <col min="15065" max="15065" width="37.44140625" style="37" customWidth="1"/>
    <col min="15066" max="15067" width="9.109375" style="37" customWidth="1"/>
    <col min="15068" max="15068" width="5.33203125" style="37" customWidth="1"/>
    <col min="15069" max="15319" width="9.109375" style="37" customWidth="1"/>
    <col min="15320" max="15320" width="6.33203125" style="37" customWidth="1"/>
    <col min="15321" max="15321" width="37.44140625" style="37" customWidth="1"/>
    <col min="15322" max="15323" width="9.109375" style="37" customWidth="1"/>
    <col min="15324" max="15324" width="5.33203125" style="37" customWidth="1"/>
    <col min="15325" max="15575" width="9.109375" style="37" customWidth="1"/>
    <col min="15576" max="15576" width="6.33203125" style="37" customWidth="1"/>
    <col min="15577" max="15577" width="37.44140625" style="37" customWidth="1"/>
    <col min="15578" max="15579" width="9.109375" style="37" customWidth="1"/>
    <col min="15580" max="15580" width="5.33203125" style="37" customWidth="1"/>
    <col min="15581" max="15831" width="9.109375" style="37" customWidth="1"/>
    <col min="15832" max="15832" width="6.33203125" style="37" customWidth="1"/>
    <col min="15833" max="15833" width="37.44140625" style="37" customWidth="1"/>
    <col min="15834" max="15835" width="9.109375" style="37" customWidth="1"/>
    <col min="15836" max="15836" width="5.33203125" style="37" customWidth="1"/>
    <col min="15837" max="16087" width="9.109375" style="37" customWidth="1"/>
    <col min="16088" max="16088" width="6.33203125" style="37" customWidth="1"/>
    <col min="16089" max="16089" width="37.44140625" style="37" customWidth="1"/>
    <col min="16090" max="16091" width="9.109375" style="37" customWidth="1"/>
    <col min="16092" max="16092" width="5.33203125" style="37" customWidth="1"/>
    <col min="16093" max="16384" width="9.109375" style="37" customWidth="1"/>
  </cols>
  <sheetData>
    <row r="1" spans="1:13" ht="26.4" customHeight="1" x14ac:dyDescent="0.25">
      <c r="A1" s="632" t="str">
        <f t="array" ref="A1">'Electrical Works'!A1:A1</f>
        <v xml:space="preserve"> Name of Work :-   Repairing and Renovation of  Circuit House at Bokakhat Co District under Golaghat District</v>
      </c>
      <c r="B1" s="621"/>
      <c r="C1" s="622"/>
      <c r="D1" s="622"/>
      <c r="E1" s="622"/>
      <c r="F1" s="622"/>
      <c r="G1" s="622"/>
      <c r="H1" s="622"/>
      <c r="I1" s="622"/>
      <c r="J1" s="622"/>
      <c r="K1" s="621"/>
      <c r="L1" s="623"/>
      <c r="M1" s="622"/>
    </row>
    <row r="2" spans="1:13" ht="18" customHeight="1" x14ac:dyDescent="0.25">
      <c r="A2" s="627" t="s">
        <v>531</v>
      </c>
      <c r="B2" s="621"/>
      <c r="C2" s="622"/>
      <c r="D2" s="622"/>
      <c r="E2" s="622"/>
      <c r="F2" s="622"/>
      <c r="G2" s="622"/>
      <c r="H2" s="622"/>
      <c r="I2" s="622"/>
      <c r="J2" s="622"/>
      <c r="K2" s="621"/>
      <c r="L2" s="623"/>
      <c r="M2" s="622"/>
    </row>
    <row r="3" spans="1:13" ht="15" customHeight="1" thickBot="1" x14ac:dyDescent="0.3">
      <c r="A3" s="625"/>
      <c r="B3" s="621"/>
      <c r="C3" s="622"/>
      <c r="D3" s="622"/>
      <c r="E3" s="622"/>
      <c r="F3" s="622"/>
      <c r="G3" s="622"/>
      <c r="H3" s="622"/>
      <c r="I3" s="622"/>
      <c r="J3" s="622"/>
      <c r="K3" s="621"/>
      <c r="L3" s="623"/>
      <c r="M3" s="622"/>
    </row>
    <row r="4" spans="1:13" ht="42.6" customHeight="1" x14ac:dyDescent="0.25">
      <c r="A4" s="636" t="s">
        <v>532</v>
      </c>
      <c r="B4" s="109" t="s">
        <v>533</v>
      </c>
      <c r="C4" s="650" t="s">
        <v>325</v>
      </c>
      <c r="D4" s="651"/>
      <c r="E4" s="651"/>
      <c r="F4" s="651"/>
      <c r="G4" s="651"/>
      <c r="H4" s="651"/>
      <c r="I4" s="655"/>
      <c r="J4" s="647" t="s">
        <v>7</v>
      </c>
      <c r="K4" s="647" t="s">
        <v>534</v>
      </c>
      <c r="L4" s="649" t="s">
        <v>421</v>
      </c>
      <c r="M4" s="640" t="s">
        <v>535</v>
      </c>
    </row>
    <row r="5" spans="1:13" x14ac:dyDescent="0.25">
      <c r="A5" s="637"/>
      <c r="B5" s="110">
        <v>2021</v>
      </c>
      <c r="C5" s="585"/>
      <c r="D5" s="622"/>
      <c r="E5" s="622"/>
      <c r="F5" s="622"/>
      <c r="G5" s="622"/>
      <c r="H5" s="622"/>
      <c r="I5" s="622"/>
      <c r="J5" s="543"/>
      <c r="K5" s="543"/>
      <c r="L5" s="543"/>
      <c r="M5" s="641"/>
    </row>
    <row r="6" spans="1:13" ht="56.4" customHeight="1" thickBot="1" x14ac:dyDescent="0.3">
      <c r="A6" s="638"/>
      <c r="B6" s="219" t="s">
        <v>536</v>
      </c>
      <c r="C6" s="652"/>
      <c r="D6" s="653"/>
      <c r="E6" s="653"/>
      <c r="F6" s="653"/>
      <c r="G6" s="653"/>
      <c r="H6" s="653"/>
      <c r="I6" s="653"/>
      <c r="J6" s="648"/>
      <c r="K6" s="648"/>
      <c r="L6" s="648"/>
      <c r="M6" s="642"/>
    </row>
    <row r="7" spans="1:13" x14ac:dyDescent="0.25">
      <c r="A7" s="111"/>
      <c r="B7" s="112"/>
      <c r="C7" s="645"/>
      <c r="D7" s="557"/>
      <c r="E7" s="557"/>
      <c r="F7" s="557"/>
      <c r="G7" s="557"/>
      <c r="H7" s="557"/>
      <c r="I7" s="558"/>
      <c r="J7" s="113"/>
      <c r="K7" s="114"/>
      <c r="L7" s="115"/>
      <c r="M7" s="116"/>
    </row>
    <row r="8" spans="1:13" x14ac:dyDescent="0.25">
      <c r="A8" s="117"/>
      <c r="B8" s="118">
        <v>2</v>
      </c>
      <c r="C8" s="654" t="s">
        <v>537</v>
      </c>
      <c r="D8" s="516"/>
      <c r="E8" s="516"/>
      <c r="F8" s="516"/>
      <c r="G8" s="516"/>
      <c r="H8" s="516"/>
      <c r="I8" s="517"/>
      <c r="J8" s="119"/>
      <c r="K8" s="119"/>
      <c r="L8" s="120"/>
      <c r="M8" s="121"/>
    </row>
    <row r="9" spans="1:13" x14ac:dyDescent="0.25">
      <c r="A9" s="117"/>
      <c r="B9" s="117">
        <v>2.8</v>
      </c>
      <c r="C9" s="624" t="s">
        <v>538</v>
      </c>
      <c r="D9" s="516"/>
      <c r="E9" s="516"/>
      <c r="F9" s="516"/>
      <c r="G9" s="516"/>
      <c r="H9" s="516"/>
      <c r="I9" s="517"/>
      <c r="J9" s="117"/>
      <c r="K9" s="117"/>
      <c r="L9" s="122"/>
      <c r="M9" s="123"/>
    </row>
    <row r="10" spans="1:13" ht="102" customHeight="1" x14ac:dyDescent="0.25">
      <c r="A10" s="117"/>
      <c r="B10" s="124"/>
      <c r="C10" s="631" t="s">
        <v>539</v>
      </c>
      <c r="D10" s="516"/>
      <c r="E10" s="516"/>
      <c r="F10" s="516"/>
      <c r="G10" s="516"/>
      <c r="H10" s="516"/>
      <c r="I10" s="517"/>
      <c r="J10" s="125"/>
      <c r="K10" s="125"/>
      <c r="L10" s="126"/>
      <c r="M10" s="127"/>
    </row>
    <row r="11" spans="1:13" ht="27.6" customHeight="1" x14ac:dyDescent="0.25">
      <c r="A11" s="117">
        <v>1</v>
      </c>
      <c r="B11" s="117" t="s">
        <v>540</v>
      </c>
      <c r="C11" s="626" t="s">
        <v>541</v>
      </c>
      <c r="D11" s="516"/>
      <c r="E11" s="516"/>
      <c r="F11" s="516"/>
      <c r="G11" s="516"/>
      <c r="H11" s="516"/>
      <c r="I11" s="517"/>
      <c r="J11" s="128" t="s">
        <v>542</v>
      </c>
      <c r="K11" s="129">
        <f>Sheet5!I5</f>
        <v>17.95</v>
      </c>
      <c r="L11" s="122">
        <v>286.85000000000002</v>
      </c>
      <c r="M11" s="123">
        <f>ROUND(L11*K11,0)</f>
        <v>5149</v>
      </c>
    </row>
    <row r="12" spans="1:13" ht="21.6" customHeight="1" x14ac:dyDescent="0.25">
      <c r="A12" s="117"/>
      <c r="B12" s="118">
        <v>4</v>
      </c>
      <c r="C12" s="624" t="s">
        <v>543</v>
      </c>
      <c r="D12" s="516"/>
      <c r="E12" s="516"/>
      <c r="F12" s="516"/>
      <c r="G12" s="516"/>
      <c r="H12" s="516"/>
      <c r="I12" s="517"/>
      <c r="J12" s="128"/>
      <c r="K12" s="128"/>
      <c r="L12" s="122"/>
      <c r="M12" s="130"/>
    </row>
    <row r="13" spans="1:13" ht="17.399999999999999" customHeight="1" x14ac:dyDescent="0.25">
      <c r="A13" s="117"/>
      <c r="B13" s="118"/>
      <c r="C13" s="643" t="s">
        <v>544</v>
      </c>
      <c r="D13" s="516"/>
      <c r="E13" s="516"/>
      <c r="F13" s="516"/>
      <c r="G13" s="516"/>
      <c r="H13" s="516"/>
      <c r="I13" s="517"/>
      <c r="J13" s="128"/>
      <c r="K13" s="128"/>
      <c r="L13" s="122"/>
      <c r="M13" s="130"/>
    </row>
    <row r="14" spans="1:13" ht="46.8" customHeight="1" x14ac:dyDescent="0.25">
      <c r="A14" s="117"/>
      <c r="B14" s="117"/>
      <c r="C14" s="631" t="s">
        <v>545</v>
      </c>
      <c r="D14" s="516"/>
      <c r="E14" s="516"/>
      <c r="F14" s="516"/>
      <c r="G14" s="516"/>
      <c r="H14" s="516"/>
      <c r="I14" s="517"/>
      <c r="J14" s="117"/>
      <c r="K14" s="117"/>
      <c r="L14" s="122"/>
      <c r="M14" s="123"/>
    </row>
    <row r="15" spans="1:13" ht="46.8" customHeight="1" x14ac:dyDescent="0.25">
      <c r="A15" s="131">
        <v>2</v>
      </c>
      <c r="B15" s="131" t="s">
        <v>546</v>
      </c>
      <c r="C15" s="644" t="s">
        <v>547</v>
      </c>
      <c r="D15" s="516"/>
      <c r="E15" s="516"/>
      <c r="F15" s="516"/>
      <c r="G15" s="516"/>
      <c r="H15" s="516"/>
      <c r="I15" s="517"/>
      <c r="J15" s="132" t="s">
        <v>542</v>
      </c>
      <c r="K15" s="133">
        <f>Sheet5!I10</f>
        <v>1.5</v>
      </c>
      <c r="L15" s="134">
        <v>6833.4</v>
      </c>
      <c r="M15" s="135">
        <f>ROUND(K15*L15,0)</f>
        <v>10250</v>
      </c>
    </row>
    <row r="16" spans="1:13" ht="22.8" customHeight="1" x14ac:dyDescent="0.25">
      <c r="A16" s="117"/>
      <c r="B16" s="124">
        <v>5</v>
      </c>
      <c r="C16" s="634" t="s">
        <v>548</v>
      </c>
      <c r="D16" s="516"/>
      <c r="E16" s="516"/>
      <c r="F16" s="516"/>
      <c r="G16" s="516"/>
      <c r="H16" s="516"/>
      <c r="I16" s="517"/>
      <c r="J16" s="117"/>
      <c r="K16" s="117"/>
      <c r="L16" s="122"/>
      <c r="M16" s="123"/>
    </row>
    <row r="17" spans="1:13" ht="50.4" customHeight="1" x14ac:dyDescent="0.25">
      <c r="A17" s="117"/>
      <c r="B17" s="117">
        <v>5.0999999999999996</v>
      </c>
      <c r="C17" s="631" t="s">
        <v>549</v>
      </c>
      <c r="D17" s="516"/>
      <c r="E17" s="516"/>
      <c r="F17" s="516"/>
      <c r="G17" s="516"/>
      <c r="H17" s="516"/>
      <c r="I17" s="517"/>
      <c r="J17" s="117"/>
      <c r="K17" s="117"/>
      <c r="L17" s="122"/>
      <c r="M17" s="123"/>
    </row>
    <row r="18" spans="1:13" ht="64.2" customHeight="1" x14ac:dyDescent="0.25">
      <c r="A18" s="117">
        <v>3</v>
      </c>
      <c r="B18" s="117" t="s">
        <v>550</v>
      </c>
      <c r="C18" s="639" t="s">
        <v>551</v>
      </c>
      <c r="D18" s="516"/>
      <c r="E18" s="516"/>
      <c r="F18" s="516"/>
      <c r="G18" s="516"/>
      <c r="H18" s="516"/>
      <c r="I18" s="517"/>
      <c r="J18" s="136" t="s">
        <v>542</v>
      </c>
      <c r="K18" s="137">
        <f>Sheet5!I17</f>
        <v>1.19</v>
      </c>
      <c r="L18" s="122">
        <v>8364.2000000000007</v>
      </c>
      <c r="M18" s="123">
        <f>ROUND(K18*L18,0)</f>
        <v>9953</v>
      </c>
    </row>
    <row r="19" spans="1:13" ht="22.2" customHeight="1" x14ac:dyDescent="0.25">
      <c r="A19" s="117"/>
      <c r="B19" s="117">
        <v>5.9</v>
      </c>
      <c r="C19" s="646" t="s">
        <v>552</v>
      </c>
      <c r="D19" s="516"/>
      <c r="E19" s="516"/>
      <c r="F19" s="516"/>
      <c r="G19" s="516"/>
      <c r="H19" s="516"/>
      <c r="I19" s="517"/>
      <c r="J19" s="117"/>
      <c r="K19" s="138"/>
      <c r="L19" s="122"/>
      <c r="M19" s="123"/>
    </row>
    <row r="20" spans="1:13" ht="40.200000000000003" customHeight="1" x14ac:dyDescent="0.25">
      <c r="A20" s="117"/>
      <c r="B20" s="117"/>
      <c r="C20" s="631" t="s">
        <v>553</v>
      </c>
      <c r="D20" s="516"/>
      <c r="E20" s="516"/>
      <c r="F20" s="516"/>
      <c r="G20" s="516"/>
      <c r="H20" s="516"/>
      <c r="I20" s="517"/>
      <c r="J20" s="117"/>
      <c r="K20" s="117"/>
      <c r="L20" s="126"/>
      <c r="M20" s="123"/>
    </row>
    <row r="21" spans="1:13" ht="36.6" customHeight="1" x14ac:dyDescent="0.25">
      <c r="A21" s="117">
        <v>4</v>
      </c>
      <c r="B21" s="117" t="s">
        <v>554</v>
      </c>
      <c r="C21" s="631" t="s">
        <v>555</v>
      </c>
      <c r="D21" s="516"/>
      <c r="E21" s="516"/>
      <c r="F21" s="516"/>
      <c r="G21" s="516"/>
      <c r="H21" s="516"/>
      <c r="I21" s="517"/>
      <c r="J21" s="117" t="s">
        <v>556</v>
      </c>
      <c r="K21" s="137">
        <f>Sheet5!I24</f>
        <v>7</v>
      </c>
      <c r="L21" s="122">
        <v>766.55</v>
      </c>
      <c r="M21" s="123">
        <f>ROUND(K21*L21,0)</f>
        <v>5366</v>
      </c>
    </row>
    <row r="22" spans="1:13" x14ac:dyDescent="0.25">
      <c r="A22" s="111"/>
      <c r="B22" s="112"/>
      <c r="C22" s="635" t="s">
        <v>557</v>
      </c>
      <c r="D22" s="557"/>
      <c r="E22" s="557"/>
      <c r="F22" s="557"/>
      <c r="G22" s="557"/>
      <c r="H22" s="557"/>
      <c r="I22" s="558"/>
      <c r="J22" s="111"/>
      <c r="K22" s="139"/>
      <c r="L22" s="140"/>
      <c r="M22" s="141"/>
    </row>
    <row r="23" spans="1:13" ht="85.2" customHeight="1" x14ac:dyDescent="0.25">
      <c r="A23" s="117"/>
      <c r="B23" s="117">
        <v>5.22</v>
      </c>
      <c r="C23" s="631" t="s">
        <v>558</v>
      </c>
      <c r="D23" s="516"/>
      <c r="E23" s="516"/>
      <c r="F23" s="516"/>
      <c r="G23" s="516"/>
      <c r="H23" s="516"/>
      <c r="I23" s="517"/>
      <c r="J23" s="117"/>
      <c r="K23" s="117"/>
      <c r="L23" s="122"/>
      <c r="M23" s="123"/>
    </row>
    <row r="24" spans="1:13" ht="29.4" customHeight="1" x14ac:dyDescent="0.25">
      <c r="A24" s="117">
        <v>5</v>
      </c>
      <c r="B24" s="117" t="s">
        <v>559</v>
      </c>
      <c r="C24" s="631" t="s">
        <v>560</v>
      </c>
      <c r="D24" s="516"/>
      <c r="E24" s="516"/>
      <c r="F24" s="516"/>
      <c r="G24" s="516"/>
      <c r="H24" s="516"/>
      <c r="I24" s="517"/>
      <c r="J24" s="117" t="s">
        <v>198</v>
      </c>
      <c r="K24" s="128">
        <f>'[52]ANX-7A'!$J$45</f>
        <v>104.92</v>
      </c>
      <c r="L24" s="122">
        <v>89.65</v>
      </c>
      <c r="M24" s="123">
        <f>ROUND(K24*L24,0)</f>
        <v>9406</v>
      </c>
    </row>
    <row r="25" spans="1:13" x14ac:dyDescent="0.25">
      <c r="A25" s="117"/>
      <c r="B25" s="117"/>
      <c r="C25" s="142" t="s">
        <v>561</v>
      </c>
      <c r="D25" s="143"/>
      <c r="E25" s="142"/>
      <c r="F25" s="142"/>
      <c r="G25" s="142"/>
      <c r="H25" s="142"/>
      <c r="I25" s="143"/>
      <c r="J25" s="117"/>
      <c r="K25" s="117"/>
      <c r="L25" s="122"/>
      <c r="M25" s="123"/>
    </row>
    <row r="26" spans="1:13" ht="27.6" customHeight="1" x14ac:dyDescent="0.25">
      <c r="A26" s="117"/>
      <c r="B26" s="117">
        <v>6.1</v>
      </c>
      <c r="C26" s="631" t="s">
        <v>562</v>
      </c>
      <c r="D26" s="516"/>
      <c r="E26" s="516"/>
      <c r="F26" s="516"/>
      <c r="G26" s="516"/>
      <c r="H26" s="516"/>
      <c r="I26" s="517"/>
      <c r="J26" s="117"/>
      <c r="K26" s="117"/>
      <c r="L26" s="122"/>
      <c r="M26" s="123"/>
    </row>
    <row r="27" spans="1:13" ht="52.8" customHeight="1" x14ac:dyDescent="0.25">
      <c r="A27" s="117">
        <v>6</v>
      </c>
      <c r="B27" s="117" t="s">
        <v>563</v>
      </c>
      <c r="C27" s="628" t="s">
        <v>564</v>
      </c>
      <c r="D27" s="516"/>
      <c r="E27" s="516"/>
      <c r="F27" s="516"/>
      <c r="G27" s="516"/>
      <c r="H27" s="516"/>
      <c r="I27" s="517"/>
      <c r="J27" s="117" t="s">
        <v>542</v>
      </c>
      <c r="K27" s="128">
        <f>Sheet5!I48</f>
        <v>4.6100000000000003</v>
      </c>
      <c r="L27" s="122">
        <v>6882</v>
      </c>
      <c r="M27" s="123">
        <f>ROUND(K27*L27,0)</f>
        <v>31726</v>
      </c>
    </row>
    <row r="28" spans="1:13" x14ac:dyDescent="0.25">
      <c r="A28" s="117"/>
      <c r="B28" s="117"/>
      <c r="C28" s="643" t="s">
        <v>565</v>
      </c>
      <c r="D28" s="516"/>
      <c r="E28" s="516"/>
      <c r="F28" s="516"/>
      <c r="G28" s="516"/>
      <c r="H28" s="516"/>
      <c r="I28" s="517"/>
      <c r="J28" s="117"/>
      <c r="K28" s="128"/>
      <c r="L28" s="122"/>
      <c r="M28" s="123"/>
    </row>
    <row r="29" spans="1:13" ht="58.2" customHeight="1" x14ac:dyDescent="0.25">
      <c r="A29" s="117"/>
      <c r="B29" s="119">
        <v>13.8</v>
      </c>
      <c r="C29" s="631" t="s">
        <v>566</v>
      </c>
      <c r="D29" s="516"/>
      <c r="E29" s="516"/>
      <c r="F29" s="516"/>
      <c r="G29" s="516"/>
      <c r="H29" s="516"/>
      <c r="I29" s="517"/>
      <c r="J29" s="117"/>
      <c r="K29" s="143"/>
      <c r="L29" s="122"/>
      <c r="M29" s="144"/>
    </row>
    <row r="30" spans="1:13" ht="50.4" customHeight="1" x14ac:dyDescent="0.25">
      <c r="A30" s="117">
        <v>7</v>
      </c>
      <c r="B30" s="117" t="s">
        <v>567</v>
      </c>
      <c r="C30" s="639" t="s">
        <v>568</v>
      </c>
      <c r="D30" s="516"/>
      <c r="E30" s="516"/>
      <c r="F30" s="516"/>
      <c r="G30" s="516"/>
      <c r="H30" s="516"/>
      <c r="I30" s="517"/>
      <c r="J30" s="117" t="s">
        <v>556</v>
      </c>
      <c r="K30" s="128">
        <f>Sheet5!I55</f>
        <v>64.38</v>
      </c>
      <c r="L30" s="122">
        <v>406.1</v>
      </c>
      <c r="M30" s="123">
        <f>ROUND(K30*L30,0)</f>
        <v>26145</v>
      </c>
    </row>
    <row r="31" spans="1:13" ht="82.8" customHeight="1" x14ac:dyDescent="0.25">
      <c r="A31" s="117">
        <v>8</v>
      </c>
      <c r="B31" s="119">
        <v>13.21</v>
      </c>
      <c r="C31" s="631" t="s">
        <v>569</v>
      </c>
      <c r="D31" s="516"/>
      <c r="E31" s="516"/>
      <c r="F31" s="516"/>
      <c r="G31" s="516"/>
      <c r="H31" s="516"/>
      <c r="I31" s="517"/>
      <c r="J31" s="136" t="s">
        <v>570</v>
      </c>
      <c r="K31" s="128">
        <f>K30*0.048</f>
        <v>3.09</v>
      </c>
      <c r="L31" s="122">
        <v>60.55</v>
      </c>
      <c r="M31" s="123">
        <f>ROUND(K31*L31,0)</f>
        <v>187</v>
      </c>
    </row>
    <row r="32" spans="1:13" ht="80.400000000000006" customHeight="1" x14ac:dyDescent="0.25">
      <c r="A32" s="221"/>
      <c r="B32" s="221">
        <v>19.32</v>
      </c>
      <c r="C32" s="631" t="s">
        <v>571</v>
      </c>
      <c r="D32" s="516"/>
      <c r="E32" s="516"/>
      <c r="F32" s="516"/>
      <c r="G32" s="516"/>
      <c r="H32" s="516"/>
      <c r="I32" s="517"/>
      <c r="J32" s="143"/>
      <c r="K32" s="143"/>
      <c r="L32" s="126"/>
      <c r="M32" s="222"/>
    </row>
    <row r="33" spans="1:135" ht="37.799999999999997" customHeight="1" x14ac:dyDescent="0.25">
      <c r="A33" s="223">
        <v>9</v>
      </c>
      <c r="B33" s="223" t="s">
        <v>572</v>
      </c>
      <c r="C33" s="629" t="s">
        <v>573</v>
      </c>
      <c r="D33" s="516"/>
      <c r="E33" s="516"/>
      <c r="F33" s="516"/>
      <c r="G33" s="516"/>
      <c r="H33" s="516"/>
      <c r="I33" s="517"/>
      <c r="J33" s="223" t="s">
        <v>171</v>
      </c>
      <c r="K33" s="224">
        <v>1</v>
      </c>
      <c r="L33" s="225">
        <v>28029.15</v>
      </c>
      <c r="M33" s="226">
        <f>ROUND(K33*L33,0)</f>
        <v>28029</v>
      </c>
    </row>
    <row r="34" spans="1:135" s="39" customFormat="1" ht="19.2" customHeight="1" x14ac:dyDescent="0.25">
      <c r="A34" s="119"/>
      <c r="B34" s="633" t="s">
        <v>574</v>
      </c>
      <c r="C34" s="516"/>
      <c r="D34" s="516"/>
      <c r="E34" s="516"/>
      <c r="F34" s="516"/>
      <c r="G34" s="516"/>
      <c r="H34" s="516"/>
      <c r="I34" s="516"/>
      <c r="J34" s="516"/>
      <c r="K34" s="516"/>
      <c r="L34" s="517"/>
      <c r="M34" s="130">
        <f>SUM(M10:M33)</f>
        <v>126211</v>
      </c>
    </row>
    <row r="35" spans="1:135" x14ac:dyDescent="0.25">
      <c r="A35" s="630" t="s">
        <v>304</v>
      </c>
      <c r="B35" s="516"/>
      <c r="C35" s="516"/>
      <c r="D35" s="516"/>
      <c r="E35" s="516"/>
      <c r="F35" s="516"/>
      <c r="G35" s="516"/>
      <c r="H35" s="516"/>
      <c r="I35" s="516"/>
      <c r="J35" s="516"/>
      <c r="K35" s="516"/>
      <c r="L35" s="517"/>
      <c r="M35" s="40">
        <f>M34</f>
        <v>126211</v>
      </c>
    </row>
    <row r="36" spans="1:135" x14ac:dyDescent="0.25">
      <c r="A36" s="620" t="str">
        <f>CU39</f>
        <v>(Rupees one lakh twenty six thousand two hundred eleven) only.</v>
      </c>
      <c r="B36" s="621"/>
      <c r="C36" s="622"/>
      <c r="D36" s="622"/>
      <c r="E36" s="622"/>
      <c r="F36" s="622"/>
      <c r="G36" s="622"/>
      <c r="H36" s="622"/>
      <c r="I36" s="622"/>
      <c r="J36" s="622"/>
      <c r="K36" s="621"/>
      <c r="L36" s="623"/>
    </row>
    <row r="38" spans="1:135" ht="14.4" customHeight="1" thickBot="1" x14ac:dyDescent="0.3"/>
    <row r="39" spans="1:135" s="53" customFormat="1" ht="12.75" customHeight="1" thickBot="1" x14ac:dyDescent="0.35">
      <c r="A39" s="42">
        <f>M35</f>
        <v>126211</v>
      </c>
      <c r="B39" s="43" t="s">
        <v>263</v>
      </c>
      <c r="C39" s="44">
        <v>1</v>
      </c>
      <c r="D39" s="45" t="s">
        <v>264</v>
      </c>
      <c r="E39" s="44">
        <v>2</v>
      </c>
      <c r="F39" s="45" t="s">
        <v>265</v>
      </c>
      <c r="G39" s="44">
        <v>3</v>
      </c>
      <c r="H39" s="45" t="s">
        <v>266</v>
      </c>
      <c r="I39" s="44">
        <v>4</v>
      </c>
      <c r="J39" s="45" t="s">
        <v>267</v>
      </c>
      <c r="K39" s="44">
        <v>5</v>
      </c>
      <c r="L39" s="45" t="s">
        <v>268</v>
      </c>
      <c r="M39" s="44">
        <v>6</v>
      </c>
      <c r="N39" s="45" t="s">
        <v>269</v>
      </c>
      <c r="O39" s="44">
        <v>7</v>
      </c>
      <c r="P39" s="45" t="s">
        <v>270</v>
      </c>
      <c r="Q39" s="44">
        <v>8</v>
      </c>
      <c r="R39" s="45" t="s">
        <v>271</v>
      </c>
      <c r="S39" s="44">
        <v>9</v>
      </c>
      <c r="T39" s="45" t="s">
        <v>272</v>
      </c>
      <c r="U39" s="44">
        <v>10</v>
      </c>
      <c r="V39" s="45" t="s">
        <v>273</v>
      </c>
      <c r="W39" s="44">
        <v>11</v>
      </c>
      <c r="X39" s="45" t="s">
        <v>274</v>
      </c>
      <c r="Y39" s="44">
        <v>12</v>
      </c>
      <c r="Z39" s="45" t="s">
        <v>275</v>
      </c>
      <c r="AA39" s="44">
        <v>13</v>
      </c>
      <c r="AB39" s="45" t="s">
        <v>276</v>
      </c>
      <c r="AC39" s="44">
        <v>14</v>
      </c>
      <c r="AD39" s="45" t="s">
        <v>277</v>
      </c>
      <c r="AE39" s="44">
        <v>15</v>
      </c>
      <c r="AF39" s="45" t="s">
        <v>278</v>
      </c>
      <c r="AG39" s="44">
        <v>16</v>
      </c>
      <c r="AH39" s="45" t="s">
        <v>279</v>
      </c>
      <c r="AI39" s="44">
        <v>17</v>
      </c>
      <c r="AJ39" s="45" t="s">
        <v>280</v>
      </c>
      <c r="AK39" s="44">
        <v>18</v>
      </c>
      <c r="AL39" s="45" t="s">
        <v>281</v>
      </c>
      <c r="AM39" s="44">
        <v>19</v>
      </c>
      <c r="AN39" s="45" t="s">
        <v>282</v>
      </c>
      <c r="AO39" s="46" t="s">
        <v>283</v>
      </c>
      <c r="AP39" s="47" t="s">
        <v>284</v>
      </c>
      <c r="AQ39" s="48" t="s">
        <v>285</v>
      </c>
      <c r="AR39" s="48" t="str">
        <f>IF(AX39="","",IF(AX39&gt;=90,"ninety "&amp;IF((AX39-ROUNDDOWN(AX39,-1))=C39,D39,"")&amp;IF((AX39-ROUNDDOWN(AX39,-1))=E39,F39,"")&amp;IF((AX39-ROUNDDOWN(AX39,-1))=G39,H39,"")&amp;IF((AX39-ROUNDDOWN(AX39,-1))=I39,J39,"")&amp;IF((AX39-ROUNDDOWN(AX39,-1))=K39,L39,"")&amp;IF((AX39-ROUNDDOWN(AX39,-1))=M39,N39,"")&amp;IF((AX39-ROUNDDOWN(AX39,-1))=O39,P39,"")&amp;IF((AX39-ROUNDDOWN(AX39,-1))=Q39,R39,"")&amp;IF((AX39-ROUNDDOWN(AX39,-1))=S39,T39,""),IF(AX39&gt;=80,"eighty "&amp;IF((AX39-ROUNDDOWN(AX39,-1))=1,D39,"")&amp;IF((AX39-ROUNDDOWN(AX39,-1))=2,F39,"")&amp;IF((AX39-ROUNDDOWN(AX39,-1))=G39,H39,"")&amp;IF((AX39-ROUNDDOWN(AX39,-1))=I39,J39,"")&amp;IF((AX39-ROUNDDOWN(AX39,-1))=K39,L39,"")&amp;IF((AX39-ROUNDDOWN(AX39,-1))=M39,N39,"")&amp;IF((AX39-ROUNDDOWN(AX39,-1))=O39,P39,"")&amp;IF((AX39-ROUNDDOWN(AX39,-1))=Q39,R39,"")&amp;IF((AX39-ROUNDDOWN(AX39,-1))=S39,T39,""),"")))</f>
        <v/>
      </c>
      <c r="AS39" s="48" t="str">
        <f>IF(AX39="","",IF(AX39&gt;79,"",IF(AX39&gt;=70,"seventy "&amp;IF((AX39-ROUNDDOWN(AX39,-1))=C39,D39,"")&amp;IF((AX39-ROUNDDOWN(AX39,-1))=E39,F39,"")&amp;IF((AX39-ROUNDDOWN(AX39,-1))=G39,H39,"")&amp;IF((AX39-ROUNDDOWN(AX39,-1))=I39,J39,"")&amp;IF((AX39-ROUNDDOWN(AX39,-1))=K39,L39,"")&amp;IF((AX39-ROUNDDOWN(AX39,-1))=M39,N39,"")&amp;IF((AX39-ROUNDDOWN(AX39,-1))=O39,P39,"")&amp;IF((AX39-ROUNDDOWN(AX39,-1))=Q39,R39,"")&amp;IF((AX39-ROUNDDOWN(AX39,-1))=S39,T39,""),IF(AX39&gt;=60,"sixty "&amp;IF((AX39-ROUNDDOWN(AX39,-1))=1,D39,"")&amp;IF((AX39-ROUNDDOWN(AX39,-1))=2,F39,"")&amp;IF((AX39-ROUNDDOWN(AX39,-1))=G39,H39,"")&amp;IF((AX39-ROUNDDOWN(AX39,-1))=I39,J39,"")&amp;IF((AX39-ROUNDDOWN(AX39,-1))=K39,L39,"")&amp;IF((AX39-ROUNDDOWN(AX39,-1))=M39,N39,"")&amp;IF((AX39-ROUNDDOWN(AX39,-1))=O39,P39,"")&amp;IF((AX39-ROUNDDOWN(AX39,-1))=Q39,R39,"")&amp;IF((AX39-ROUNDDOWN(AX39,-1))=S39,T39,""),""))))</f>
        <v/>
      </c>
      <c r="AT39" s="48" t="str">
        <f>IF(AX39="","",IF(AX39&gt;59,"",IF(AX39&gt;=50,"fifty "&amp;IF((AX39-ROUNDDOWN(AX39,-1))=C39,D39,"")&amp;IF((AX39-ROUNDDOWN(AX39,-1))=E39,F39,"")&amp;IF((AX39-ROUNDDOWN(AX39,-1))=G39,H39,"")&amp;IF((AX39-ROUNDDOWN(AX39,-1))=I39,J39,"")&amp;IF((AX39-ROUNDDOWN(AX39,-1))=K39,L39,"")&amp;IF((AX39-ROUNDDOWN(AX39,-1))=M39,N39,"")&amp;IF((AX39-ROUNDDOWN(AX39,-1))=O39,P39,"")&amp;IF((AX39-ROUNDDOWN(AX39,-1))=Q39,R39,"")&amp;IF((AX39-ROUNDDOWN(AX39,-1))=S39,T39,""),IF(AX39&gt;=40,"forty "&amp;IF((AX39-ROUNDDOWN(AX39,-1))=1,D39,"")&amp;IF((AX39-ROUNDDOWN(AX39,-1))=2,F39,"")&amp;IF((AX39-ROUNDDOWN(AX39,-1))=G39,H39,"")&amp;IF((AX39-ROUNDDOWN(AX39,-1))=I39,J39,"")&amp;IF((AX39-ROUNDDOWN(AX39,-1))=K39,L39,"")&amp;IF((AX39-ROUNDDOWN(AX39,-1))=M39,N39,"")&amp;IF((AX39-ROUNDDOWN(AX39,-1))=O39,P39,"")&amp;IF((AX39-ROUNDDOWN(AX39,-1))=Q39,R39,"")&amp;IF((AX39-ROUNDDOWN(AX39,-1))=S39,T39,""),""))))</f>
        <v/>
      </c>
      <c r="AU39" s="48" t="str">
        <f>IF(AX39="","",IF(AX39&gt;39,"",IF(AX39&gt;=30,"thirty "&amp;IF((AX39-ROUNDDOWN(AX39,-1))=C39,D39,"")&amp;IF((AX39-ROUNDDOWN(AX39,-1))=E39,F39,"")&amp;IF((AX39-ROUNDDOWN(AX39,-1))=G39,H39,"")&amp;IF((AX39-ROUNDDOWN(AX39,-1))=I39,J39,"")&amp;IF((AX39-ROUNDDOWN(AX39,-1))=K39,L39,"")&amp;IF((AX39-ROUNDDOWN(AX39,-1))=M39,N39,"")&amp;IF((AX39-ROUNDDOWN(AX39,-1))=O39,P39,"")&amp;IF((AX39-ROUNDDOWN(AX39,-1))=Q39,R39,"")&amp;IF((AX39-ROUNDDOWN(AX39,-1))=S39,T39,""),IF(AX39&gt;=20,"twenty "&amp;IF((AX39-ROUNDDOWN(AX39,-1))=1,D39,"")&amp;IF((AX39-ROUNDDOWN(AX39,-1))=2,F39,"")&amp;IF((AX39-ROUNDDOWN(AX39,-1))=G39,H39,"")&amp;IF((AX39-ROUNDDOWN(AX39,-1))=I39,J39,"")&amp;IF((AX39-ROUNDDOWN(AX39,-1))=K39,L39,"")&amp;IF((AX39-ROUNDDOWN(AX39,-1))=M39,N39,"")&amp;IF((AX39-ROUNDDOWN(AX39,-1))=O39,P39,"")&amp;IF((AX39-ROUNDDOWN(AX39,-1))=Q39,R39,"")&amp;IF((AX39-ROUNDDOWN(AX39,-1))=S39,T39,""),""))))</f>
        <v/>
      </c>
      <c r="AV39" s="48" t="str">
        <f>IF(AX39="","",IF(AX39=C39,D39,"")&amp;IF(AX39=E39,F39,"")&amp;IF(AX39=G39,H39,"")&amp;IF(AX39=I39,J39,"")&amp;IF(AX39=K39,L39,"")&amp;IF(AX39=M39,N39,"")&amp;IF(AX39=O39,P39,"")&amp;IF(AX39=Q39,R39,"")&amp;IF(AX39=S39,T39,"")&amp;IF(AX39=U39,V39,"")&amp;IF(AX39=W39,X39,"")&amp;IF(AX39=Y39,Z39,"")&amp;IF(AX39=AA39,AB39,"")&amp;IF(AX39=AC39,AD39,"")&amp;IF(AX39=AE39,AF39,"")&amp;IF(AX39=AG39,AH39,"")&amp;IF(AX39=AI39,AJ39,"")&amp;IF(AX39=AK39,AL39,"")&amp;IF(AX39=AM39,AN39,""))</f>
        <v/>
      </c>
      <c r="AW39" s="49"/>
      <c r="AX39" s="48" t="str">
        <f>IF(A39&gt;=10000000,ROUNDDOWN(A39,-7)/10000000,"")</f>
        <v/>
      </c>
      <c r="AY39" s="48" t="str">
        <f>IF(AR39="","",AR39)&amp;IF(AS39="","",AS39)&amp;IF(AT39="","",AT39)&amp;IF(AU39="","",AU39)&amp;IF(AV39="","",AV39)</f>
        <v/>
      </c>
      <c r="AZ39" s="48" t="s">
        <v>286</v>
      </c>
      <c r="BA39" s="48" t="str">
        <f>IF(BG39="","",IF(BG39&gt;=90,"ninety "&amp;IF((BG39-ROUNDDOWN(BG39,-1))=C39,D39,"")&amp;IF((BG39-ROUNDDOWN(BG39,-1))=E39,F39,"")&amp;IF((BG39-ROUNDDOWN(BG39,-1))=G39,H39,"")&amp;IF((BG39-ROUNDDOWN(BG39,-1))=I39,J39,"")&amp;IF((BG39-ROUNDDOWN(BG39,-1))=K39,L39,"")&amp;IF((BG39-ROUNDDOWN(BG39,-1))=M39,N39,"")&amp;IF((BG39-ROUNDDOWN(BG39,-1))=O39,P39,"")&amp;IF((BG39-ROUNDDOWN(BG39,-1))=Q39,R39,"")&amp;IF((BG39-ROUNDDOWN(BG39,-1))=S39,T39,""),IF(BG39&gt;=80,"eighty "&amp;IF((BG39-ROUNDDOWN(BG39,-1))=1,D39,"")&amp;IF((BG39-ROUNDDOWN(BG39,-1))=2,F39,"")&amp;IF((BG39-ROUNDDOWN(BG39,-1))=G39,H39,"")&amp;IF((BG39-ROUNDDOWN(BG39,-1))=I39,J39,"")&amp;IF((BG39-ROUNDDOWN(BG39,-1))=K39,L39,"")&amp;IF((BG39-ROUNDDOWN(BG39,-1))=M39,N39,"")&amp;IF((BG39-ROUNDDOWN(BG39,-1))=O39,P39,"")&amp;IF((BG39-ROUNDDOWN(BG39,-1))=Q39,R39,"")&amp;IF((BG39-ROUNDDOWN(BG39,-1))=S39,T39,""),"")))</f>
        <v/>
      </c>
      <c r="BB39" s="48" t="str">
        <f>IF(BG39="","",IF(BG39&gt;79,"",IF(BG39&gt;=70,"seventy "&amp;IF((BG39-ROUNDDOWN(BG39,-1))=C39,D39,"")&amp;IF((BG39-ROUNDDOWN(BG39,-1))=E39,F39,"")&amp;IF((BG39-ROUNDDOWN(BG39,-1))=G39,H39,"")&amp;IF((BG39-ROUNDDOWN(BG39,-1))=I39,J39,"")&amp;IF((BG39-ROUNDDOWN(BG39,-1))=K39,L39,"")&amp;IF((BG39-ROUNDDOWN(BG39,-1))=M39,N39,"")&amp;IF((BG39-ROUNDDOWN(BG39,-1))=O39,P39,"")&amp;IF((BG39-ROUNDDOWN(BG39,-1))=Q39,R39,"")&amp;IF((BG39-ROUNDDOWN(BG39,-1))=S39,T39,""),IF(BG39&gt;=60,"sixty "&amp;IF((BG39-ROUNDDOWN(BG39,-1))=1,D39,"")&amp;IF((BG39-ROUNDDOWN(BG39,-1))=2,F39,"")&amp;IF((BG39-ROUNDDOWN(BG39,-1))=G39,H39,"")&amp;IF((BG39-ROUNDDOWN(BG39,-1))=I39,J39,"")&amp;IF((BG39-ROUNDDOWN(BG39,-1))=K39,L39,"")&amp;IF((BG39-ROUNDDOWN(BG39,-1))=M39,N39,"")&amp;IF((BG39-ROUNDDOWN(BG39,-1))=O39,P39,"")&amp;IF((BG39-ROUNDDOWN(BG39,-1))=Q39,R39,"")&amp;IF((BG39-ROUNDDOWN(BG39,-1))=S39,T39,""),""))))</f>
        <v/>
      </c>
      <c r="BC39" s="48" t="str">
        <f>IF(BG39="","",IF(BG39&gt;59,"",IF(BG39&gt;=50,"fifty "&amp;IF((BG39-ROUNDDOWN(BG39,-1))=C39,D39,"")&amp;IF((BG39-ROUNDDOWN(BG39,-1))=E39,F39,"")&amp;IF((BG39-ROUNDDOWN(BG39,-1))=G39,H39,"")&amp;IF((BG39-ROUNDDOWN(BG39,-1))=I39,J39,"")&amp;IF((BG39-ROUNDDOWN(BG39,-1))=K39,L39,"")&amp;IF((BG39-ROUNDDOWN(BG39,-1))=M39,N39,"")&amp;IF((BG39-ROUNDDOWN(BG39,-1))=O39,P39,"")&amp;IF((BG39-ROUNDDOWN(BG39,-1))=Q39,R39,"")&amp;IF((BG39-ROUNDDOWN(BG39,-1))=S39,T39,""),IF(BG39&gt;=40,"forty "&amp;IF((BG39-ROUNDDOWN(BG39,-1))=1,D39,"")&amp;IF((BG39-ROUNDDOWN(BG39,-1))=2,F39,"")&amp;IF((BG39-ROUNDDOWN(BG39,-1))=G39,H39,"")&amp;IF((BG39-ROUNDDOWN(BG39,-1))=I39,J39,"")&amp;IF((BG39-ROUNDDOWN(BG39,-1))=K39,L39,"")&amp;IF((BG39-ROUNDDOWN(BG39,-1))=M39,N39,"")&amp;IF((BG39-ROUNDDOWN(BG39,-1))=O39,P39,"")&amp;IF((BG39-ROUNDDOWN(BG39,-1))=Q39,R39,"")&amp;IF((BG39-ROUNDDOWN(BG39,-1))=S39,T39,""),""))))</f>
        <v/>
      </c>
      <c r="BD39" s="48" t="str">
        <f>IF(BG39="","",IF(BG39&gt;39,"",IF(BG39&gt;=30,"thirty "&amp;IF((BG39-ROUNDDOWN(BG39,-1))=C39,D39,"")&amp;IF((BG39-ROUNDDOWN(BG39,-1))=E39,F39,"")&amp;IF((BG39-ROUNDDOWN(BG39,-1))=G39,H39,"")&amp;IF((BG39-ROUNDDOWN(BG39,-1))=I39,J39,"")&amp;IF((BG39-ROUNDDOWN(BG39,-1))=K39,L39,"")&amp;IF((BG39-ROUNDDOWN(BG39,-1))=M39,N39,"")&amp;IF((BG39-ROUNDDOWN(BG39,-1))=O39,P39,"")&amp;IF((BG39-ROUNDDOWN(BG39,-1))=Q39,R39,"")&amp;IF((BG39-ROUNDDOWN(BG39,-1))=S39,T39,""),IF(BG39&gt;=20,"twenty "&amp;IF((BG39-ROUNDDOWN(BG39,-1))=1,D39,"")&amp;IF((BG39-ROUNDDOWN(BG39,-1))=2,F39,"")&amp;IF((BG39-ROUNDDOWN(BG39,-1))=G39,H39,"")&amp;IF((BG39-ROUNDDOWN(BG39,-1))=I39,J39,"")&amp;IF((BG39-ROUNDDOWN(BG39,-1))=K39,L39,"")&amp;IF((BG39-ROUNDDOWN(BG39,-1))=M39,N39,"")&amp;IF((BG39-ROUNDDOWN(BG39,-1))=O39,P39,"")&amp;IF((BG39-ROUNDDOWN(BG39,-1))=Q39,R39,"")&amp;IF((BG39-ROUNDDOWN(BG39,-1))=S39,T39,""),""))))</f>
        <v/>
      </c>
      <c r="BE39" s="48" t="str">
        <f>IF(BG39="","",IF(BG39=C39,D39,"")&amp;IF(BG39=E39,F39,"")&amp;IF(BG39=G39,H39,"")&amp;IF(BG39=I39,J39,"")&amp;IF(BG39=K39,L39,"")&amp;IF(BG39=M39,N39,"")&amp;IF(BG39=O39,P39,"")&amp;IF(BG39=Q39,R39,"")&amp;IF(BG39=S39,T39,"")&amp;IF(BG39=U39,V39,"")&amp;IF(BG39=W39,X39,"")&amp;IF(BG39=Y39,Z39,"")&amp;IF(BG39=AA39,AB39,"")&amp;IF(BG39=AC39,AD39,"")&amp;IF(BG39=AE39,AF39,"")&amp;IF(BG39=AG39,AH39,"")&amp;IF(BG39=AI39,AJ39,"")&amp;IF(BG39=AK39,AL39,"")&amp;IF(BG39=AM39,AN39,""))</f>
        <v>one</v>
      </c>
      <c r="BF39" s="48"/>
      <c r="BG39" s="48">
        <f>IF(A39&gt;=100000,ROUNDDOWN((ROUND(A39,-4)-ROUNDDOWN(A39,-7))/100000,0),"")</f>
        <v>1</v>
      </c>
      <c r="BH39" s="48" t="str">
        <f>IF(BA39="","",BA39)&amp;IF(BB39="","",BB39)&amp;IF(BC39="","",BC39)&amp;IF(BD39="","",BD39)&amp;IF(BE39="","",BE39)</f>
        <v>one</v>
      </c>
      <c r="BI39" s="48" t="s">
        <v>287</v>
      </c>
      <c r="BJ39" s="48" t="str">
        <f>IF(BP39="","",IF(BP39&gt;=90,"ninety "&amp;IF((BP39-ROUNDDOWN(BP39,-1))=1,D39,"")&amp;IF((BP39-ROUNDDOWN(BP39,-1))=2,F39,"")&amp;IF((BP39-ROUNDDOWN(BP39,-1))=G39,H39,"")&amp;IF((BP39-ROUNDDOWN(BP39,-1))=I39,J39,"")&amp;IF((BP39-ROUNDDOWN(BP39,-1))=K39,L39,"")&amp;IF((BP39-ROUNDDOWN(BP39,-1))=M39,N39,"")&amp;IF((BP39-ROUNDDOWN(BP39,-1))=O39,P39,"")&amp;IF((BP39-ROUNDDOWN(BP39,-1))=Q39,R39,"")&amp;IF((BP39-ROUNDDOWN(BP39,-1))=S39,T39,""),IF(BP39&gt;=80,"eighty "&amp;IF((BP39-ROUNDDOWN(BP39,-1))=1,D39,"")&amp;IF((BP39-ROUNDDOWN(BP39,-1))=2,F39,"")&amp;IF((BP39-ROUNDDOWN(BP39,-1))=G39,H39,"")&amp;IF((BP39-ROUNDDOWN(BP39,-1))=I39,J39,"")&amp;IF((BP39-ROUNDDOWN(BP39,-1))=K39,L39,"")&amp;IF((BP39-ROUNDDOWN(BP39,-1))=M39,N39,"")&amp;IF((BP39-ROUNDDOWN(BP39,-1))=O39,P39,"")&amp;IF((BP39-ROUNDDOWN(BP39,-1))=Q39,R39,"")&amp;IF((BP39-ROUNDDOWN(BP39,-1))=S39,T39,""),"")))</f>
        <v/>
      </c>
      <c r="BK39" s="48" t="str">
        <f>IF(BP39="","",IF(BP39&gt;79,"",IF(BP39&gt;=70,"seventy "&amp;IF((BP39-ROUNDDOWN(BP39,-1))=1,D39,"")&amp;IF((BP39-ROUNDDOWN(BP39,-1))=2,F39,"")&amp;IF((BP39-ROUNDDOWN(BP39,-1))=G39,H39,"")&amp;IF((BP39-ROUNDDOWN(BP39,-1))=I39,J39,"")&amp;IF((BP39-ROUNDDOWN(BP39,-1))=K39,L39,"")&amp;IF((BP39-ROUNDDOWN(BP39,-1))=M39,N39,"")&amp;IF((BP39-ROUNDDOWN(BP39,-1))=O39,P39,"")&amp;IF((BP39-ROUNDDOWN(BP39,-1))=Q39,R39,"")&amp;IF((BP39-ROUNDDOWN(BP39,-1))=S39,T39,""),IF(BP39&gt;=60,"sixty "&amp;IF((BP39-ROUNDDOWN(BP39,-1))=1,D39,"")&amp;IF((BP39-ROUNDDOWN(BP39,-1))=2,F39,"")&amp;IF((BP39-ROUNDDOWN(BP39,-1))=G39,H39,"")&amp;IF((BP39-ROUNDDOWN(BP39,-1))=I39,J39,"")&amp;IF((BP39-ROUNDDOWN(BP39,-1))=K39,L39,"")&amp;IF((BP39-ROUNDDOWN(BP39,-1))=M39,N39,"")&amp;IF((BP39-ROUNDDOWN(BP39,-1))=O39,P39,"")&amp;IF((BP39-ROUNDDOWN(BP39,-1))=Q39,R39,"")&amp;IF((BP39-ROUNDDOWN(BP39,-1))=S39,T39,""),""))))</f>
        <v/>
      </c>
      <c r="BL39" s="48" t="str">
        <f>IF(BP39="","",IF(BP39&gt;59,"",IF(BP39&gt;=50,"fifty "&amp;IF((BP39-ROUNDDOWN(BP39,-1))=1,D39,"")&amp;IF((BP39-ROUNDDOWN(BP39,-1))=2,F39,"")&amp;IF((BP39-ROUNDDOWN(BP39,-1))=G39,H39,"")&amp;IF((BP39-ROUNDDOWN(BP39,-1))=I39,J39,"")&amp;IF((BP39-ROUNDDOWN(BP39,-1))=K39,L39,"")&amp;IF((BP39-ROUNDDOWN(BP39,-1))=M39,N39,"")&amp;IF((BP39-ROUNDDOWN(BP39,-1))=O39,P39,"")&amp;IF((BP39-ROUNDDOWN(BP39,-1))=Q39,R39,"")&amp;IF((BP39-ROUNDDOWN(BP39,-1))=S39,T39,""),IF(BP39&gt;=40,"forty "&amp;IF((BP39-ROUNDDOWN(BP39,-1))=1,D39,"")&amp;IF((BP39-ROUNDDOWN(BP39,-1))=2,F39,"")&amp;IF((BP39-ROUNDDOWN(BP39,-1))=G39,H39,"")&amp;IF((BP39-ROUNDDOWN(BP39,-1))=I39,J39,"")&amp;IF((BP39-ROUNDDOWN(BP39,-1))=K39,L39,"")&amp;IF((BP39-ROUNDDOWN(BP39,-1))=M39,N39,"")&amp;IF((BP39-ROUNDDOWN(BP39,-1))=O39,P39,"")&amp;IF((BP39-ROUNDDOWN(BP39,-1))=Q39,R39,"")&amp;IF((BP39-ROUNDDOWN(BP39,-1))=S39,T39,""),""))))</f>
        <v/>
      </c>
      <c r="BM39" s="48" t="str">
        <f>IF(BP39="","",IF(BP39&gt;39,"",IF(BP39&gt;=30,"thirty "&amp;IF((BP39-ROUNDDOWN(BP39,-1))=1,D39,"")&amp;IF((BP39-ROUNDDOWN(BP39,-1))=2,F39,"")&amp;IF((BP39-ROUNDDOWN(BP39,-1))=G39,H39,"")&amp;IF((BP39-ROUNDDOWN(BP39,-1))=I39,J39,"")&amp;IF((BP39-ROUNDDOWN(BP39,-1))=K39,L39,"")&amp;IF((BP39-ROUNDDOWN(BP39,-1))=M39,N39,"")&amp;IF((BP39-ROUNDDOWN(BP39,-1))=O39,P39,"")&amp;IF((BP39-ROUNDDOWN(BP39,-1))=Q39,R39,"")&amp;IF((BP39-ROUNDDOWN(BP39,-1))=S39,T39,""),IF(BP39&gt;=20,"twenty "&amp;IF((BP39-ROUNDDOWN(BP39,-1))=1,D39,"")&amp;IF((BP39-ROUNDDOWN(BP39,-1))=2,F39,"")&amp;IF((BP39-ROUNDDOWN(BP39,-1))=G39,H39,"")&amp;IF((BP39-ROUNDDOWN(BP39,-1))=I39,J39,"")&amp;IF((BP39-ROUNDDOWN(BP39,-1))=K39,L39,"")&amp;IF((BP39-ROUNDDOWN(BP39,-1))=M39,N39,"")&amp;IF((BP39-ROUNDDOWN(BP39,-1))=O39,P39,"")&amp;IF((BP39-ROUNDDOWN(BP39,-1))=Q39,R39,"")&amp;IF((BP39-ROUNDDOWN(BP39,-1))=S39,T39,""),""))))</f>
        <v>twenty six</v>
      </c>
      <c r="BN39" s="48" t="str">
        <f>IF(BP39="","",IF(BP39=C39,D39,"")&amp;IF(BP39=E39,F39,"")&amp;IF(BP39=G39,H39,"")&amp;IF(BP39=I39,J39,"")&amp;IF(BP39=K39,L39,"")&amp;IF(BP39=M39,N39,"")&amp;IF(BP39=O39,P39,"")&amp;IF(BP39=Q39,R39,"")&amp;IF(BP39=S39,T39,"")&amp;IF(BP39=U39,V39,"")&amp;IF(BP39=W39,X39,"")&amp;IF(BP39=Y39,Z39,"")&amp;IF(BP39=AA39,AB39,"")&amp;IF(BP39=AC39,AD39,"")&amp;IF(BP39=AE39,AF39,"")&amp;IF(BP39=AG39,AH39,"")&amp;IF(BP39=AI39,AJ39,"")&amp;IF(BP39=AK39,AL39,"")&amp;IF(BP39=AM39,AN39,""))</f>
        <v/>
      </c>
      <c r="BO39" s="48"/>
      <c r="BP39" s="48">
        <f>IF(A39&gt;=1000,ROUNDDOWN((A39-ROUNDDOWN(A39,-5))/1000,0),"")</f>
        <v>26</v>
      </c>
      <c r="BQ39" s="48" t="str">
        <f>IF(BJ39="","",BJ39)&amp;IF(BK39="","",BK39)&amp;IF(BL39="","",BL39)&amp;IF(BM39="","",BM39)&amp;IF(BN39="","",BN39)</f>
        <v>twenty six</v>
      </c>
      <c r="BR39" s="48" t="s">
        <v>288</v>
      </c>
      <c r="BS39" s="48" t="str">
        <f>IF(BY39="","",IF(BY39&gt;=90,"ninety "&amp;IF((BY39-ROUNDDOWN(BY39,-1))=1,D39,"")&amp;IF((BY39-ROUNDDOWN(BY39,-1))=2,F39,"")&amp;IF((BY39-ROUNDDOWN(BY39,-1))=G39,H39,"")&amp;IF((BY39-ROUNDDOWN(BY39,-1))=I39,J39,"")&amp;IF((BY39-ROUNDDOWN(BY39,-1))=K39,L39,"")&amp;IF((BY39-ROUNDDOWN(BY39,-1))=M39,N39,"")&amp;IF((BY39-ROUNDDOWN(BY39,-1))=O39,P39,"")&amp;IF((BY39-ROUNDDOWN(BY39,-1))=Q39,R39,"")&amp;IF((BY39-ROUNDDOWN(BY39,-1))=S39,T39,""),IF(BY39&gt;=80,"eighty "&amp;IF((BY39-ROUNDDOWN(BY39,-1))=1,D39,"")&amp;IF((BY39-ROUNDDOWN(BY39,-1))=2,F39,"")&amp;IF((BY39-ROUNDDOWN(BY39,-1))=G39,H39,"")&amp;IF((BY39-ROUNDDOWN(BY39,-1))=I39,J39,"")&amp;IF((BY39-ROUNDDOWN(BY39,-1))=K39,L39,"")&amp;IF((BY39-ROUNDDOWN(BY39,-1))=M39,N39,"")&amp;IF((BY39-ROUNDDOWN(BY39,-1))=O39,P39,"")&amp;IF((BY39-ROUNDDOWN(BY39,-1))=Q39,R39,"")&amp;IF((BY39-ROUNDDOWN(BY39,-1))=S39,T39,""),"")))</f>
        <v/>
      </c>
      <c r="BT39" s="48" t="str">
        <f>IF(BY39="","",IF(BY39&gt;79,"",IF(BY39&gt;=70,"seventy "&amp;IF((BY39-ROUNDDOWN(BY39,-1))=1,D39,"")&amp;IF((BY39-ROUNDDOWN(BY39,-1))=2,F39,"")&amp;IF((BY39-ROUNDDOWN(BY39,-1))=G39,H39,"")&amp;IF((BY39-ROUNDDOWN(BY39,-1))=I39,J39,"")&amp;IF((BY39-ROUNDDOWN(BY39,-1))=K39,L39,"")&amp;IF((BY39-ROUNDDOWN(BY39,-1))=M39,N39,"")&amp;IF((BY39-ROUNDDOWN(BY39,-1))=O39,P39,"")&amp;IF((BY39-ROUNDDOWN(BY39,-1))=Q39,R39,"")&amp;IF((BY39-ROUNDDOWN(BY39,-1))=S39,T39,""),IF(BY39&gt;=60,"sixty "&amp;IF((BY39-ROUNDDOWN(BY39,-1))=1,D39,"")&amp;IF((BY39-ROUNDDOWN(BY39,-1))=2,F39,"")&amp;IF((BY39-ROUNDDOWN(BY39,-1))=G39,H39,"")&amp;IF((BY39-ROUNDDOWN(BY39,-1))=I39,J39,"")&amp;IF((BY39-ROUNDDOWN(BY39,-1))=K39,L39,"")&amp;IF((BY39-ROUNDDOWN(BY39,-1))=M39,N39,"")&amp;IF((BY39-ROUNDDOWN(BY39,-1))=O39,P39,"")&amp;IF((BY39-ROUNDDOWN(BY39,-1))=Q39,R39,"")&amp;IF((BY39-ROUNDDOWN(BY39,-1))=S39,T39,""),""))))</f>
        <v/>
      </c>
      <c r="BU39" s="48" t="str">
        <f>IF(BY39="","",IF(BY39&gt;59,"",IF(BY39&gt;=50,"fifty "&amp;IF((BY39-ROUNDDOWN(BY39,-1))=1,D39,"")&amp;IF((BY39-ROUNDDOWN(BY39,-1))=2,F39,"")&amp;IF((BY39-ROUNDDOWN(BY39,-1))=G39,H39,"")&amp;IF((BY39-ROUNDDOWN(BY39,-1))=I39,J39,"")&amp;IF((BY39-ROUNDDOWN(BY39,-1))=K39,L39,"")&amp;IF((BY39-ROUNDDOWN(BY39,-1))=M39,N39,"")&amp;IF((BY39-ROUNDDOWN(BY39,-1))=O39,P39,"")&amp;IF((BY39-ROUNDDOWN(BY39,-1))=Q39,R39,"")&amp;IF((BY39-ROUNDDOWN(BY39,-1))=S39,T39,""),IF(BY39&gt;=40,"forty "&amp;IF((BY39-ROUNDDOWN(BY39,-1))=1,D39,"")&amp;IF((BY39-ROUNDDOWN(BY39,-1))=2,F39,"")&amp;IF((BY39-ROUNDDOWN(BY39,-1))=G39,H39,"")&amp;IF((BY39-ROUNDDOWN(BY39,-1))=I39,J39,"")&amp;IF((BY39-ROUNDDOWN(BY39,-1))=K39,L39,"")&amp;IF((BY39-ROUNDDOWN(BY39,-1))=M39,N39,"")&amp;IF((BY39-ROUNDDOWN(BY39,-1))=O39,P39,"")&amp;IF((BY39-ROUNDDOWN(BY39,-1))=Q39,R39,"")&amp;IF((BY39-ROUNDDOWN(BY39,-1))=S39,T39,""),""))))</f>
        <v/>
      </c>
      <c r="BV39" s="48" t="str">
        <f>IF(BY39="","",IF(BY39&gt;39,"",IF(BY39&gt;=30,"thirty "&amp;IF((BY39-ROUNDDOWN(BY39,-1))=1,D39,"")&amp;IF((BY39-ROUNDDOWN(BY39,-1))=2,F39,"")&amp;IF((BY39-ROUNDDOWN(BY39,-1))=G39,H39,"")&amp;IF((BY39-ROUNDDOWN(BY39,-1))=I39,J39,"")&amp;IF((BY39-ROUNDDOWN(BY39,-1))=K39,L39,"")&amp;IF((BY39-ROUNDDOWN(BY39,-1))=M39,N39,"")&amp;IF((BY39-ROUNDDOWN(BY39,-1))=O39,P39,"")&amp;IF((BY39-ROUNDDOWN(BY39,-1))=Q39,R39,"")&amp;IF((BY39-ROUNDDOWN(BY39,-1))=S39,T39,""),IF(BY39&gt;=20,"twenty "&amp;IF((BY39-ROUNDDOWN(BY39,-1))=1,D39,"")&amp;IF((BY39-ROUNDDOWN(BY39,-1))=2,F39,"")&amp;IF((BY39-ROUNDDOWN(BY39,-1))=G39,H39,"")&amp;IF((BY39-ROUNDDOWN(BY39,-1))=I39,J39,"")&amp;IF((BY39-ROUNDDOWN(BY39,-1))=K39,L39,"")&amp;IF((BY39-ROUNDDOWN(BY39,-1))=M39,N39,"")&amp;IF((BY39-ROUNDDOWN(BY39,-1))=O39,P39,"")&amp;IF((BY39-ROUNDDOWN(BY39,-1))=Q39,R39,"")&amp;IF((BY39-ROUNDDOWN(BY39,-1))=S39,T39,""),""))))</f>
        <v/>
      </c>
      <c r="BW39" s="48" t="str">
        <f>IF(BY39="","",IF(BY39=C39,D39,"")&amp;IF(BY39=E39,F39,"")&amp;IF(BY39=G39,H39,"")&amp;IF(BY39=I39,J39,"")&amp;IF(BY39=K39,L39,"")&amp;IF(BY39=M39,N39,"")&amp;IF(BY39=O39,P39,"")&amp;IF(BY39=Q39,R39,"")&amp;IF(BY39=S39,T39,"")&amp;IF(BY39=U39,V39,"")&amp;IF(BY39=W39,X39,"")&amp;IF(BY39=Y39,Z39,"")&amp;IF(BY39=AA39,AB39,"")&amp;IF(BY39=AC39,AD39,"")&amp;IF(BY39=AE39,AF39,"")&amp;IF(BY39=AG39,AH39,"")&amp;IF(BY39=AI39,AJ39,"")&amp;IF(BY39=AK39,AL39,"")&amp;IF(BY39=AM39,AN39,""))</f>
        <v>two</v>
      </c>
      <c r="BX39" s="49"/>
      <c r="BY39" s="48">
        <f>IF(A39&gt;=100,ROUNDDOWN((A39-ROUNDDOWN(A39,-3))/100,0),"")</f>
        <v>2</v>
      </c>
      <c r="BZ39" s="48" t="str">
        <f>IF(BS39="","",BS39)&amp;IF(BT39="","",BT39)&amp;IF(BU39="","",BU39)&amp;IF(BV39="","",BV39)&amp;IF(BW39="","",BW39)</f>
        <v>two</v>
      </c>
      <c r="CA39" s="48" t="s">
        <v>289</v>
      </c>
      <c r="CB39" s="48" t="str">
        <f>IF(CH39="","",IF(CH39&gt;=90,"ninety "&amp;IF((CH39-ROUNDDOWN(CH39,-1))=1,D39,"")&amp;IF((CH39-ROUNDDOWN(CH39,-1))=2,F39,"")&amp;IF((CH39-ROUNDDOWN(CH39,-1))=G39,H39,"")&amp;IF((CH39-ROUNDDOWN(CH39,-1))=I39,J39,"")&amp;IF((CH39-ROUNDDOWN(CH39,-1))=K39,L39,"")&amp;IF((CH39-ROUNDDOWN(CH39,-1))=M39,N39,"")&amp;IF((CH39-ROUNDDOWN(CH39,-1))=O39,P39,"")&amp;IF((CH39-ROUNDDOWN(CH39,-1))=Q39,R39,"")&amp;IF((CH39-ROUNDDOWN(CH39,-1))=S39,T39,""),IF(CH39&gt;=80,"eighty "&amp;IF((CH39-ROUNDDOWN(CH39,-1))=1,D39,"")&amp;IF((CH39-ROUNDDOWN(CH39,-1))=2,F39,"")&amp;IF((CH39-ROUNDDOWN(CH39,-1))=G39,H39,"")&amp;IF((CH39-ROUNDDOWN(CH39,-1))=I39,J39,"")&amp;IF((CH39-ROUNDDOWN(CH39,-1))=K39,L39,"")&amp;IF((CH39-ROUNDDOWN(CH39,-1))=M39,N39,"")&amp;IF((CH39-ROUNDDOWN(CH39,-1))=O39,P39,"")&amp;IF((CH39-ROUNDDOWN(CH39,-1))=Q39,R39,"")&amp;IF((CH39-ROUNDDOWN(CH39,-1))=S39,T39,""),"")))</f>
        <v/>
      </c>
      <c r="CC39" s="48" t="str">
        <f>IF(CH39="","",IF(CH39&gt;79,"",IF(CH39&gt;=70,"seventy "&amp;IF((CH39-ROUNDDOWN(CH39,-1))=1,D39,"")&amp;IF((CH39-ROUNDDOWN(CH39,-1))=2,F39,"")&amp;IF((CH39-ROUNDDOWN(CH39,-1))=G39,H39,"")&amp;IF((CH39-ROUNDDOWN(CH39,-1))=I39,J39,"")&amp;IF((CH39-ROUNDDOWN(CH39,-1))=K39,L39,"")&amp;IF((CH39-ROUNDDOWN(CH39,-1))=M39,N39,"")&amp;IF((CH39-ROUNDDOWN(CH39,-1))=O39,P39,"")&amp;IF((CH39-ROUNDDOWN(CH39,-1))=Q39,R39,"")&amp;IF((CH39-ROUNDDOWN(CH39,-1))=S39,T39,""),IF(CH39&gt;=60,"sixty "&amp;IF((CH39-ROUNDDOWN(CH39,-1))=1,D39,"")&amp;IF((CH39-ROUNDDOWN(CH39,-1))=2,F39,"")&amp;IF((CH39-ROUNDDOWN(CH39,-1))=G39,H39,"")&amp;IF((CH39-ROUNDDOWN(CH39,-1))=I39,J39,"")&amp;IF((CH39-ROUNDDOWN(CH39,-1))=K39,L39,"")&amp;IF((CH39-ROUNDDOWN(CH39,-1))=M39,N39,"")&amp;IF((CH39-ROUNDDOWN(CH39,-1))=O39,P39,"")&amp;IF((CH39-ROUNDDOWN(CH39,-1))=Q39,R39,"")&amp;IF((CH39-ROUNDDOWN(CH39,-1))=S39,T39,""),""))))</f>
        <v/>
      </c>
      <c r="CD39" s="48" t="str">
        <f>IF(CH39="","",IF(CH39&gt;59,"",IF(CH39&gt;=50,"fifty "&amp;IF((CH39-ROUNDDOWN(CH39,-1))=1,D39,"")&amp;IF((CH39-ROUNDDOWN(CH39,-1))=2,F39,"")&amp;IF((CH39-ROUNDDOWN(CH39,-1))=G39,H39,"")&amp;IF((CH39-ROUNDDOWN(CH39,-1))=I39,J39,"")&amp;IF((CH39-ROUNDDOWN(CH39,-1))=K39,L39,"")&amp;IF((CH39-ROUNDDOWN(CH39,-1))=M39,N39,"")&amp;IF((CH39-ROUNDDOWN(CH39,-1))=O39,P39,"")&amp;IF((CH39-ROUNDDOWN(CH39,-1))=Q39,R39,"")&amp;IF((CH39-ROUNDDOWN(CH39,-1))=S39,T39,""),IF(CH39&gt;=40,"forty "&amp;IF((CH39-ROUNDDOWN(CH39,-1))=1,D39,"")&amp;IF((CH39-ROUNDDOWN(CH39,-1))=2,F39,"")&amp;IF((CH39-ROUNDDOWN(CH39,-1))=G39,H39,"")&amp;IF((CH39-ROUNDDOWN(CH39,-1))=I39,J39,"")&amp;IF((CH39-ROUNDDOWN(CH39,-1))=K39,L39,"")&amp;IF((CH39-ROUNDDOWN(CH39,-1))=M39,N39,"")&amp;IF((CH39-ROUNDDOWN(CH39,-1))=O39,P39,"")&amp;IF((CH39-ROUNDDOWN(CH39,-1))=Q39,R39,"")&amp;IF((CH39-ROUNDDOWN(CH39,-1))=S39,T39,""),""))))</f>
        <v/>
      </c>
      <c r="CE39" s="48" t="str">
        <f>IF(CH39="","",IF(CH39&gt;39,"",IF(CH39&gt;=30,"thirty "&amp;IF((CH39-ROUNDDOWN(CH39,-1))=1,D39,"")&amp;IF((CH39-ROUNDDOWN(CH39,-1))=2,F39,"")&amp;IF((CH39-ROUNDDOWN(CH39,-1))=G39,H39,"")&amp;IF((CH39-ROUNDDOWN(CH39,-1))=I39,J39,"")&amp;IF((CH39-ROUNDDOWN(CH39,-1))=K39,L39,"")&amp;IF((CH39-ROUNDDOWN(CH39,-1))=M39,N39,"")&amp;IF((CH39-ROUNDDOWN(CH39,-1))=O39,P39,"")&amp;IF((CH39-ROUNDDOWN(CH39,-1))=Q39,R39,"")&amp;IF((CH39-ROUNDDOWN(CH39,-1))=S39,T39,""),IF(CH39&gt;=20,"twenty "&amp;IF((CH39-ROUNDDOWN(CH39,-1))=1,D39,"")&amp;IF((CH39-ROUNDDOWN(CH39,-1))=2,F39,"")&amp;IF((CH39-ROUNDDOWN(CH39,-1))=G39,H39,"")&amp;IF((CH39-ROUNDDOWN(CH39,-1))=I39,J39,"")&amp;IF((CH39-ROUNDDOWN(CH39,-1))=K39,L39,"")&amp;IF((CH39-ROUNDDOWN(CH39,-1))=M39,N39,"")&amp;IF((CH39-ROUNDDOWN(CH39,-1))=O39,P39,"")&amp;IF((CH39-ROUNDDOWN(CH39,-1))=Q39,R39,"")&amp;IF((CH39-ROUNDDOWN(CH39,-1))=S39,T39,""),""))))</f>
        <v/>
      </c>
      <c r="CF39" s="48" t="str">
        <f>IF(CH39="","",IF(CH39=C39,D39,"")&amp;IF(CH39=E39,F39,"")&amp;IF(CH39=G39,H39,"")&amp;IF(CH39=I39,J39,"")&amp;IF(CH39=K39,L39,"")&amp;IF(CH39=M39,N39,"")&amp;IF(CH39=O39,P39,"")&amp;IF(CH39=Q39,R39,"")&amp;IF(CH39=S39,T39,"")&amp;IF(CH39=U39,V39,"")&amp;IF(CH39=W39,X39,"")&amp;IF(CH39=Y39,Z39,"")&amp;IF(CH39=AA39,AB39,"")&amp;IF(CH39=AC39,AD39,"")&amp;IF(CH39=AE39,AF39,"")&amp;IF(CH39=AG39,AH39,"")&amp;IF(CH39=AI39,AJ39,"")&amp;IF(CH39=AK39,AL39,"")&amp;IF(CH39=AM39,AN39,""))</f>
        <v>eleven</v>
      </c>
      <c r="CG39" s="49"/>
      <c r="CH39" s="48">
        <f>IF(A39&gt;=1,ROUNDDOWN(A39-ROUNDDOWN(A39,-2),0),"")</f>
        <v>11</v>
      </c>
      <c r="CI39" s="48" t="str">
        <f>IF(CB39="","",CB39)&amp;IF(CC39="","",CC39)&amp;IF(CD39="","",CD39)&amp;IF(CE39="","",CE39)&amp;IF(CF39="","",CF39)</f>
        <v>eleven</v>
      </c>
      <c r="CJ39" s="48" t="s">
        <v>290</v>
      </c>
      <c r="CK39" s="48" t="str">
        <f>IF(CQ39="","",IF(CQ39&gt;=90,"ninety "&amp;IF((CQ39-ROUNDDOWN(CQ39,-1))=1,D39,"")&amp;IF((CQ39-ROUNDDOWN(CQ39,-1))=2,F39,"")&amp;IF((CQ39-ROUNDDOWN(CQ39,-1))=G39,H39,"")&amp;IF((CQ39-ROUNDDOWN(CQ39,-1))=I39,J39,"")&amp;IF((CQ39-ROUNDDOWN(CQ39,-1))=K39,L39,"")&amp;IF((CQ39-ROUNDDOWN(CQ39,-1))=M39,N39,"")&amp;IF((CQ39-ROUNDDOWN(CQ39,-1))=O39,P39,"")&amp;IF((CQ39-ROUNDDOWN(CQ39,-1))=Q39,R39,"")&amp;IF((CQ39-ROUNDDOWN(CQ39,-1))=S39,T39,""),IF(CQ39&gt;=80,"eighty "&amp;IF((CQ39-ROUNDDOWN(CQ39,-1))=1,D39,"")&amp;IF((CQ39-ROUNDDOWN(CQ39,-1))=2,F39,"")&amp;IF((CQ39-ROUNDDOWN(CQ39,-1))=G39,H39,"")&amp;IF((CQ39-ROUNDDOWN(CQ39,-1))=I39,J39,"")&amp;IF((CQ39-ROUNDDOWN(CQ39,-1))=K39,L39,"")&amp;IF((CQ39-ROUNDDOWN(CQ39,-1))=M39,N39,"")&amp;IF((CQ39-ROUNDDOWN(CQ39,-1))=O39,P39,"")&amp;IF((CQ39-ROUNDDOWN(CQ39,-1))=Q39,R39,"")&amp;IF((CQ39-ROUNDDOWN(CQ39,-1))=S39,T39,""),"")))</f>
        <v/>
      </c>
      <c r="CL39" s="48" t="str">
        <f>IF(CQ39="","",IF(CQ39&gt;79,"",IF(CQ39&gt;=70,"seventy "&amp;IF((CQ39-ROUNDDOWN(CQ39,-1))=1,D39,"")&amp;IF((CQ39-ROUNDDOWN(CQ39,-1))=2,F39,"")&amp;IF((CQ39-ROUNDDOWN(CQ39,-1))=G39,H39,"")&amp;IF((CQ39-ROUNDDOWN(CQ39,-1))=I39,J39,"")&amp;IF((CQ39-ROUNDDOWN(CQ39,-1))=K39,L39,"")&amp;IF((CQ39-ROUNDDOWN(CQ39,-1))=M39,N39,"")&amp;IF((CQ39-ROUNDDOWN(CQ39,-1))=O39,P39,"")&amp;IF((CQ39-ROUNDDOWN(CQ39,-1))=Q39,R39,"")&amp;IF((CQ39-ROUNDDOWN(CQ39,-1))=S39,T39,""),IF(CQ39&gt;=60,"sixty "&amp;IF((CQ39-ROUNDDOWN(CQ39,-1))=1,D39,"")&amp;IF((CQ39-ROUNDDOWN(CQ39,-1))=2,F39,"")&amp;IF((CQ39-ROUNDDOWN(CQ39,-1))=G39,H39,"")&amp;IF((CQ39-ROUNDDOWN(CQ39,-1))=I39,J39,"")&amp;IF((CQ39-ROUNDDOWN(CQ39,-1))=K39,L39,"")&amp;IF((CQ39-ROUNDDOWN(CQ39,-1))=M39,N39,"")&amp;IF((CQ39-ROUNDDOWN(CQ39,-1))=O39,P39,"")&amp;IF((CQ39-ROUNDDOWN(CQ39,-1))=Q39,R39,"")&amp;IF((CQ39-ROUNDDOWN(CQ39,-1))=S39,T39,""),""))))</f>
        <v/>
      </c>
      <c r="CM39" s="48" t="str">
        <f>IF(CQ39="","",IF(CQ39&gt;59,"",IF(CQ39&gt;=50,"fifty "&amp;IF((CQ39-ROUNDDOWN(CQ39,-1))=1,D39,"")&amp;IF((CQ39-ROUNDDOWN(CQ39,-1))=2,F39,"")&amp;IF((CQ39-ROUNDDOWN(CQ39,-1))=G39,H39,"")&amp;IF((CQ39-ROUNDDOWN(CQ39,-1))=I39,J39,"")&amp;IF((CQ39-ROUNDDOWN(CQ39,-1))=K39,L39,"")&amp;IF((CQ39-ROUNDDOWN(CQ39,-1))=M39,N39,"")&amp;IF((CQ39-ROUNDDOWN(CQ39,-1))=O39,P39,"")&amp;IF((CQ39-ROUNDDOWN(CQ39,-1))=Q39,R39,"")&amp;IF((CQ39-ROUNDDOWN(CQ39,-1))=S39,T39,""),IF(CQ39&gt;=40,"forty "&amp;IF((CQ39-ROUNDDOWN(CQ39,-1))=1,D39,"")&amp;IF((CQ39-ROUNDDOWN(CQ39,-1))=2,F39,"")&amp;IF((CQ39-ROUNDDOWN(CQ39,-1))=G39,H39,"")&amp;IF((CQ39-ROUNDDOWN(CQ39,-1))=I39,J39,"")&amp;IF((CQ39-ROUNDDOWN(CQ39,-1))=K39,L39,"")&amp;IF((CQ39-ROUNDDOWN(CQ39,-1))=M39,N39,"")&amp;IF((CQ39-ROUNDDOWN(CQ39,-1))=O39,P39,"")&amp;IF((CQ39-ROUNDDOWN(CQ39,-1))=Q39,R39,"")&amp;IF((CQ39-ROUNDDOWN(CQ39,-1))=S39,T39,""),""))))</f>
        <v/>
      </c>
      <c r="CN39" s="48" t="str">
        <f>IF(CQ39="","",IF(CQ39&gt;39,"",IF(CQ39&gt;=30,"thirty "&amp;IF((CQ39-ROUNDDOWN(CQ39,-1))=1,D39,"")&amp;IF((CQ39-ROUNDDOWN(CQ39,-1))=2,F39,"")&amp;IF((CQ39-ROUNDDOWN(CQ39,-1))=G39,H39,"")&amp;IF((CQ39-ROUNDDOWN(CQ39,-1))=I39,J39,"")&amp;IF((CQ39-ROUNDDOWN(CQ39,-1))=K39,L39,"")&amp;IF((CQ39-ROUNDDOWN(CQ39,-1))=M39,N39,"")&amp;IF((CQ39-ROUNDDOWN(CQ39,-1))=O39,P39,"")&amp;IF((CQ39-ROUNDDOWN(CQ39,-1))=Q39,R39,"")&amp;IF((CQ39-ROUNDDOWN(CQ39,-1))=S39,T39,""),IF(CQ39&gt;=20,"twenty "&amp;IF((CQ39-ROUNDDOWN(CQ39,-1))=1,D39,"")&amp;IF((CQ39-ROUNDDOWN(CQ39,-1))=2,F39,"")&amp;IF((CQ39-ROUNDDOWN(CQ39,-1))=G39,H39,"")&amp;IF((CQ39-ROUNDDOWN(CQ39,-1))=I39,J39,"")&amp;IF((CQ39-ROUNDDOWN(CQ39,-1))=K39,L39,"")&amp;IF((CQ39-ROUNDDOWN(CQ39,-1))=M39,N39,"")&amp;IF((CQ39-ROUNDDOWN(CQ39,-1))=O39,P39,"")&amp;IF((CQ39-ROUNDDOWN(CQ39,-1))=Q39,R39,"")&amp;IF((CQ39-ROUNDDOWN(CQ39,-1))=S39,T39,""),""))))</f>
        <v/>
      </c>
      <c r="CO39" s="48" t="str">
        <f>IF(CQ39="","",IF(CQ39=C39,D39,"")&amp;IF(CQ39=E39,F39,"")&amp;IF(CQ39=G39,H39,"")&amp;IF(CQ39=I39,J39,"")&amp;IF(CQ39=K39,L39,"")&amp;IF(CQ39=M39,N39,"")&amp;IF(CQ39=O39,P39,"")&amp;IF(CQ39=Q39,R39,"")&amp;IF(CQ39=S39,T39,"")&amp;IF(CQ39=U39,V39,"")&amp;IF(CQ39=W39,X39,"")&amp;IF(CQ39=Y39,Z39,"")&amp;IF(CQ39=AA39,AB39,"")&amp;IF(CQ39=AC39,AD39,"")&amp;IF(CQ39=AE39,AF39,"")&amp;IF(CQ39=AG39,AH39,"")&amp;IF(CQ39=AI39,AJ39,"")&amp;IF(CQ39=AK39,AL39,"")&amp;IF(CQ39=AM39,AN39,""))</f>
        <v/>
      </c>
      <c r="CP39" s="49"/>
      <c r="CQ39" s="48" t="str">
        <f>IF((A39-ROUNDDOWN(A39,0))&gt;0,ROUND((A39-ROUNDDOWN(A39,0))*100,0),"")</f>
        <v/>
      </c>
      <c r="CR39" s="48" t="str">
        <f>IF(CK39="","",CK39)&amp;IF(CL39="","",CL39)&amp;IF(CM39="","",CM39)&amp;IF(CN39="","",CN39)&amp;IF(CO39="","",CO39)</f>
        <v/>
      </c>
      <c r="CS39" s="49" t="s">
        <v>291</v>
      </c>
      <c r="CT39" s="50"/>
      <c r="CU39" s="51" t="str">
        <f>IF(A39="","","(Rupees "&amp;IF(AY39="","",AY39&amp;" crore ")&amp;IF(BH39="","",BH39&amp;" lakh ")&amp;IF(BQ39="","",BQ39&amp;" thousand ")&amp;IF(BZ39="","",BZ39&amp;" hundred ")&amp;IF(CI39="","",CI39)&amp;IF(CR39="",""," and paise "&amp;CR39)&amp;") only.")</f>
        <v>(Rupees one lakh twenty six thousand two hundred eleven) only.</v>
      </c>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c r="EA39" s="52"/>
      <c r="EB39" s="52"/>
      <c r="EC39" s="52"/>
      <c r="ED39" s="52"/>
      <c r="EE39" s="52"/>
    </row>
  </sheetData>
  <mergeCells count="39">
    <mergeCell ref="J4:J6"/>
    <mergeCell ref="C23:I23"/>
    <mergeCell ref="L4:L6"/>
    <mergeCell ref="C17:I17"/>
    <mergeCell ref="C4:H6"/>
    <mergeCell ref="C8:I8"/>
    <mergeCell ref="I4:I6"/>
    <mergeCell ref="A1:M1"/>
    <mergeCell ref="C26:I26"/>
    <mergeCell ref="C20:I20"/>
    <mergeCell ref="B34:L34"/>
    <mergeCell ref="C29:I29"/>
    <mergeCell ref="C10:I10"/>
    <mergeCell ref="C16:I16"/>
    <mergeCell ref="C31:I31"/>
    <mergeCell ref="C22:I22"/>
    <mergeCell ref="C9:I9"/>
    <mergeCell ref="C21:I21"/>
    <mergeCell ref="A4:A6"/>
    <mergeCell ref="C18:I18"/>
    <mergeCell ref="M4:M6"/>
    <mergeCell ref="C13:I13"/>
    <mergeCell ref="C24:I24"/>
    <mergeCell ref="A36:L36"/>
    <mergeCell ref="C12:I12"/>
    <mergeCell ref="A3:M3"/>
    <mergeCell ref="C11:I11"/>
    <mergeCell ref="A2:M2"/>
    <mergeCell ref="C27:I27"/>
    <mergeCell ref="C33:I33"/>
    <mergeCell ref="A35:L35"/>
    <mergeCell ref="C14:I14"/>
    <mergeCell ref="C15:I15"/>
    <mergeCell ref="C32:I32"/>
    <mergeCell ref="C7:I7"/>
    <mergeCell ref="C19:I19"/>
    <mergeCell ref="C28:I28"/>
    <mergeCell ref="K4:K6"/>
    <mergeCell ref="C30:I30"/>
  </mergeCells>
  <pageMargins left="0.28999999999999998" right="0.26" top="0.4" bottom="0.38"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55"/>
  <sheetViews>
    <sheetView view="pageBreakPreview" topLeftCell="A36" zoomScale="88" zoomScaleNormal="100" workbookViewId="0">
      <selection activeCell="A26" sqref="A26:XFD26"/>
    </sheetView>
  </sheetViews>
  <sheetFormatPr defaultColWidth="8.77734375" defaultRowHeight="13.8" x14ac:dyDescent="0.25"/>
  <cols>
    <col min="1" max="1" width="7" style="159" customWidth="1"/>
    <col min="2" max="2" width="13.33203125" style="149" customWidth="1"/>
    <col min="3" max="3" width="10.88671875" style="149" customWidth="1"/>
    <col min="4" max="4" width="6.33203125" style="149" customWidth="1"/>
    <col min="5" max="5" width="6.6640625" style="149" customWidth="1"/>
    <col min="6" max="7" width="9.21875" style="149" customWidth="1"/>
    <col min="8" max="8" width="8.21875" style="149" customWidth="1"/>
    <col min="9" max="9" width="15.21875" style="148" customWidth="1"/>
    <col min="10" max="10" width="8.33203125" style="149" customWidth="1"/>
    <col min="11" max="11" width="8.33203125" style="148" customWidth="1"/>
    <col min="12" max="12" width="6.77734375" style="149" customWidth="1"/>
    <col min="13" max="13" width="8.77734375" style="150" customWidth="1"/>
    <col min="14" max="14" width="19.6640625" style="150" customWidth="1"/>
    <col min="15" max="15" width="8" style="150" customWidth="1"/>
    <col min="16" max="16" width="8.77734375" style="150" customWidth="1"/>
    <col min="17" max="17" width="9.109375" style="151" customWidth="1"/>
    <col min="18" max="21" width="8.77734375" style="151" customWidth="1"/>
    <col min="22" max="16384" width="8.77734375" style="151"/>
  </cols>
  <sheetData>
    <row r="1" spans="1:20" s="147" customFormat="1" ht="17.399999999999999" customHeight="1" x14ac:dyDescent="0.35">
      <c r="A1" s="656"/>
      <c r="B1" s="657"/>
      <c r="C1" s="657"/>
      <c r="D1" s="657"/>
      <c r="E1" s="657"/>
      <c r="F1" s="657"/>
      <c r="G1" s="657"/>
      <c r="H1" s="657"/>
      <c r="I1" s="657"/>
      <c r="J1" s="657"/>
      <c r="K1" s="657"/>
      <c r="L1" s="145"/>
      <c r="M1" s="146"/>
      <c r="N1" s="146"/>
      <c r="O1" s="146"/>
      <c r="P1" s="146"/>
    </row>
    <row r="2" spans="1:20" ht="16.2" customHeight="1" x14ac:dyDescent="0.25">
      <c r="A2" s="667" t="s">
        <v>575</v>
      </c>
      <c r="B2" s="557"/>
      <c r="C2" s="557"/>
      <c r="D2" s="557"/>
      <c r="E2" s="557"/>
      <c r="F2" s="557"/>
      <c r="G2" s="557"/>
      <c r="H2" s="557"/>
      <c r="I2" s="557"/>
      <c r="J2" s="557"/>
    </row>
    <row r="3" spans="1:20" ht="15" customHeight="1" x14ac:dyDescent="0.25">
      <c r="A3" s="152" t="s">
        <v>576</v>
      </c>
      <c r="B3" s="152" t="s">
        <v>577</v>
      </c>
      <c r="C3" s="152" t="s">
        <v>578</v>
      </c>
      <c r="D3" s="152" t="s">
        <v>7</v>
      </c>
      <c r="E3" s="152" t="s">
        <v>579</v>
      </c>
      <c r="F3" s="152" t="s">
        <v>580</v>
      </c>
      <c r="G3" s="152" t="s">
        <v>581</v>
      </c>
      <c r="H3" s="152" t="s">
        <v>582</v>
      </c>
      <c r="I3" s="153" t="s">
        <v>305</v>
      </c>
      <c r="J3" s="152" t="s">
        <v>354</v>
      </c>
    </row>
    <row r="4" spans="1:20" ht="15" customHeight="1" x14ac:dyDescent="0.25">
      <c r="A4" s="154" t="s">
        <v>540</v>
      </c>
      <c r="B4" s="155" t="s">
        <v>583</v>
      </c>
      <c r="C4" s="156"/>
      <c r="D4" s="157" t="s">
        <v>14</v>
      </c>
      <c r="E4" s="157">
        <v>3.4</v>
      </c>
      <c r="F4" s="157">
        <v>2.2000000000000002</v>
      </c>
      <c r="G4" s="137">
        <v>2.4</v>
      </c>
      <c r="H4" s="156">
        <v>1</v>
      </c>
      <c r="I4" s="158">
        <f>H4*G4*F4*E4</f>
        <v>17.95</v>
      </c>
      <c r="J4" s="157"/>
    </row>
    <row r="5" spans="1:20" x14ac:dyDescent="0.25">
      <c r="C5" s="160"/>
      <c r="D5" s="668" t="s">
        <v>584</v>
      </c>
      <c r="E5" s="665"/>
      <c r="F5" s="665"/>
      <c r="G5" s="665"/>
      <c r="H5" s="665"/>
      <c r="I5" s="162">
        <f>SUM(I4:I4)</f>
        <v>17.95</v>
      </c>
      <c r="J5" s="163" t="s">
        <v>14</v>
      </c>
    </row>
    <row r="6" spans="1:20" x14ac:dyDescent="0.25">
      <c r="C6" s="160"/>
      <c r="D6" s="161"/>
      <c r="E6" s="161"/>
      <c r="F6" s="161"/>
      <c r="G6" s="161"/>
      <c r="H6" s="161"/>
      <c r="I6" s="162"/>
      <c r="J6" s="163"/>
    </row>
    <row r="7" spans="1:20" s="165" customFormat="1" ht="17.25" customHeight="1" x14ac:dyDescent="0.25">
      <c r="A7" s="667" t="s">
        <v>585</v>
      </c>
      <c r="B7" s="557"/>
      <c r="C7" s="557"/>
      <c r="D7" s="557"/>
      <c r="E7" s="557"/>
      <c r="F7" s="557"/>
      <c r="G7" s="557"/>
      <c r="H7" s="557"/>
      <c r="I7" s="557"/>
      <c r="J7" s="557"/>
      <c r="K7" s="148"/>
      <c r="L7" s="148"/>
      <c r="M7" s="164"/>
      <c r="N7" s="164"/>
      <c r="O7" s="164"/>
      <c r="P7" s="164"/>
    </row>
    <row r="8" spans="1:20" s="165" customFormat="1" ht="16.5" customHeight="1" x14ac:dyDescent="0.25">
      <c r="A8" s="166" t="s">
        <v>576</v>
      </c>
      <c r="B8" s="152" t="s">
        <v>577</v>
      </c>
      <c r="C8" s="152" t="s">
        <v>578</v>
      </c>
      <c r="D8" s="152" t="s">
        <v>7</v>
      </c>
      <c r="E8" s="152" t="s">
        <v>579</v>
      </c>
      <c r="F8" s="152" t="s">
        <v>580</v>
      </c>
      <c r="G8" s="152" t="s">
        <v>581</v>
      </c>
      <c r="H8" s="152" t="s">
        <v>582</v>
      </c>
      <c r="I8" s="153" t="s">
        <v>305</v>
      </c>
      <c r="J8" s="152" t="s">
        <v>354</v>
      </c>
      <c r="K8" s="148"/>
      <c r="L8" s="148"/>
      <c r="M8" s="164"/>
      <c r="N8" s="164"/>
      <c r="O8" s="164"/>
      <c r="P8" s="164"/>
    </row>
    <row r="9" spans="1:20" ht="15" customHeight="1" x14ac:dyDescent="0.25">
      <c r="A9" s="136" t="s">
        <v>546</v>
      </c>
      <c r="B9" s="155" t="s">
        <v>583</v>
      </c>
      <c r="C9" s="156"/>
      <c r="D9" s="157" t="s">
        <v>14</v>
      </c>
      <c r="E9" s="157">
        <v>3.4</v>
      </c>
      <c r="F9" s="157">
        <v>2.2000000000000002</v>
      </c>
      <c r="G9" s="167">
        <v>0.2</v>
      </c>
      <c r="H9" s="156">
        <v>1</v>
      </c>
      <c r="I9" s="158">
        <f>H9*G9*F9*E9</f>
        <v>1.5</v>
      </c>
      <c r="J9" s="157"/>
    </row>
    <row r="10" spans="1:20" s="165" customFormat="1" ht="13.95" customHeight="1" x14ac:dyDescent="0.25">
      <c r="A10" s="159"/>
      <c r="B10" s="149"/>
      <c r="C10" s="160"/>
      <c r="D10" s="668" t="s">
        <v>586</v>
      </c>
      <c r="E10" s="669"/>
      <c r="F10" s="669"/>
      <c r="G10" s="669"/>
      <c r="H10" s="669"/>
      <c r="I10" s="162">
        <f>SUM(I9:I9)</f>
        <v>1.5</v>
      </c>
      <c r="J10" s="163" t="s">
        <v>14</v>
      </c>
      <c r="K10" s="148"/>
      <c r="L10" s="148"/>
      <c r="M10" s="164"/>
      <c r="N10" s="164"/>
      <c r="O10" s="164"/>
      <c r="P10" s="164"/>
    </row>
    <row r="11" spans="1:20" ht="15.75" customHeight="1" x14ac:dyDescent="0.3">
      <c r="A11" s="672" t="s">
        <v>587</v>
      </c>
      <c r="B11" s="665"/>
      <c r="C11" s="665"/>
      <c r="D11" s="665"/>
      <c r="E11" s="665"/>
      <c r="F11" s="665"/>
      <c r="G11" s="665"/>
      <c r="H11" s="665"/>
      <c r="I11" s="666"/>
      <c r="J11" s="665"/>
      <c r="K11" s="666"/>
    </row>
    <row r="12" spans="1:20" s="147" customFormat="1" x14ac:dyDescent="0.25">
      <c r="A12" s="663" t="s">
        <v>588</v>
      </c>
      <c r="B12" s="657"/>
      <c r="C12" s="657"/>
      <c r="D12" s="657"/>
      <c r="E12" s="657"/>
      <c r="F12" s="657"/>
      <c r="G12" s="657"/>
      <c r="H12" s="657"/>
      <c r="I12" s="657"/>
      <c r="J12" s="657"/>
      <c r="K12" s="657"/>
      <c r="L12" s="169"/>
      <c r="M12" s="146"/>
      <c r="N12" s="146"/>
      <c r="O12" s="146"/>
      <c r="P12" s="146"/>
    </row>
    <row r="13" spans="1:20" ht="17.25" customHeight="1" x14ac:dyDescent="0.25">
      <c r="A13" s="659" t="s">
        <v>589</v>
      </c>
      <c r="B13" s="557"/>
      <c r="C13" s="557"/>
      <c r="D13" s="557"/>
      <c r="E13" s="557"/>
      <c r="F13" s="557"/>
      <c r="G13" s="557"/>
      <c r="H13" s="557"/>
      <c r="I13" s="557"/>
      <c r="J13" s="557"/>
    </row>
    <row r="14" spans="1:20" ht="40.799999999999997" customHeight="1" x14ac:dyDescent="0.25">
      <c r="A14" s="152" t="s">
        <v>576</v>
      </c>
      <c r="B14" s="152" t="s">
        <v>577</v>
      </c>
      <c r="C14" s="152" t="s">
        <v>578</v>
      </c>
      <c r="D14" s="152" t="s">
        <v>7</v>
      </c>
      <c r="E14" s="152" t="s">
        <v>579</v>
      </c>
      <c r="F14" s="152" t="s">
        <v>580</v>
      </c>
      <c r="G14" s="152" t="s">
        <v>590</v>
      </c>
      <c r="H14" s="152" t="s">
        <v>582</v>
      </c>
      <c r="I14" s="153" t="s">
        <v>305</v>
      </c>
      <c r="J14" s="152" t="s">
        <v>354</v>
      </c>
      <c r="O14" s="159"/>
      <c r="P14" s="159"/>
      <c r="Q14" s="170"/>
      <c r="R14" s="170"/>
      <c r="S14" s="159"/>
      <c r="T14" s="159"/>
    </row>
    <row r="15" spans="1:20" ht="17.25" customHeight="1" x14ac:dyDescent="0.25">
      <c r="A15" s="152"/>
      <c r="B15" s="155" t="s">
        <v>591</v>
      </c>
      <c r="C15" s="152"/>
      <c r="D15" s="155" t="s">
        <v>14</v>
      </c>
      <c r="E15" s="171">
        <v>2.2000000000000002</v>
      </c>
      <c r="F15" s="171">
        <v>0.23</v>
      </c>
      <c r="G15" s="171">
        <v>0.23</v>
      </c>
      <c r="H15" s="172">
        <v>1</v>
      </c>
      <c r="I15" s="173">
        <f>H15*G15*F15*E15</f>
        <v>0.12</v>
      </c>
      <c r="J15" s="172"/>
      <c r="O15" s="159"/>
      <c r="P15" s="159"/>
      <c r="Q15" s="170"/>
      <c r="R15" s="170"/>
      <c r="S15" s="159"/>
      <c r="T15" s="159"/>
    </row>
    <row r="16" spans="1:20" ht="17.25" customHeight="1" x14ac:dyDescent="0.25">
      <c r="A16" s="155"/>
      <c r="B16" s="155" t="s">
        <v>592</v>
      </c>
      <c r="C16" s="155"/>
      <c r="D16" s="155" t="s">
        <v>14</v>
      </c>
      <c r="E16" s="171">
        <v>3.4</v>
      </c>
      <c r="F16" s="171">
        <v>2.1</v>
      </c>
      <c r="G16" s="172">
        <v>0.15</v>
      </c>
      <c r="H16" s="172">
        <v>1</v>
      </c>
      <c r="I16" s="173">
        <f>H16*G16*F16*E16</f>
        <v>1.07</v>
      </c>
      <c r="J16" s="172"/>
      <c r="O16" s="159"/>
      <c r="P16" s="159"/>
      <c r="Q16" s="170"/>
      <c r="R16" s="170"/>
      <c r="S16" s="159"/>
      <c r="T16" s="159"/>
    </row>
    <row r="17" spans="1:20" s="147" customFormat="1" x14ac:dyDescent="0.25">
      <c r="A17" s="152"/>
      <c r="B17" s="174"/>
      <c r="C17" s="175"/>
      <c r="D17" s="662" t="s">
        <v>593</v>
      </c>
      <c r="E17" s="516"/>
      <c r="F17" s="516"/>
      <c r="G17" s="516"/>
      <c r="H17" s="517"/>
      <c r="I17" s="173">
        <f>SUM(I15:I16)</f>
        <v>1.19</v>
      </c>
      <c r="J17" s="176" t="s">
        <v>14</v>
      </c>
      <c r="K17" s="177"/>
      <c r="L17" s="169"/>
      <c r="M17" s="146"/>
      <c r="N17" s="146"/>
      <c r="O17" s="146"/>
      <c r="P17" s="146"/>
    </row>
    <row r="18" spans="1:20" x14ac:dyDescent="0.25">
      <c r="A18" s="159" t="s">
        <v>222</v>
      </c>
      <c r="C18" s="160"/>
      <c r="D18" s="161"/>
      <c r="E18" s="161"/>
      <c r="F18" s="161"/>
      <c r="G18" s="161"/>
      <c r="H18" s="161"/>
      <c r="I18" s="162"/>
      <c r="J18" s="163"/>
    </row>
    <row r="19" spans="1:20" ht="15.75" customHeight="1" x14ac:dyDescent="0.25">
      <c r="A19" s="664" t="s">
        <v>594</v>
      </c>
      <c r="B19" s="665"/>
      <c r="C19" s="665"/>
      <c r="D19" s="665"/>
      <c r="E19" s="665"/>
      <c r="F19" s="665"/>
      <c r="G19" s="665"/>
      <c r="H19" s="665"/>
      <c r="I19" s="666"/>
      <c r="J19" s="665"/>
      <c r="K19" s="666"/>
    </row>
    <row r="20" spans="1:20" ht="15.75" customHeight="1" x14ac:dyDescent="0.25">
      <c r="A20" s="163"/>
      <c r="B20" s="163"/>
      <c r="C20" s="163"/>
      <c r="D20" s="163"/>
      <c r="E20" s="163"/>
      <c r="F20" s="163"/>
      <c r="G20" s="163"/>
      <c r="H20" s="163"/>
      <c r="I20" s="163"/>
      <c r="J20" s="163"/>
      <c r="K20" s="163"/>
    </row>
    <row r="21" spans="1:20" ht="17.25" customHeight="1" x14ac:dyDescent="0.25">
      <c r="A21" s="659" t="s">
        <v>595</v>
      </c>
      <c r="B21" s="557"/>
      <c r="C21" s="557"/>
      <c r="D21" s="557"/>
      <c r="E21" s="557"/>
      <c r="F21" s="557"/>
      <c r="G21" s="557"/>
      <c r="H21" s="557"/>
      <c r="I21" s="557"/>
      <c r="J21" s="557"/>
    </row>
    <row r="22" spans="1:20" s="165" customFormat="1" ht="17.25" customHeight="1" x14ac:dyDescent="0.25">
      <c r="A22" s="152" t="s">
        <v>576</v>
      </c>
      <c r="B22" s="166" t="s">
        <v>577</v>
      </c>
      <c r="C22" s="152" t="s">
        <v>578</v>
      </c>
      <c r="D22" s="152" t="s">
        <v>7</v>
      </c>
      <c r="E22" s="152" t="s">
        <v>579</v>
      </c>
      <c r="F22" s="152" t="s">
        <v>580</v>
      </c>
      <c r="G22" s="152" t="s">
        <v>590</v>
      </c>
      <c r="H22" s="152" t="s">
        <v>582</v>
      </c>
      <c r="I22" s="153" t="s">
        <v>305</v>
      </c>
      <c r="J22" s="152" t="s">
        <v>354</v>
      </c>
      <c r="K22" s="148"/>
      <c r="L22" s="148"/>
      <c r="M22" s="164"/>
      <c r="N22" s="164"/>
      <c r="O22" s="164"/>
      <c r="P22" s="164"/>
    </row>
    <row r="23" spans="1:20" s="165" customFormat="1" ht="17.25" customHeight="1" x14ac:dyDescent="0.25">
      <c r="A23" s="152" t="s">
        <v>554</v>
      </c>
      <c r="B23" s="155" t="s">
        <v>592</v>
      </c>
      <c r="C23" s="155" t="s">
        <v>596</v>
      </c>
      <c r="D23" s="157" t="s">
        <v>597</v>
      </c>
      <c r="E23" s="155">
        <v>3.4</v>
      </c>
      <c r="F23" s="155">
        <v>2.06</v>
      </c>
      <c r="G23" s="178">
        <v>7.4999999999999997E-2</v>
      </c>
      <c r="H23" s="155">
        <v>1</v>
      </c>
      <c r="I23" s="173">
        <f>E23*F23*H23</f>
        <v>7</v>
      </c>
      <c r="J23" s="152"/>
      <c r="K23" s="148"/>
      <c r="L23" s="148"/>
      <c r="M23" s="164"/>
      <c r="N23" s="164"/>
      <c r="O23" s="164"/>
      <c r="P23" s="164"/>
    </row>
    <row r="24" spans="1:20" s="147" customFormat="1" ht="17.25" customHeight="1" x14ac:dyDescent="0.25">
      <c r="A24" s="152"/>
      <c r="B24" s="152"/>
      <c r="C24" s="152"/>
      <c r="D24" s="152"/>
      <c r="E24" s="152"/>
      <c r="F24" s="152"/>
      <c r="G24" s="175"/>
      <c r="H24" s="175" t="s">
        <v>334</v>
      </c>
      <c r="I24" s="173">
        <f>SUM(I23:I23)</f>
        <v>7</v>
      </c>
      <c r="J24" s="72" t="s">
        <v>597</v>
      </c>
      <c r="K24" s="177"/>
      <c r="L24" s="169"/>
      <c r="M24" s="146"/>
      <c r="N24" s="146"/>
      <c r="O24" s="146"/>
      <c r="P24" s="146"/>
    </row>
    <row r="25" spans="1:20" ht="17.25" customHeight="1" x14ac:dyDescent="0.25">
      <c r="B25" s="159"/>
      <c r="C25" s="159"/>
      <c r="D25" s="159"/>
      <c r="E25" s="159"/>
      <c r="F25" s="159"/>
      <c r="G25" s="160"/>
      <c r="H25" s="160"/>
      <c r="I25" s="162"/>
      <c r="J25" s="179"/>
    </row>
    <row r="26" spans="1:20" ht="24" customHeight="1" x14ac:dyDescent="0.25">
      <c r="A26" s="664" t="s">
        <v>598</v>
      </c>
      <c r="B26" s="665"/>
      <c r="C26" s="665"/>
      <c r="D26" s="665"/>
      <c r="E26" s="665"/>
      <c r="F26" s="665"/>
      <c r="G26" s="665"/>
      <c r="H26" s="665"/>
      <c r="I26" s="666"/>
      <c r="J26" s="665"/>
      <c r="K26" s="666"/>
    </row>
    <row r="27" spans="1:20" ht="25.8" customHeight="1" x14ac:dyDescent="0.25">
      <c r="A27" s="661" t="s">
        <v>599</v>
      </c>
      <c r="B27" s="557"/>
      <c r="C27" s="557"/>
      <c r="D27" s="557"/>
      <c r="E27" s="557"/>
      <c r="F27" s="557"/>
      <c r="G27" s="557"/>
      <c r="H27" s="557"/>
      <c r="I27" s="557"/>
      <c r="J27" s="557"/>
      <c r="K27" s="557"/>
      <c r="L27" s="159"/>
      <c r="O27" s="159"/>
      <c r="P27" s="159"/>
      <c r="Q27" s="170"/>
      <c r="R27" s="170"/>
      <c r="S27" s="170"/>
      <c r="T27" s="170"/>
    </row>
    <row r="28" spans="1:20" ht="27.6" customHeight="1" x14ac:dyDescent="0.25">
      <c r="A28" s="152" t="s">
        <v>600</v>
      </c>
      <c r="B28" s="152" t="s">
        <v>577</v>
      </c>
      <c r="C28" s="152" t="s">
        <v>578</v>
      </c>
      <c r="D28" s="152" t="s">
        <v>7</v>
      </c>
      <c r="E28" s="152" t="s">
        <v>601</v>
      </c>
      <c r="F28" s="152" t="s">
        <v>602</v>
      </c>
      <c r="G28" s="180" t="s">
        <v>603</v>
      </c>
      <c r="H28" s="152" t="s">
        <v>604</v>
      </c>
      <c r="I28" s="181" t="s">
        <v>605</v>
      </c>
      <c r="J28" s="153" t="s">
        <v>606</v>
      </c>
      <c r="K28" s="152" t="s">
        <v>305</v>
      </c>
      <c r="L28" s="153" t="s">
        <v>354</v>
      </c>
      <c r="O28" s="182"/>
    </row>
    <row r="29" spans="1:20" ht="26.4" customHeight="1" x14ac:dyDescent="0.25">
      <c r="A29" s="155"/>
      <c r="B29" s="660" t="s">
        <v>607</v>
      </c>
      <c r="C29" s="183" t="s">
        <v>608</v>
      </c>
      <c r="D29" s="155" t="s">
        <v>198</v>
      </c>
      <c r="E29" s="184">
        <v>1</v>
      </c>
      <c r="F29" s="157">
        <v>2.06</v>
      </c>
      <c r="G29" s="171">
        <f>48*0.012</f>
        <v>0.57999999999999996</v>
      </c>
      <c r="H29" s="157">
        <f>(G29*2)+F29</f>
        <v>3.22</v>
      </c>
      <c r="I29" s="155">
        <v>0.89</v>
      </c>
      <c r="J29" s="155">
        <v>2</v>
      </c>
      <c r="K29" s="153">
        <f>J29*I29*H29*E29</f>
        <v>5.73</v>
      </c>
      <c r="L29" s="155" t="s">
        <v>609</v>
      </c>
      <c r="O29" s="182"/>
    </row>
    <row r="30" spans="1:20" ht="26.4" customHeight="1" x14ac:dyDescent="0.25">
      <c r="A30" s="155"/>
      <c r="B30" s="544"/>
      <c r="C30" s="155" t="s">
        <v>608</v>
      </c>
      <c r="D30" s="155" t="s">
        <v>198</v>
      </c>
      <c r="E30" s="184">
        <v>1</v>
      </c>
      <c r="F30" s="157">
        <v>2.06</v>
      </c>
      <c r="G30" s="171">
        <f>48*0.012</f>
        <v>0.57999999999999996</v>
      </c>
      <c r="H30" s="157">
        <f>(G30*2)+F30</f>
        <v>3.22</v>
      </c>
      <c r="I30" s="155">
        <v>0.89</v>
      </c>
      <c r="J30" s="155">
        <v>2</v>
      </c>
      <c r="K30" s="153">
        <f>J30*I30*H30*E30</f>
        <v>5.73</v>
      </c>
      <c r="L30" s="155" t="s">
        <v>609</v>
      </c>
      <c r="O30" s="182"/>
    </row>
    <row r="31" spans="1:20" ht="15" customHeight="1" x14ac:dyDescent="0.25">
      <c r="B31" s="159"/>
      <c r="C31" s="159"/>
      <c r="D31" s="159"/>
      <c r="E31" s="159"/>
      <c r="F31" s="159"/>
      <c r="G31" s="159"/>
      <c r="H31" s="159"/>
      <c r="I31" s="159"/>
      <c r="J31" s="185"/>
      <c r="K31" s="185">
        <f>SUM(K29:K29)</f>
        <v>5.73</v>
      </c>
      <c r="L31" s="168" t="s">
        <v>198</v>
      </c>
      <c r="O31" s="182"/>
    </row>
    <row r="32" spans="1:20" x14ac:dyDescent="0.25">
      <c r="A32" s="661" t="s">
        <v>610</v>
      </c>
      <c r="B32" s="557"/>
      <c r="C32" s="557"/>
      <c r="D32" s="557"/>
      <c r="E32" s="557"/>
      <c r="F32" s="557"/>
      <c r="G32" s="557"/>
      <c r="H32" s="557"/>
      <c r="I32" s="557"/>
      <c r="J32" s="159"/>
      <c r="K32" s="159"/>
      <c r="L32" s="159"/>
      <c r="N32" s="146"/>
      <c r="O32" s="182"/>
    </row>
    <row r="33" spans="1:20" ht="27.6" customHeight="1" x14ac:dyDescent="0.25">
      <c r="A33" s="152" t="s">
        <v>600</v>
      </c>
      <c r="B33" s="152" t="s">
        <v>577</v>
      </c>
      <c r="C33" s="152" t="s">
        <v>578</v>
      </c>
      <c r="D33" s="152" t="s">
        <v>7</v>
      </c>
      <c r="E33" s="152" t="s">
        <v>601</v>
      </c>
      <c r="F33" s="152" t="s">
        <v>611</v>
      </c>
      <c r="G33" s="175" t="s">
        <v>612</v>
      </c>
      <c r="H33" s="175" t="s">
        <v>605</v>
      </c>
      <c r="I33" s="175" t="s">
        <v>613</v>
      </c>
      <c r="J33" s="152" t="s">
        <v>305</v>
      </c>
      <c r="K33" s="173" t="s">
        <v>354</v>
      </c>
      <c r="L33" s="159"/>
      <c r="O33" s="182"/>
    </row>
    <row r="34" spans="1:20" ht="27.6" customHeight="1" x14ac:dyDescent="0.25">
      <c r="A34" s="155"/>
      <c r="B34" s="155" t="s">
        <v>614</v>
      </c>
      <c r="C34" s="155" t="s">
        <v>615</v>
      </c>
      <c r="D34" s="155" t="s">
        <v>198</v>
      </c>
      <c r="E34" s="155">
        <v>1</v>
      </c>
      <c r="F34" s="171">
        <v>2.06</v>
      </c>
      <c r="G34" s="155">
        <f>0.82+0.16</f>
        <v>0.98</v>
      </c>
      <c r="H34" s="186">
        <v>0.39</v>
      </c>
      <c r="I34" s="187">
        <f>F34/0.135</f>
        <v>15</v>
      </c>
      <c r="J34" s="188">
        <f>I34*H34*G34*E34</f>
        <v>5.73</v>
      </c>
      <c r="K34" s="189" t="s">
        <v>616</v>
      </c>
      <c r="L34" s="159"/>
      <c r="O34" s="182"/>
    </row>
    <row r="35" spans="1:20" x14ac:dyDescent="0.25">
      <c r="B35" s="159"/>
      <c r="C35" s="159"/>
      <c r="D35" s="159"/>
      <c r="F35" s="185"/>
      <c r="G35" s="159"/>
      <c r="H35" s="159"/>
      <c r="I35" s="159"/>
      <c r="J35" s="185">
        <f>SUM(J34:J34)</f>
        <v>5.73</v>
      </c>
      <c r="K35" s="168" t="s">
        <v>198</v>
      </c>
      <c r="L35" s="159"/>
      <c r="O35" s="182"/>
    </row>
    <row r="36" spans="1:20" ht="25.2" customHeight="1" x14ac:dyDescent="0.25">
      <c r="A36" s="659" t="s">
        <v>617</v>
      </c>
      <c r="B36" s="557"/>
      <c r="C36" s="557"/>
      <c r="D36" s="557"/>
      <c r="E36" s="557"/>
      <c r="F36" s="557"/>
      <c r="G36" s="557"/>
      <c r="H36" s="557"/>
      <c r="I36" s="557"/>
      <c r="J36" s="557"/>
    </row>
    <row r="37" spans="1:20" ht="17.25" customHeight="1" x14ac:dyDescent="0.25">
      <c r="A37" s="152" t="s">
        <v>576</v>
      </c>
      <c r="B37" s="152" t="s">
        <v>577</v>
      </c>
      <c r="C37" s="152" t="s">
        <v>578</v>
      </c>
      <c r="D37" s="152" t="s">
        <v>7</v>
      </c>
      <c r="E37" s="152" t="s">
        <v>579</v>
      </c>
      <c r="F37" s="152" t="s">
        <v>580</v>
      </c>
      <c r="G37" s="152" t="s">
        <v>605</v>
      </c>
      <c r="H37" s="166" t="s">
        <v>582</v>
      </c>
      <c r="I37" s="153" t="s">
        <v>305</v>
      </c>
      <c r="J37" s="152" t="s">
        <v>354</v>
      </c>
      <c r="O37" s="159"/>
      <c r="P37" s="159"/>
      <c r="Q37" s="170"/>
      <c r="R37" s="170"/>
      <c r="S37" s="159"/>
      <c r="T37" s="159"/>
    </row>
    <row r="38" spans="1:20" ht="26.4" customHeight="1" x14ac:dyDescent="0.25">
      <c r="A38" s="658">
        <v>5.3</v>
      </c>
      <c r="B38" s="658" t="s">
        <v>596</v>
      </c>
      <c r="C38" s="155" t="s">
        <v>618</v>
      </c>
      <c r="D38" s="155" t="s">
        <v>198</v>
      </c>
      <c r="E38" s="171">
        <v>3.2</v>
      </c>
      <c r="F38" s="171">
        <v>2.06</v>
      </c>
      <c r="G38" s="190">
        <v>0.62</v>
      </c>
      <c r="H38" s="189">
        <f>ROUND(F38/0.15,0)</f>
        <v>14</v>
      </c>
      <c r="I38" s="173">
        <f>H38*G38*E38</f>
        <v>27.78</v>
      </c>
      <c r="J38" s="191" t="s">
        <v>619</v>
      </c>
      <c r="O38" s="159"/>
      <c r="P38" s="159"/>
      <c r="Q38" s="170"/>
      <c r="R38" s="170"/>
      <c r="S38" s="159"/>
      <c r="T38" s="159"/>
    </row>
    <row r="39" spans="1:20" ht="46.8" customHeight="1" x14ac:dyDescent="0.25">
      <c r="A39" s="544"/>
      <c r="B39" s="544"/>
      <c r="C39" s="155" t="s">
        <v>620</v>
      </c>
      <c r="D39" s="155" t="s">
        <v>198</v>
      </c>
      <c r="E39" s="171">
        <v>3.2</v>
      </c>
      <c r="F39" s="171">
        <v>2.06</v>
      </c>
      <c r="G39" s="190">
        <v>0.62</v>
      </c>
      <c r="H39" s="189">
        <f>ROUND(E39/0.15,0)</f>
        <v>21</v>
      </c>
      <c r="I39" s="173">
        <f>H39*G39*F39</f>
        <v>26.82</v>
      </c>
      <c r="J39" s="191" t="s">
        <v>619</v>
      </c>
      <c r="O39" s="159"/>
      <c r="P39" s="159"/>
      <c r="Q39" s="170"/>
      <c r="R39" s="170"/>
      <c r="S39" s="159"/>
      <c r="T39" s="159"/>
    </row>
    <row r="40" spans="1:20" ht="17.25" customHeight="1" x14ac:dyDescent="0.25">
      <c r="B40" s="159"/>
      <c r="C40" s="159"/>
      <c r="D40" s="159"/>
      <c r="E40" s="159"/>
      <c r="F40" s="159"/>
      <c r="G40" s="160"/>
      <c r="H40" s="160"/>
      <c r="I40" s="162">
        <f>SUM(I38:I39)</f>
        <v>54.6</v>
      </c>
      <c r="J40" s="168" t="s">
        <v>198</v>
      </c>
    </row>
    <row r="41" spans="1:20" ht="15.75" customHeight="1" x14ac:dyDescent="0.25">
      <c r="C41" s="160"/>
      <c r="D41" s="670" t="s">
        <v>621</v>
      </c>
      <c r="E41" s="665"/>
      <c r="F41" s="665"/>
      <c r="G41" s="665"/>
      <c r="H41" s="665"/>
      <c r="I41" s="666"/>
      <c r="J41" s="162">
        <f>I40+J35+K31</f>
        <v>66.06</v>
      </c>
      <c r="K41" s="168" t="s">
        <v>198</v>
      </c>
    </row>
    <row r="42" spans="1:20" ht="15.75" customHeight="1" x14ac:dyDescent="0.25">
      <c r="C42" s="160"/>
      <c r="D42" s="161"/>
      <c r="E42" s="161"/>
      <c r="F42" s="161"/>
      <c r="G42" s="161"/>
      <c r="H42" s="161"/>
      <c r="I42" s="162"/>
      <c r="J42" s="163"/>
    </row>
    <row r="43" spans="1:20" ht="14.4" customHeight="1" x14ac:dyDescent="0.25">
      <c r="A43" s="664" t="s">
        <v>622</v>
      </c>
      <c r="B43" s="665"/>
      <c r="C43" s="665"/>
      <c r="D43" s="665"/>
      <c r="E43" s="665"/>
      <c r="F43" s="665"/>
      <c r="G43" s="665"/>
      <c r="H43" s="665"/>
      <c r="I43" s="666"/>
      <c r="J43" s="665"/>
      <c r="K43" s="666"/>
    </row>
    <row r="44" spans="1:20" x14ac:dyDescent="0.25">
      <c r="A44" s="152" t="s">
        <v>576</v>
      </c>
      <c r="B44" s="152" t="s">
        <v>577</v>
      </c>
      <c r="C44" s="152" t="s">
        <v>578</v>
      </c>
      <c r="D44" s="152" t="s">
        <v>7</v>
      </c>
      <c r="E44" s="152" t="s">
        <v>579</v>
      </c>
      <c r="F44" s="152" t="s">
        <v>580</v>
      </c>
      <c r="G44" s="152" t="s">
        <v>581</v>
      </c>
      <c r="H44" s="152" t="s">
        <v>582</v>
      </c>
      <c r="I44" s="153" t="s">
        <v>305</v>
      </c>
      <c r="J44" s="152" t="s">
        <v>354</v>
      </c>
    </row>
    <row r="45" spans="1:20" x14ac:dyDescent="0.25">
      <c r="A45" s="155"/>
      <c r="B45" s="155" t="s">
        <v>583</v>
      </c>
      <c r="C45" s="155"/>
      <c r="D45" s="155" t="s">
        <v>14</v>
      </c>
      <c r="E45" s="171">
        <v>3.4</v>
      </c>
      <c r="F45" s="155">
        <v>0.15</v>
      </c>
      <c r="G45" s="155">
        <v>2.1</v>
      </c>
      <c r="H45" s="155">
        <v>2</v>
      </c>
      <c r="I45" s="153">
        <f>H45*G45*F45*E45</f>
        <v>2.14</v>
      </c>
      <c r="J45" s="155"/>
    </row>
    <row r="46" spans="1:20" x14ac:dyDescent="0.25">
      <c r="A46" s="155"/>
      <c r="B46" s="155"/>
      <c r="C46" s="155"/>
      <c r="D46" s="155" t="s">
        <v>14</v>
      </c>
      <c r="E46" s="171">
        <v>2.2000000000000002</v>
      </c>
      <c r="F46" s="155">
        <v>0.15</v>
      </c>
      <c r="G46" s="155">
        <v>2.1</v>
      </c>
      <c r="H46" s="155">
        <v>2</v>
      </c>
      <c r="I46" s="153">
        <f>H46*G46*F46*E46</f>
        <v>1.39</v>
      </c>
      <c r="J46" s="155"/>
    </row>
    <row r="47" spans="1:20" x14ac:dyDescent="0.25">
      <c r="A47" s="155"/>
      <c r="B47" s="155"/>
      <c r="C47" s="155"/>
      <c r="D47" s="155" t="s">
        <v>14</v>
      </c>
      <c r="E47" s="171">
        <v>1.6</v>
      </c>
      <c r="F47" s="155">
        <v>0.15</v>
      </c>
      <c r="G47" s="155">
        <v>1.5</v>
      </c>
      <c r="H47" s="155">
        <v>3</v>
      </c>
      <c r="I47" s="153">
        <f>H47*G47*F47*E47</f>
        <v>1.08</v>
      </c>
      <c r="J47" s="155"/>
    </row>
    <row r="48" spans="1:20" x14ac:dyDescent="0.25">
      <c r="A48" s="155"/>
      <c r="B48" s="192"/>
      <c r="C48" s="172"/>
      <c r="D48" s="673" t="s">
        <v>623</v>
      </c>
      <c r="E48" s="516"/>
      <c r="F48" s="516"/>
      <c r="G48" s="516"/>
      <c r="H48" s="517"/>
      <c r="I48" s="173">
        <f>SUM(I45:I47)</f>
        <v>4.6100000000000003</v>
      </c>
      <c r="J48" s="176" t="s">
        <v>14</v>
      </c>
    </row>
    <row r="49" spans="1:16" x14ac:dyDescent="0.25">
      <c r="A49" s="663" t="s">
        <v>624</v>
      </c>
      <c r="B49" s="665"/>
      <c r="C49" s="665"/>
      <c r="D49" s="665"/>
      <c r="E49" s="665"/>
      <c r="F49" s="665"/>
      <c r="G49" s="665"/>
      <c r="H49" s="665"/>
      <c r="I49" s="666"/>
      <c r="J49" s="665"/>
      <c r="K49" s="666"/>
    </row>
    <row r="50" spans="1:16" x14ac:dyDescent="0.25">
      <c r="A50" s="152" t="s">
        <v>576</v>
      </c>
      <c r="B50" s="152" t="s">
        <v>577</v>
      </c>
      <c r="C50" s="152" t="s">
        <v>578</v>
      </c>
      <c r="D50" s="152" t="s">
        <v>7</v>
      </c>
      <c r="E50" s="152" t="s">
        <v>579</v>
      </c>
      <c r="F50" s="152" t="s">
        <v>581</v>
      </c>
      <c r="G50" s="152" t="s">
        <v>590</v>
      </c>
      <c r="H50" s="175" t="s">
        <v>625</v>
      </c>
      <c r="I50" s="153" t="s">
        <v>305</v>
      </c>
      <c r="J50" s="152" t="s">
        <v>354</v>
      </c>
    </row>
    <row r="51" spans="1:16" x14ac:dyDescent="0.25">
      <c r="A51" s="193"/>
      <c r="B51" s="155" t="s">
        <v>583</v>
      </c>
      <c r="C51" s="152"/>
      <c r="D51" s="155" t="s">
        <v>19</v>
      </c>
      <c r="E51" s="152">
        <v>3.4</v>
      </c>
      <c r="F51" s="152">
        <v>2.1</v>
      </c>
      <c r="G51" s="152"/>
      <c r="H51" s="153">
        <v>2</v>
      </c>
      <c r="I51" s="153">
        <f>H51*F51*E51</f>
        <v>14.28</v>
      </c>
      <c r="J51" s="192"/>
    </row>
    <row r="52" spans="1:16" x14ac:dyDescent="0.25">
      <c r="A52" s="193"/>
      <c r="B52" s="155" t="s">
        <v>583</v>
      </c>
      <c r="C52" s="152"/>
      <c r="D52" s="155" t="s">
        <v>19</v>
      </c>
      <c r="E52" s="152">
        <v>2.2000000000000002</v>
      </c>
      <c r="F52" s="152">
        <v>2.1</v>
      </c>
      <c r="G52" s="152"/>
      <c r="H52" s="153">
        <v>2</v>
      </c>
      <c r="I52" s="153">
        <f>H52*F52*E52</f>
        <v>9.24</v>
      </c>
      <c r="J52" s="192"/>
    </row>
    <row r="53" spans="1:16" x14ac:dyDescent="0.25">
      <c r="A53" s="193"/>
      <c r="B53" s="155" t="s">
        <v>583</v>
      </c>
      <c r="C53" s="152"/>
      <c r="D53" s="155" t="s">
        <v>19</v>
      </c>
      <c r="E53" s="152">
        <v>1.6</v>
      </c>
      <c r="F53" s="152">
        <v>2.1</v>
      </c>
      <c r="G53" s="152"/>
      <c r="H53" s="153">
        <v>6</v>
      </c>
      <c r="I53" s="153">
        <f>H53*F53*E53</f>
        <v>20.16</v>
      </c>
      <c r="J53" s="192"/>
    </row>
    <row r="54" spans="1:16" x14ac:dyDescent="0.25">
      <c r="A54" s="193"/>
      <c r="B54" s="155" t="s">
        <v>626</v>
      </c>
      <c r="C54" s="155"/>
      <c r="D54" s="155" t="s">
        <v>19</v>
      </c>
      <c r="E54" s="152">
        <v>6.9</v>
      </c>
      <c r="F54" s="152">
        <v>3</v>
      </c>
      <c r="G54" s="152"/>
      <c r="H54" s="173">
        <v>1</v>
      </c>
      <c r="I54" s="153">
        <f>H54*F54*E54</f>
        <v>20.7</v>
      </c>
      <c r="J54" s="192"/>
    </row>
    <row r="55" spans="1:16" s="165" customFormat="1" ht="16.2" customHeight="1" x14ac:dyDescent="0.25">
      <c r="A55" s="152"/>
      <c r="B55" s="671" t="s">
        <v>627</v>
      </c>
      <c r="C55" s="516"/>
      <c r="D55" s="516"/>
      <c r="E55" s="516"/>
      <c r="F55" s="516"/>
      <c r="G55" s="516"/>
      <c r="H55" s="517"/>
      <c r="I55" s="173">
        <f>SUM(I51:I54)</f>
        <v>64.38</v>
      </c>
      <c r="J55" s="194" t="s">
        <v>628</v>
      </c>
      <c r="K55" s="148"/>
      <c r="L55" s="148"/>
      <c r="M55" s="164"/>
      <c r="N55" s="164"/>
      <c r="O55" s="164"/>
      <c r="P55" s="164"/>
    </row>
  </sheetData>
  <mergeCells count="23">
    <mergeCell ref="D10:H10"/>
    <mergeCell ref="D41:I41"/>
    <mergeCell ref="B55:H55"/>
    <mergeCell ref="A11:K11"/>
    <mergeCell ref="A49:K49"/>
    <mergeCell ref="D48:H48"/>
    <mergeCell ref="A43:K43"/>
    <mergeCell ref="A1:K1"/>
    <mergeCell ref="B38:B39"/>
    <mergeCell ref="A13:J13"/>
    <mergeCell ref="B29:B30"/>
    <mergeCell ref="A32:I32"/>
    <mergeCell ref="A27:K27"/>
    <mergeCell ref="D17:H17"/>
    <mergeCell ref="A12:K12"/>
    <mergeCell ref="A36:J36"/>
    <mergeCell ref="A26:K26"/>
    <mergeCell ref="A7:J7"/>
    <mergeCell ref="A38:A39"/>
    <mergeCell ref="A21:J21"/>
    <mergeCell ref="A19:K19"/>
    <mergeCell ref="D5:H5"/>
    <mergeCell ref="A2:J2"/>
  </mergeCells>
  <pageMargins left="0.38" right="0.18" top="0.27" bottom="0.26"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137"/>
  <sheetViews>
    <sheetView workbookViewId="0"/>
  </sheetViews>
  <sheetFormatPr defaultRowHeight="13.2" x14ac:dyDescent="0.25"/>
  <cols>
    <col min="1" max="1" width="7" style="4" customWidth="1"/>
    <col min="2" max="2" width="11.21875" style="4" customWidth="1"/>
    <col min="3" max="3" width="44" style="4" customWidth="1"/>
    <col min="4" max="4" width="8.109375" style="4" customWidth="1"/>
    <col min="5" max="5" width="4" style="4" customWidth="1"/>
    <col min="6" max="6" width="9.44140625" style="4" customWidth="1"/>
    <col min="7" max="7" width="4" style="4" customWidth="1"/>
    <col min="8" max="8" width="9" style="4" customWidth="1"/>
    <col min="9" max="9" width="4" style="4" customWidth="1"/>
    <col min="10" max="10" width="9" style="4" customWidth="1"/>
    <col min="11" max="11" width="12" style="4" customWidth="1"/>
    <col min="12" max="12" width="7" style="4" customWidth="1"/>
    <col min="13" max="13" width="12" style="4" customWidth="1"/>
    <col min="14" max="14" width="14" style="4" customWidth="1"/>
  </cols>
  <sheetData>
    <row r="1" spans="1:14" ht="24" customHeight="1" x14ac:dyDescent="0.25">
      <c r="A1" s="682" t="s">
        <v>629</v>
      </c>
      <c r="B1" s="470"/>
      <c r="C1" s="470"/>
      <c r="D1" s="470"/>
      <c r="E1" s="470"/>
      <c r="F1" s="470"/>
      <c r="G1" s="470"/>
      <c r="H1" s="470"/>
      <c r="I1" s="470"/>
      <c r="J1" s="470"/>
      <c r="K1" s="470"/>
      <c r="L1" s="470"/>
      <c r="M1" s="470"/>
      <c r="N1" s="470"/>
    </row>
    <row r="2" spans="1:14" ht="18" customHeight="1" x14ac:dyDescent="0.25">
      <c r="A2" s="679" t="s">
        <v>630</v>
      </c>
      <c r="B2" s="470"/>
      <c r="C2" s="470"/>
      <c r="D2" s="470"/>
      <c r="E2" s="470"/>
      <c r="F2" s="470"/>
      <c r="G2" s="470"/>
      <c r="H2" s="470"/>
      <c r="I2" s="470"/>
      <c r="J2" s="470"/>
      <c r="K2" s="470"/>
      <c r="L2" s="470"/>
      <c r="M2" s="470"/>
      <c r="N2" s="470"/>
    </row>
    <row r="3" spans="1:14" ht="19.95" customHeight="1" x14ac:dyDescent="0.25">
      <c r="A3" s="683" t="s">
        <v>631</v>
      </c>
      <c r="B3" s="470"/>
      <c r="C3" s="470"/>
      <c r="D3" s="470"/>
      <c r="E3" s="470"/>
      <c r="F3" s="470"/>
      <c r="G3" s="470"/>
      <c r="H3" s="470"/>
      <c r="I3" s="470"/>
      <c r="J3" s="470"/>
      <c r="K3" s="470"/>
      <c r="L3" s="470"/>
      <c r="M3" s="470"/>
      <c r="N3" s="470"/>
    </row>
    <row r="4" spans="1:14" ht="25.95" customHeight="1" x14ac:dyDescent="0.25">
      <c r="A4" s="397" t="s">
        <v>3</v>
      </c>
      <c r="B4" s="397" t="s">
        <v>4</v>
      </c>
      <c r="C4" s="397" t="s">
        <v>5</v>
      </c>
      <c r="D4" s="397" t="s">
        <v>582</v>
      </c>
      <c r="E4" s="397" t="s">
        <v>13</v>
      </c>
      <c r="F4" s="397" t="s">
        <v>579</v>
      </c>
      <c r="G4" s="397" t="s">
        <v>13</v>
      </c>
      <c r="H4" s="397" t="s">
        <v>580</v>
      </c>
      <c r="I4" s="397" t="s">
        <v>13</v>
      </c>
      <c r="J4" s="397" t="s">
        <v>581</v>
      </c>
      <c r="K4" s="397" t="s">
        <v>6</v>
      </c>
      <c r="L4" s="397" t="s">
        <v>7</v>
      </c>
      <c r="M4" s="397" t="s">
        <v>8</v>
      </c>
      <c r="N4" s="397" t="s">
        <v>9</v>
      </c>
    </row>
    <row r="5" spans="1:14" ht="6" customHeight="1" x14ac:dyDescent="0.25"/>
    <row r="6" spans="1:14" ht="24" customHeight="1" x14ac:dyDescent="0.25">
      <c r="A6" s="678">
        <v>1</v>
      </c>
      <c r="B6" s="678" t="s">
        <v>632</v>
      </c>
      <c r="C6" s="398" t="s">
        <v>633</v>
      </c>
      <c r="D6" s="399"/>
      <c r="E6" s="399"/>
      <c r="F6" s="399"/>
      <c r="G6" s="399"/>
      <c r="H6" s="399"/>
      <c r="I6" s="399"/>
      <c r="J6" s="399"/>
      <c r="K6" s="399"/>
      <c r="L6" s="399"/>
      <c r="M6" s="399"/>
      <c r="N6" s="399"/>
    </row>
    <row r="7" spans="1:14" ht="18" customHeight="1" x14ac:dyDescent="0.25">
      <c r="A7" s="465"/>
      <c r="B7" s="465"/>
      <c r="C7" s="400" t="s">
        <v>65</v>
      </c>
      <c r="D7" s="399"/>
      <c r="E7" s="399"/>
      <c r="F7" s="399"/>
      <c r="G7" s="399"/>
      <c r="H7" s="399"/>
      <c r="I7" s="399"/>
      <c r="J7" s="399"/>
      <c r="K7" s="399"/>
      <c r="L7" s="399"/>
      <c r="M7" s="399"/>
      <c r="N7" s="399"/>
    </row>
    <row r="8" spans="1:14" ht="18" customHeight="1" x14ac:dyDescent="0.25">
      <c r="A8" s="465"/>
      <c r="B8" s="465"/>
      <c r="C8" s="401" t="s">
        <v>66</v>
      </c>
      <c r="D8" s="402">
        <v>1</v>
      </c>
      <c r="E8" s="402" t="s">
        <v>13</v>
      </c>
      <c r="F8" s="404">
        <v>22.303999999999998</v>
      </c>
      <c r="G8" s="399"/>
      <c r="H8" s="399"/>
      <c r="I8" s="402" t="s">
        <v>13</v>
      </c>
      <c r="J8" s="404">
        <v>3.05</v>
      </c>
      <c r="K8" s="404">
        <f>D8*F8*J8</f>
        <v>68.03</v>
      </c>
      <c r="L8" s="402" t="s">
        <v>67</v>
      </c>
      <c r="M8" s="399"/>
      <c r="N8" s="399"/>
    </row>
    <row r="9" spans="1:14" ht="18" customHeight="1" x14ac:dyDescent="0.25">
      <c r="A9" s="465"/>
      <c r="B9" s="465"/>
      <c r="C9" s="401" t="s">
        <v>68</v>
      </c>
      <c r="D9" s="402">
        <v>-1</v>
      </c>
      <c r="E9" s="402" t="s">
        <v>13</v>
      </c>
      <c r="F9" s="403">
        <v>1.2</v>
      </c>
      <c r="G9" s="399"/>
      <c r="H9" s="399"/>
      <c r="I9" s="402" t="s">
        <v>13</v>
      </c>
      <c r="J9" s="404">
        <v>2.1</v>
      </c>
      <c r="K9" s="404">
        <f>D9*F9*J9</f>
        <v>-2.52</v>
      </c>
      <c r="L9" s="402" t="s">
        <v>67</v>
      </c>
      <c r="M9" s="399"/>
      <c r="N9" s="399"/>
    </row>
    <row r="10" spans="1:14" ht="18" customHeight="1" x14ac:dyDescent="0.25">
      <c r="A10" s="465"/>
      <c r="B10" s="465"/>
      <c r="C10" s="401" t="s">
        <v>69</v>
      </c>
      <c r="D10" s="402">
        <v>-2</v>
      </c>
      <c r="E10" s="402" t="s">
        <v>13</v>
      </c>
      <c r="F10" s="403">
        <v>1.5</v>
      </c>
      <c r="G10" s="399"/>
      <c r="H10" s="399"/>
      <c r="I10" s="402" t="s">
        <v>13</v>
      </c>
      <c r="J10" s="404">
        <v>1.8</v>
      </c>
      <c r="K10" s="404">
        <f>D10*F10*J10</f>
        <v>-5.4</v>
      </c>
      <c r="L10" s="402" t="s">
        <v>67</v>
      </c>
      <c r="M10" s="399"/>
      <c r="N10" s="399"/>
    </row>
    <row r="11" spans="1:14" ht="18" customHeight="1" x14ac:dyDescent="0.25">
      <c r="A11" s="465"/>
      <c r="B11" s="465"/>
      <c r="C11" s="400" t="s">
        <v>70</v>
      </c>
      <c r="D11" s="399"/>
      <c r="E11" s="399"/>
      <c r="F11" s="399"/>
      <c r="G11" s="399"/>
      <c r="H11" s="399"/>
      <c r="I11" s="399"/>
      <c r="J11" s="399"/>
      <c r="K11" s="399"/>
      <c r="L11" s="399"/>
      <c r="M11" s="399"/>
      <c r="N11" s="399"/>
    </row>
    <row r="12" spans="1:14" ht="18" customHeight="1" x14ac:dyDescent="0.25">
      <c r="A12" s="465"/>
      <c r="B12" s="465"/>
      <c r="C12" s="401" t="s">
        <v>71</v>
      </c>
      <c r="D12" s="402">
        <v>1</v>
      </c>
      <c r="E12" s="402" t="s">
        <v>13</v>
      </c>
      <c r="F12" s="404">
        <v>24.015999999999998</v>
      </c>
      <c r="G12" s="399"/>
      <c r="H12" s="399"/>
      <c r="I12" s="402" t="s">
        <v>13</v>
      </c>
      <c r="J12" s="404">
        <v>3.05</v>
      </c>
      <c r="K12" s="404">
        <f>D12*F12*J12</f>
        <v>73.25</v>
      </c>
      <c r="L12" s="402" t="s">
        <v>67</v>
      </c>
      <c r="M12" s="399"/>
      <c r="N12" s="399"/>
    </row>
    <row r="13" spans="1:14" ht="18" customHeight="1" x14ac:dyDescent="0.25">
      <c r="A13" s="465"/>
      <c r="B13" s="465"/>
      <c r="C13" s="401" t="s">
        <v>68</v>
      </c>
      <c r="D13" s="402">
        <v>-1</v>
      </c>
      <c r="E13" s="402" t="s">
        <v>13</v>
      </c>
      <c r="F13" s="403">
        <v>1.2</v>
      </c>
      <c r="G13" s="399"/>
      <c r="H13" s="399"/>
      <c r="I13" s="402" t="s">
        <v>13</v>
      </c>
      <c r="J13" s="404">
        <v>2.1</v>
      </c>
      <c r="K13" s="404">
        <f>D13*F13*J13</f>
        <v>-2.52</v>
      </c>
      <c r="L13" s="402" t="s">
        <v>67</v>
      </c>
      <c r="M13" s="399"/>
      <c r="N13" s="399"/>
    </row>
    <row r="14" spans="1:14" ht="18" customHeight="1" x14ac:dyDescent="0.25">
      <c r="A14" s="465"/>
      <c r="B14" s="465"/>
      <c r="C14" s="401" t="s">
        <v>72</v>
      </c>
      <c r="D14" s="402">
        <v>-3</v>
      </c>
      <c r="E14" s="402" t="s">
        <v>13</v>
      </c>
      <c r="F14" s="403">
        <v>1.5</v>
      </c>
      <c r="G14" s="399"/>
      <c r="H14" s="399"/>
      <c r="I14" s="402" t="s">
        <v>13</v>
      </c>
      <c r="J14" s="404">
        <v>1.8</v>
      </c>
      <c r="K14" s="404">
        <f>D14*F14*J14</f>
        <v>-8.1</v>
      </c>
      <c r="L14" s="402" t="s">
        <v>67</v>
      </c>
      <c r="M14" s="399"/>
      <c r="N14" s="399"/>
    </row>
    <row r="15" spans="1:14" ht="18" customHeight="1" x14ac:dyDescent="0.25">
      <c r="A15" s="465"/>
      <c r="B15" s="465"/>
      <c r="C15" s="400" t="s">
        <v>73</v>
      </c>
      <c r="D15" s="399"/>
      <c r="E15" s="399"/>
      <c r="F15" s="399"/>
      <c r="G15" s="399"/>
      <c r="H15" s="399"/>
      <c r="I15" s="399"/>
      <c r="J15" s="399"/>
      <c r="K15" s="399"/>
      <c r="L15" s="399"/>
      <c r="M15" s="399"/>
      <c r="N15" s="399"/>
    </row>
    <row r="16" spans="1:14" ht="18" customHeight="1" x14ac:dyDescent="0.25">
      <c r="A16" s="465"/>
      <c r="B16" s="465"/>
      <c r="C16" s="401" t="s">
        <v>74</v>
      </c>
      <c r="D16" s="402">
        <v>1</v>
      </c>
      <c r="E16" s="402" t="s">
        <v>13</v>
      </c>
      <c r="F16" s="404">
        <v>20.312000000000001</v>
      </c>
      <c r="G16" s="399"/>
      <c r="H16" s="399"/>
      <c r="I16" s="402" t="s">
        <v>13</v>
      </c>
      <c r="J16" s="404">
        <v>3.05</v>
      </c>
      <c r="K16" s="404">
        <f>D16*F16*J16</f>
        <v>61.95</v>
      </c>
      <c r="L16" s="402" t="s">
        <v>67</v>
      </c>
      <c r="M16" s="399"/>
      <c r="N16" s="399"/>
    </row>
    <row r="17" spans="1:14" ht="18" customHeight="1" x14ac:dyDescent="0.25">
      <c r="A17" s="465"/>
      <c r="B17" s="465"/>
      <c r="C17" s="401" t="s">
        <v>68</v>
      </c>
      <c r="D17" s="402">
        <v>-1</v>
      </c>
      <c r="E17" s="402" t="s">
        <v>13</v>
      </c>
      <c r="F17" s="403">
        <v>1.2</v>
      </c>
      <c r="G17" s="399"/>
      <c r="H17" s="399"/>
      <c r="I17" s="402" t="s">
        <v>13</v>
      </c>
      <c r="J17" s="404">
        <v>2.1</v>
      </c>
      <c r="K17" s="404">
        <f>D17*F17*J17</f>
        <v>-2.52</v>
      </c>
      <c r="L17" s="402" t="s">
        <v>67</v>
      </c>
      <c r="M17" s="399"/>
      <c r="N17" s="399"/>
    </row>
    <row r="18" spans="1:14" ht="18" customHeight="1" x14ac:dyDescent="0.25">
      <c r="A18" s="465"/>
      <c r="B18" s="465"/>
      <c r="C18" s="401" t="s">
        <v>75</v>
      </c>
      <c r="D18" s="402">
        <v>-1</v>
      </c>
      <c r="E18" s="402" t="s">
        <v>13</v>
      </c>
      <c r="F18" s="403">
        <v>1.5</v>
      </c>
      <c r="G18" s="399"/>
      <c r="H18" s="399"/>
      <c r="I18" s="402" t="s">
        <v>13</v>
      </c>
      <c r="J18" s="404">
        <v>1.8</v>
      </c>
      <c r="K18" s="404">
        <f>D18*F18*J18</f>
        <v>-2.7</v>
      </c>
      <c r="L18" s="402" t="s">
        <v>67</v>
      </c>
      <c r="M18" s="399"/>
      <c r="N18" s="399"/>
    </row>
    <row r="19" spans="1:14" ht="18" customHeight="1" x14ac:dyDescent="0.25">
      <c r="A19" s="465"/>
      <c r="B19" s="465"/>
      <c r="C19" s="400" t="s">
        <v>76</v>
      </c>
      <c r="D19" s="399"/>
      <c r="E19" s="399"/>
      <c r="F19" s="399"/>
      <c r="G19" s="399"/>
      <c r="H19" s="399"/>
      <c r="I19" s="399"/>
      <c r="J19" s="399"/>
      <c r="K19" s="399"/>
      <c r="L19" s="399"/>
      <c r="M19" s="399"/>
      <c r="N19" s="399"/>
    </row>
    <row r="20" spans="1:14" ht="18" customHeight="1" x14ac:dyDescent="0.25">
      <c r="A20" s="465"/>
      <c r="B20" s="465"/>
      <c r="C20" s="401" t="s">
        <v>77</v>
      </c>
      <c r="D20" s="402">
        <v>1</v>
      </c>
      <c r="E20" s="402" t="s">
        <v>13</v>
      </c>
      <c r="F20" s="404">
        <v>19.111999999999998</v>
      </c>
      <c r="G20" s="399"/>
      <c r="H20" s="399"/>
      <c r="I20" s="402" t="s">
        <v>13</v>
      </c>
      <c r="J20" s="404">
        <v>3.05</v>
      </c>
      <c r="K20" s="404">
        <f>D20*F20*J20</f>
        <v>58.29</v>
      </c>
      <c r="L20" s="402" t="s">
        <v>67</v>
      </c>
      <c r="M20" s="399"/>
      <c r="N20" s="399"/>
    </row>
    <row r="21" spans="1:14" ht="18" customHeight="1" x14ac:dyDescent="0.25">
      <c r="A21" s="465"/>
      <c r="B21" s="465"/>
      <c r="C21" s="401" t="s">
        <v>68</v>
      </c>
      <c r="D21" s="402">
        <v>-1</v>
      </c>
      <c r="E21" s="402" t="s">
        <v>13</v>
      </c>
      <c r="F21" s="403">
        <v>1.2</v>
      </c>
      <c r="G21" s="399"/>
      <c r="H21" s="399"/>
      <c r="I21" s="402" t="s">
        <v>13</v>
      </c>
      <c r="J21" s="404">
        <v>2.1</v>
      </c>
      <c r="K21" s="404">
        <f>D21*F21*J21</f>
        <v>-2.52</v>
      </c>
      <c r="L21" s="402" t="s">
        <v>67</v>
      </c>
      <c r="M21" s="399"/>
      <c r="N21" s="399"/>
    </row>
    <row r="22" spans="1:14" ht="18" customHeight="1" x14ac:dyDescent="0.25">
      <c r="A22" s="465"/>
      <c r="B22" s="465"/>
      <c r="C22" s="401" t="s">
        <v>75</v>
      </c>
      <c r="D22" s="402">
        <v>-1</v>
      </c>
      <c r="E22" s="402" t="s">
        <v>13</v>
      </c>
      <c r="F22" s="403">
        <v>1.5</v>
      </c>
      <c r="G22" s="399"/>
      <c r="H22" s="399"/>
      <c r="I22" s="402" t="s">
        <v>13</v>
      </c>
      <c r="J22" s="404">
        <v>1.8</v>
      </c>
      <c r="K22" s="404">
        <f>D22*F22*J22</f>
        <v>-2.7</v>
      </c>
      <c r="L22" s="402" t="s">
        <v>67</v>
      </c>
      <c r="M22" s="399"/>
      <c r="N22" s="399"/>
    </row>
    <row r="23" spans="1:14" ht="18" customHeight="1" x14ac:dyDescent="0.25">
      <c r="A23" s="465"/>
      <c r="B23" s="465"/>
      <c r="C23" s="400" t="s">
        <v>78</v>
      </c>
      <c r="D23" s="399"/>
      <c r="E23" s="399"/>
      <c r="F23" s="399"/>
      <c r="G23" s="399"/>
      <c r="H23" s="399"/>
      <c r="I23" s="399"/>
      <c r="J23" s="399"/>
      <c r="K23" s="399"/>
      <c r="L23" s="399"/>
      <c r="M23" s="399"/>
      <c r="N23" s="399"/>
    </row>
    <row r="24" spans="1:14" ht="18" customHeight="1" x14ac:dyDescent="0.25">
      <c r="A24" s="465"/>
      <c r="B24" s="465"/>
      <c r="C24" s="401" t="s">
        <v>74</v>
      </c>
      <c r="D24" s="402">
        <v>1</v>
      </c>
      <c r="E24" s="402" t="s">
        <v>13</v>
      </c>
      <c r="F24" s="404">
        <v>20.312000000000001</v>
      </c>
      <c r="G24" s="399"/>
      <c r="H24" s="399"/>
      <c r="I24" s="402" t="s">
        <v>13</v>
      </c>
      <c r="J24" s="404">
        <v>3.05</v>
      </c>
      <c r="K24" s="404">
        <f>D24*F24*J24</f>
        <v>61.95</v>
      </c>
      <c r="L24" s="402" t="s">
        <v>67</v>
      </c>
      <c r="M24" s="399"/>
      <c r="N24" s="399"/>
    </row>
    <row r="25" spans="1:14" ht="18" customHeight="1" x14ac:dyDescent="0.25">
      <c r="A25" s="465"/>
      <c r="B25" s="465"/>
      <c r="C25" s="401" t="s">
        <v>68</v>
      </c>
      <c r="D25" s="402">
        <v>-1</v>
      </c>
      <c r="E25" s="402" t="s">
        <v>13</v>
      </c>
      <c r="F25" s="403">
        <v>1.2</v>
      </c>
      <c r="G25" s="399"/>
      <c r="H25" s="399"/>
      <c r="I25" s="402" t="s">
        <v>13</v>
      </c>
      <c r="J25" s="404">
        <v>2.1</v>
      </c>
      <c r="K25" s="404">
        <f>D25*F25*J25</f>
        <v>-2.52</v>
      </c>
      <c r="L25" s="402" t="s">
        <v>67</v>
      </c>
      <c r="M25" s="399"/>
      <c r="N25" s="399"/>
    </row>
    <row r="26" spans="1:14" ht="18" customHeight="1" x14ac:dyDescent="0.25">
      <c r="A26" s="465"/>
      <c r="B26" s="465"/>
      <c r="C26" s="401" t="s">
        <v>75</v>
      </c>
      <c r="D26" s="402">
        <v>-1</v>
      </c>
      <c r="E26" s="402" t="s">
        <v>13</v>
      </c>
      <c r="F26" s="403">
        <v>1.5</v>
      </c>
      <c r="G26" s="399"/>
      <c r="H26" s="399"/>
      <c r="I26" s="402" t="s">
        <v>13</v>
      </c>
      <c r="J26" s="404">
        <v>1.8</v>
      </c>
      <c r="K26" s="404">
        <f>D26*F26*J26</f>
        <v>-2.7</v>
      </c>
      <c r="L26" s="402" t="s">
        <v>67</v>
      </c>
      <c r="M26" s="399"/>
      <c r="N26" s="399"/>
    </row>
    <row r="27" spans="1:14" ht="18" customHeight="1" x14ac:dyDescent="0.25">
      <c r="A27" s="465"/>
      <c r="B27" s="465"/>
      <c r="C27" s="400" t="s">
        <v>79</v>
      </c>
      <c r="D27" s="399"/>
      <c r="E27" s="399"/>
      <c r="F27" s="399"/>
      <c r="G27" s="399"/>
      <c r="H27" s="399"/>
      <c r="I27" s="399"/>
      <c r="J27" s="399"/>
      <c r="K27" s="399"/>
      <c r="L27" s="399"/>
      <c r="M27" s="399"/>
      <c r="N27" s="399"/>
    </row>
    <row r="28" spans="1:14" ht="18" customHeight="1" x14ac:dyDescent="0.25">
      <c r="A28" s="465"/>
      <c r="B28" s="465"/>
      <c r="C28" s="401" t="s">
        <v>80</v>
      </c>
      <c r="D28" s="402">
        <v>1</v>
      </c>
      <c r="E28" s="402" t="s">
        <v>13</v>
      </c>
      <c r="F28" s="404">
        <v>21.776</v>
      </c>
      <c r="G28" s="399"/>
      <c r="H28" s="399"/>
      <c r="I28" s="402" t="s">
        <v>13</v>
      </c>
      <c r="J28" s="404">
        <v>3.05</v>
      </c>
      <c r="K28" s="404">
        <f>D28*F28*J28</f>
        <v>66.42</v>
      </c>
      <c r="L28" s="402" t="s">
        <v>67</v>
      </c>
      <c r="M28" s="399"/>
      <c r="N28" s="399"/>
    </row>
    <row r="29" spans="1:14" ht="18" customHeight="1" x14ac:dyDescent="0.25">
      <c r="A29" s="465"/>
      <c r="B29" s="465"/>
      <c r="C29" s="401" t="s">
        <v>81</v>
      </c>
      <c r="D29" s="402">
        <v>-1</v>
      </c>
      <c r="E29" s="402" t="s">
        <v>13</v>
      </c>
      <c r="F29" s="403">
        <v>1.5</v>
      </c>
      <c r="G29" s="399"/>
      <c r="H29" s="399"/>
      <c r="I29" s="402" t="s">
        <v>13</v>
      </c>
      <c r="J29" s="404">
        <v>2.1</v>
      </c>
      <c r="K29" s="404">
        <f>D29*F29*J29</f>
        <v>-3.15</v>
      </c>
      <c r="L29" s="402" t="s">
        <v>67</v>
      </c>
      <c r="M29" s="399"/>
      <c r="N29" s="399"/>
    </row>
    <row r="30" spans="1:14" ht="18" customHeight="1" x14ac:dyDescent="0.25">
      <c r="A30" s="465"/>
      <c r="B30" s="465"/>
      <c r="C30" s="401" t="s">
        <v>82</v>
      </c>
      <c r="D30" s="402">
        <v>-1</v>
      </c>
      <c r="E30" s="402" t="s">
        <v>13</v>
      </c>
      <c r="F30" s="403">
        <v>1.5</v>
      </c>
      <c r="G30" s="399"/>
      <c r="H30" s="399"/>
      <c r="I30" s="402" t="s">
        <v>13</v>
      </c>
      <c r="J30" s="404">
        <v>1.8</v>
      </c>
      <c r="K30" s="404">
        <f>D30*F30*J30</f>
        <v>-2.7</v>
      </c>
      <c r="L30" s="402" t="s">
        <v>67</v>
      </c>
      <c r="M30" s="399"/>
      <c r="N30" s="399"/>
    </row>
    <row r="31" spans="1:14" ht="18" customHeight="1" x14ac:dyDescent="0.25">
      <c r="A31" s="465"/>
      <c r="B31" s="465"/>
      <c r="C31" s="400" t="s">
        <v>83</v>
      </c>
      <c r="D31" s="399"/>
      <c r="E31" s="399"/>
      <c r="F31" s="399"/>
      <c r="G31" s="399"/>
      <c r="H31" s="399"/>
      <c r="I31" s="399"/>
      <c r="J31" s="399"/>
      <c r="K31" s="399"/>
      <c r="L31" s="399"/>
      <c r="M31" s="399"/>
      <c r="N31" s="399"/>
    </row>
    <row r="32" spans="1:14" ht="18" customHeight="1" x14ac:dyDescent="0.25">
      <c r="A32" s="465"/>
      <c r="B32" s="465"/>
      <c r="C32" s="401" t="s">
        <v>84</v>
      </c>
      <c r="D32" s="402">
        <v>1</v>
      </c>
      <c r="E32" s="402" t="s">
        <v>13</v>
      </c>
      <c r="F32" s="404">
        <v>11.055999999999999</v>
      </c>
      <c r="G32" s="399"/>
      <c r="H32" s="399"/>
      <c r="I32" s="402" t="s">
        <v>13</v>
      </c>
      <c r="J32" s="404">
        <v>3.05</v>
      </c>
      <c r="K32" s="404">
        <f>D32*F32*J32</f>
        <v>33.72</v>
      </c>
      <c r="L32" s="402" t="s">
        <v>67</v>
      </c>
      <c r="M32" s="399"/>
      <c r="N32" s="399"/>
    </row>
    <row r="33" spans="1:14" ht="18" customHeight="1" x14ac:dyDescent="0.25">
      <c r="A33" s="465"/>
      <c r="B33" s="465"/>
      <c r="C33" s="401" t="s">
        <v>85</v>
      </c>
      <c r="D33" s="402">
        <v>-1</v>
      </c>
      <c r="E33" s="402" t="s">
        <v>13</v>
      </c>
      <c r="F33" s="403">
        <v>0.9</v>
      </c>
      <c r="G33" s="399"/>
      <c r="H33" s="399"/>
      <c r="I33" s="402" t="s">
        <v>13</v>
      </c>
      <c r="J33" s="404">
        <v>2.1</v>
      </c>
      <c r="K33" s="404">
        <f>D33*F33*J33</f>
        <v>-1.89</v>
      </c>
      <c r="L33" s="402" t="s">
        <v>67</v>
      </c>
      <c r="M33" s="399"/>
      <c r="N33" s="399"/>
    </row>
    <row r="34" spans="1:14" ht="18" customHeight="1" x14ac:dyDescent="0.25">
      <c r="A34" s="465"/>
      <c r="B34" s="465"/>
      <c r="C34" s="401" t="s">
        <v>86</v>
      </c>
      <c r="D34" s="402">
        <v>-1</v>
      </c>
      <c r="E34" s="402" t="s">
        <v>13</v>
      </c>
      <c r="F34" s="403">
        <v>0.6</v>
      </c>
      <c r="G34" s="399"/>
      <c r="H34" s="399"/>
      <c r="I34" s="402" t="s">
        <v>13</v>
      </c>
      <c r="J34" s="404">
        <v>0.6</v>
      </c>
      <c r="K34" s="404">
        <f>D34*F34*J34</f>
        <v>-0.36</v>
      </c>
      <c r="L34" s="402" t="s">
        <v>67</v>
      </c>
      <c r="M34" s="399"/>
      <c r="N34" s="399"/>
    </row>
    <row r="35" spans="1:14" ht="18" customHeight="1" x14ac:dyDescent="0.25">
      <c r="A35" s="465"/>
      <c r="B35" s="465"/>
      <c r="C35" s="400" t="s">
        <v>87</v>
      </c>
      <c r="D35" s="399"/>
      <c r="E35" s="399"/>
      <c r="F35" s="399"/>
      <c r="G35" s="399"/>
      <c r="H35" s="399"/>
      <c r="I35" s="399"/>
      <c r="J35" s="399"/>
      <c r="K35" s="399"/>
      <c r="L35" s="399"/>
      <c r="M35" s="399"/>
      <c r="N35" s="399"/>
    </row>
    <row r="36" spans="1:14" ht="18" customHeight="1" x14ac:dyDescent="0.25">
      <c r="A36" s="465"/>
      <c r="B36" s="465"/>
      <c r="C36" s="401" t="s">
        <v>88</v>
      </c>
      <c r="D36" s="402">
        <v>1</v>
      </c>
      <c r="E36" s="402" t="s">
        <v>13</v>
      </c>
      <c r="F36" s="404">
        <v>19.481999999999999</v>
      </c>
      <c r="G36" s="399"/>
      <c r="H36" s="399"/>
      <c r="I36" s="402" t="s">
        <v>13</v>
      </c>
      <c r="J36" s="404">
        <v>3.05</v>
      </c>
      <c r="K36" s="404">
        <f>D36*F36*J36</f>
        <v>59.42</v>
      </c>
      <c r="L36" s="402" t="s">
        <v>67</v>
      </c>
      <c r="M36" s="399"/>
      <c r="N36" s="399"/>
    </row>
    <row r="37" spans="1:14" ht="18" customHeight="1" x14ac:dyDescent="0.25">
      <c r="A37" s="465"/>
      <c r="B37" s="465"/>
      <c r="C37" s="401" t="s">
        <v>89</v>
      </c>
      <c r="D37" s="402">
        <v>2</v>
      </c>
      <c r="E37" s="402" t="s">
        <v>13</v>
      </c>
      <c r="F37" s="403">
        <v>3</v>
      </c>
      <c r="G37" s="399"/>
      <c r="H37" s="399"/>
      <c r="I37" s="402" t="s">
        <v>13</v>
      </c>
      <c r="J37" s="404">
        <v>3.05</v>
      </c>
      <c r="K37" s="404">
        <f>D37*F37*J37</f>
        <v>18.3</v>
      </c>
      <c r="L37" s="402" t="s">
        <v>67</v>
      </c>
      <c r="M37" s="399"/>
      <c r="N37" s="399"/>
    </row>
    <row r="38" spans="1:14" ht="18" customHeight="1" x14ac:dyDescent="0.25">
      <c r="A38" s="465"/>
      <c r="B38" s="465"/>
      <c r="C38" s="401" t="s">
        <v>90</v>
      </c>
      <c r="D38" s="402">
        <v>-1</v>
      </c>
      <c r="E38" s="402" t="s">
        <v>13</v>
      </c>
      <c r="F38" s="403">
        <v>1.2</v>
      </c>
      <c r="G38" s="399"/>
      <c r="H38" s="399"/>
      <c r="I38" s="402" t="s">
        <v>13</v>
      </c>
      <c r="J38" s="404">
        <v>2.1</v>
      </c>
      <c r="K38" s="404">
        <f>D38*F38*J38</f>
        <v>-2.52</v>
      </c>
      <c r="L38" s="402" t="s">
        <v>67</v>
      </c>
      <c r="M38" s="399"/>
      <c r="N38" s="399"/>
    </row>
    <row r="39" spans="1:14" ht="18" customHeight="1" x14ac:dyDescent="0.25">
      <c r="A39" s="465"/>
      <c r="B39" s="465"/>
      <c r="C39" s="401" t="s">
        <v>91</v>
      </c>
      <c r="D39" s="402">
        <v>-1</v>
      </c>
      <c r="E39" s="402" t="s">
        <v>13</v>
      </c>
      <c r="F39" s="403">
        <v>0.9</v>
      </c>
      <c r="G39" s="399"/>
      <c r="H39" s="399"/>
      <c r="I39" s="402" t="s">
        <v>13</v>
      </c>
      <c r="J39" s="404">
        <v>2.1</v>
      </c>
      <c r="K39" s="404">
        <f>D39*F39*J39</f>
        <v>-1.89</v>
      </c>
      <c r="L39" s="402" t="s">
        <v>67</v>
      </c>
      <c r="M39" s="399"/>
      <c r="N39" s="399"/>
    </row>
    <row r="40" spans="1:14" ht="18" customHeight="1" x14ac:dyDescent="0.25">
      <c r="A40" s="465"/>
      <c r="B40" s="465"/>
      <c r="C40" s="401" t="s">
        <v>69</v>
      </c>
      <c r="D40" s="402">
        <v>-2</v>
      </c>
      <c r="E40" s="402" t="s">
        <v>13</v>
      </c>
      <c r="F40" s="403">
        <v>1.5</v>
      </c>
      <c r="G40" s="399"/>
      <c r="H40" s="399"/>
      <c r="I40" s="402" t="s">
        <v>13</v>
      </c>
      <c r="J40" s="404">
        <v>1.8</v>
      </c>
      <c r="K40" s="404">
        <f>D40*F40*J40</f>
        <v>-5.4</v>
      </c>
      <c r="L40" s="402" t="s">
        <v>67</v>
      </c>
      <c r="M40" s="399"/>
      <c r="N40" s="399"/>
    </row>
    <row r="41" spans="1:14" ht="18" customHeight="1" x14ac:dyDescent="0.25">
      <c r="A41" s="465"/>
      <c r="B41" s="465"/>
      <c r="C41" s="400" t="s">
        <v>92</v>
      </c>
      <c r="D41" s="399"/>
      <c r="E41" s="399"/>
      <c r="F41" s="399"/>
      <c r="G41" s="399"/>
      <c r="H41" s="399"/>
      <c r="I41" s="399"/>
      <c r="J41" s="399"/>
      <c r="K41" s="399"/>
      <c r="L41" s="399"/>
      <c r="M41" s="399"/>
      <c r="N41" s="399"/>
    </row>
    <row r="42" spans="1:14" ht="18" customHeight="1" x14ac:dyDescent="0.25">
      <c r="A42" s="465"/>
      <c r="B42" s="465"/>
      <c r="C42" s="401" t="s">
        <v>93</v>
      </c>
      <c r="D42" s="402">
        <v>1</v>
      </c>
      <c r="E42" s="402" t="s">
        <v>13</v>
      </c>
      <c r="F42" s="404">
        <v>16.582000000000001</v>
      </c>
      <c r="G42" s="399"/>
      <c r="H42" s="399"/>
      <c r="I42" s="402" t="s">
        <v>13</v>
      </c>
      <c r="J42" s="404">
        <v>3.05</v>
      </c>
      <c r="K42" s="404">
        <f>D42*F42*J42</f>
        <v>50.58</v>
      </c>
      <c r="L42" s="402" t="s">
        <v>67</v>
      </c>
      <c r="M42" s="399"/>
      <c r="N42" s="399"/>
    </row>
    <row r="43" spans="1:14" ht="18" customHeight="1" x14ac:dyDescent="0.25">
      <c r="A43" s="465"/>
      <c r="B43" s="465"/>
      <c r="C43" s="401" t="s">
        <v>90</v>
      </c>
      <c r="D43" s="402">
        <v>-1</v>
      </c>
      <c r="E43" s="402" t="s">
        <v>13</v>
      </c>
      <c r="F43" s="403">
        <v>1.2</v>
      </c>
      <c r="G43" s="399"/>
      <c r="H43" s="399"/>
      <c r="I43" s="402" t="s">
        <v>13</v>
      </c>
      <c r="J43" s="404">
        <v>2.1</v>
      </c>
      <c r="K43" s="404">
        <f>D43*F43*J43</f>
        <v>-2.52</v>
      </c>
      <c r="L43" s="402" t="s">
        <v>67</v>
      </c>
      <c r="M43" s="399"/>
      <c r="N43" s="399"/>
    </row>
    <row r="44" spans="1:14" ht="18" customHeight="1" x14ac:dyDescent="0.25">
      <c r="A44" s="465"/>
      <c r="B44" s="465"/>
      <c r="C44" s="401" t="s">
        <v>94</v>
      </c>
      <c r="D44" s="402">
        <v>-1</v>
      </c>
      <c r="E44" s="402" t="s">
        <v>13</v>
      </c>
      <c r="F44" s="403">
        <v>1.5</v>
      </c>
      <c r="G44" s="399"/>
      <c r="H44" s="399"/>
      <c r="I44" s="402" t="s">
        <v>13</v>
      </c>
      <c r="J44" s="404">
        <v>1.8</v>
      </c>
      <c r="K44" s="404">
        <f>D44*F44*J44</f>
        <v>-2.7</v>
      </c>
      <c r="L44" s="402" t="s">
        <v>67</v>
      </c>
      <c r="M44" s="399"/>
      <c r="N44" s="399"/>
    </row>
    <row r="45" spans="1:14" ht="18" customHeight="1" x14ac:dyDescent="0.25">
      <c r="A45" s="465"/>
      <c r="B45" s="465"/>
      <c r="C45" s="400" t="s">
        <v>95</v>
      </c>
      <c r="D45" s="399"/>
      <c r="E45" s="399"/>
      <c r="F45" s="399"/>
      <c r="G45" s="399"/>
      <c r="H45" s="399"/>
      <c r="I45" s="399"/>
      <c r="J45" s="399"/>
      <c r="K45" s="399"/>
      <c r="L45" s="399"/>
      <c r="M45" s="399"/>
      <c r="N45" s="399"/>
    </row>
    <row r="46" spans="1:14" ht="18" customHeight="1" x14ac:dyDescent="0.25">
      <c r="A46" s="465"/>
      <c r="B46" s="465"/>
      <c r="C46" s="401" t="s">
        <v>96</v>
      </c>
      <c r="D46" s="402">
        <v>1</v>
      </c>
      <c r="E46" s="402" t="s">
        <v>13</v>
      </c>
      <c r="F46" s="404">
        <v>12.56</v>
      </c>
      <c r="G46" s="399"/>
      <c r="H46" s="399"/>
      <c r="I46" s="402" t="s">
        <v>13</v>
      </c>
      <c r="J46" s="404">
        <v>3.05</v>
      </c>
      <c r="K46" s="404">
        <f>D46*F46*J46</f>
        <v>38.31</v>
      </c>
      <c r="L46" s="402" t="s">
        <v>67</v>
      </c>
      <c r="M46" s="399"/>
      <c r="N46" s="399"/>
    </row>
    <row r="47" spans="1:14" ht="18" customHeight="1" x14ac:dyDescent="0.25">
      <c r="A47" s="465"/>
      <c r="B47" s="465"/>
      <c r="C47" s="401" t="s">
        <v>81</v>
      </c>
      <c r="D47" s="402">
        <v>-1</v>
      </c>
      <c r="E47" s="402" t="s">
        <v>13</v>
      </c>
      <c r="F47" s="403">
        <v>1.5</v>
      </c>
      <c r="G47" s="399"/>
      <c r="H47" s="399"/>
      <c r="I47" s="402" t="s">
        <v>13</v>
      </c>
      <c r="J47" s="404">
        <v>2.1</v>
      </c>
      <c r="K47" s="404">
        <f>D47*F47*J47</f>
        <v>-3.15</v>
      </c>
      <c r="L47" s="402" t="s">
        <v>67</v>
      </c>
      <c r="M47" s="399"/>
      <c r="N47" s="399"/>
    </row>
    <row r="48" spans="1:14" ht="18" customHeight="1" x14ac:dyDescent="0.25">
      <c r="A48" s="465"/>
      <c r="B48" s="465"/>
      <c r="C48" s="401" t="s">
        <v>94</v>
      </c>
      <c r="D48" s="402">
        <v>-1</v>
      </c>
      <c r="E48" s="402" t="s">
        <v>13</v>
      </c>
      <c r="F48" s="403">
        <v>1.5</v>
      </c>
      <c r="G48" s="399"/>
      <c r="H48" s="399"/>
      <c r="I48" s="402" t="s">
        <v>13</v>
      </c>
      <c r="J48" s="404">
        <v>1.8</v>
      </c>
      <c r="K48" s="404">
        <f>D48*F48*J48</f>
        <v>-2.7</v>
      </c>
      <c r="L48" s="402" t="s">
        <v>67</v>
      </c>
      <c r="M48" s="399"/>
      <c r="N48" s="399"/>
    </row>
    <row r="49" spans="1:14" ht="18" customHeight="1" x14ac:dyDescent="0.25">
      <c r="A49" s="465"/>
      <c r="B49" s="465"/>
      <c r="C49" s="400" t="s">
        <v>97</v>
      </c>
      <c r="D49" s="399"/>
      <c r="E49" s="399"/>
      <c r="F49" s="399"/>
      <c r="G49" s="399"/>
      <c r="H49" s="399"/>
      <c r="I49" s="399"/>
      <c r="J49" s="399"/>
      <c r="K49" s="399"/>
      <c r="L49" s="399"/>
      <c r="M49" s="399"/>
      <c r="N49" s="399"/>
    </row>
    <row r="50" spans="1:14" ht="18" customHeight="1" x14ac:dyDescent="0.25">
      <c r="A50" s="465"/>
      <c r="B50" s="465"/>
      <c r="C50" s="401" t="s">
        <v>98</v>
      </c>
      <c r="D50" s="402">
        <v>1</v>
      </c>
      <c r="E50" s="402" t="s">
        <v>13</v>
      </c>
      <c r="F50" s="404">
        <v>17.744</v>
      </c>
      <c r="G50" s="399"/>
      <c r="H50" s="399"/>
      <c r="I50" s="402" t="s">
        <v>13</v>
      </c>
      <c r="J50" s="404">
        <v>3.05</v>
      </c>
      <c r="K50" s="404">
        <f>D50*F50*J50</f>
        <v>54.12</v>
      </c>
      <c r="L50" s="402" t="s">
        <v>67</v>
      </c>
      <c r="M50" s="399"/>
      <c r="N50" s="399"/>
    </row>
    <row r="51" spans="1:14" ht="18" customHeight="1" x14ac:dyDescent="0.25">
      <c r="A51" s="465"/>
      <c r="B51" s="465"/>
      <c r="C51" s="401" t="s">
        <v>99</v>
      </c>
      <c r="D51" s="402">
        <v>-1</v>
      </c>
      <c r="E51" s="402" t="s">
        <v>13</v>
      </c>
      <c r="F51" s="403">
        <v>1.5</v>
      </c>
      <c r="G51" s="399"/>
      <c r="H51" s="399"/>
      <c r="I51" s="402" t="s">
        <v>13</v>
      </c>
      <c r="J51" s="404">
        <v>1.8</v>
      </c>
      <c r="K51" s="404">
        <f>D51*F51*J51</f>
        <v>-2.7</v>
      </c>
      <c r="L51" s="402" t="s">
        <v>67</v>
      </c>
      <c r="M51" s="399"/>
      <c r="N51" s="399"/>
    </row>
    <row r="52" spans="1:14" ht="18" customHeight="1" x14ac:dyDescent="0.25">
      <c r="A52" s="465"/>
      <c r="B52" s="465"/>
      <c r="C52" s="400" t="s">
        <v>100</v>
      </c>
      <c r="D52" s="399"/>
      <c r="E52" s="399"/>
      <c r="F52" s="399"/>
      <c r="G52" s="399"/>
      <c r="H52" s="399"/>
      <c r="I52" s="399"/>
      <c r="J52" s="399"/>
      <c r="K52" s="399"/>
      <c r="L52" s="399"/>
      <c r="M52" s="399"/>
      <c r="N52" s="399"/>
    </row>
    <row r="53" spans="1:14" ht="18" customHeight="1" x14ac:dyDescent="0.25">
      <c r="A53" s="465"/>
      <c r="B53" s="465"/>
      <c r="C53" s="401" t="s">
        <v>101</v>
      </c>
      <c r="D53" s="402">
        <v>1</v>
      </c>
      <c r="E53" s="402" t="s">
        <v>13</v>
      </c>
      <c r="F53" s="404">
        <v>45.231999999999999</v>
      </c>
      <c r="G53" s="399"/>
      <c r="H53" s="399"/>
      <c r="I53" s="402" t="s">
        <v>13</v>
      </c>
      <c r="J53" s="404">
        <v>3.05</v>
      </c>
      <c r="K53" s="404">
        <f>D53*F53*J53</f>
        <v>137.96</v>
      </c>
      <c r="L53" s="402" t="s">
        <v>67</v>
      </c>
      <c r="M53" s="399"/>
      <c r="N53" s="399"/>
    </row>
    <row r="54" spans="1:14" ht="18" customHeight="1" x14ac:dyDescent="0.25">
      <c r="A54" s="465"/>
      <c r="B54" s="465"/>
      <c r="C54" s="401" t="s">
        <v>102</v>
      </c>
      <c r="D54" s="402">
        <v>-6</v>
      </c>
      <c r="E54" s="402" t="s">
        <v>13</v>
      </c>
      <c r="F54" s="403">
        <v>1.2</v>
      </c>
      <c r="G54" s="399"/>
      <c r="H54" s="399"/>
      <c r="I54" s="402" t="s">
        <v>13</v>
      </c>
      <c r="J54" s="404">
        <v>2.1</v>
      </c>
      <c r="K54" s="404">
        <f>D54*F54*J54</f>
        <v>-15.12</v>
      </c>
      <c r="L54" s="402" t="s">
        <v>67</v>
      </c>
      <c r="M54" s="399"/>
      <c r="N54" s="399"/>
    </row>
    <row r="55" spans="1:14" ht="18" customHeight="1" x14ac:dyDescent="0.25">
      <c r="A55" s="465"/>
      <c r="B55" s="465"/>
      <c r="C55" s="401" t="s">
        <v>103</v>
      </c>
      <c r="D55" s="402">
        <v>-2</v>
      </c>
      <c r="E55" s="402" t="s">
        <v>13</v>
      </c>
      <c r="F55" s="403">
        <v>1.5</v>
      </c>
      <c r="G55" s="399"/>
      <c r="H55" s="399"/>
      <c r="I55" s="402" t="s">
        <v>13</v>
      </c>
      <c r="J55" s="404">
        <v>2.1</v>
      </c>
      <c r="K55" s="404">
        <f>D55*F55*J55</f>
        <v>-6.3</v>
      </c>
      <c r="L55" s="402" t="s">
        <v>67</v>
      </c>
      <c r="M55" s="399"/>
      <c r="N55" s="399"/>
    </row>
    <row r="56" spans="1:14" ht="18" customHeight="1" x14ac:dyDescent="0.25">
      <c r="A56" s="465"/>
      <c r="B56" s="465"/>
      <c r="C56" s="400" t="s">
        <v>634</v>
      </c>
      <c r="D56" s="399"/>
      <c r="E56" s="399"/>
      <c r="F56" s="399"/>
      <c r="G56" s="399"/>
      <c r="H56" s="399"/>
      <c r="I56" s="399"/>
      <c r="J56" s="399"/>
      <c r="K56" s="399"/>
      <c r="L56" s="399"/>
      <c r="M56" s="399"/>
      <c r="N56" s="399"/>
    </row>
    <row r="57" spans="1:14" ht="18" customHeight="1" x14ac:dyDescent="0.25">
      <c r="A57" s="465"/>
      <c r="B57" s="465"/>
      <c r="C57" s="401" t="s">
        <v>104</v>
      </c>
      <c r="D57" s="402">
        <v>5</v>
      </c>
      <c r="E57" s="402" t="s">
        <v>13</v>
      </c>
      <c r="F57" s="403">
        <v>5.6440000000000001</v>
      </c>
      <c r="G57" s="399"/>
      <c r="H57" s="399"/>
      <c r="I57" s="402" t="s">
        <v>13</v>
      </c>
      <c r="J57" s="404">
        <v>0.73</v>
      </c>
      <c r="K57" s="404">
        <f t="shared" ref="K57:K62" si="0">D57*F57*J57</f>
        <v>20.6</v>
      </c>
      <c r="L57" s="402" t="s">
        <v>67</v>
      </c>
      <c r="M57" s="399"/>
      <c r="N57" s="399"/>
    </row>
    <row r="58" spans="1:14" ht="18" customHeight="1" x14ac:dyDescent="0.25">
      <c r="A58" s="465"/>
      <c r="B58" s="465"/>
      <c r="C58" s="401" t="s">
        <v>105</v>
      </c>
      <c r="D58" s="402">
        <v>1</v>
      </c>
      <c r="E58" s="402" t="s">
        <v>13</v>
      </c>
      <c r="F58" s="403">
        <v>6.5</v>
      </c>
      <c r="G58" s="399"/>
      <c r="H58" s="399"/>
      <c r="I58" s="402" t="s">
        <v>13</v>
      </c>
      <c r="J58" s="404">
        <v>0.73</v>
      </c>
      <c r="K58" s="404">
        <f t="shared" si="0"/>
        <v>4.75</v>
      </c>
      <c r="L58" s="402" t="s">
        <v>67</v>
      </c>
      <c r="M58" s="399"/>
      <c r="N58" s="399"/>
    </row>
    <row r="59" spans="1:14" ht="18" customHeight="1" x14ac:dyDescent="0.25">
      <c r="A59" s="465"/>
      <c r="B59" s="465"/>
      <c r="C59" s="401" t="s">
        <v>106</v>
      </c>
      <c r="D59" s="402">
        <v>6</v>
      </c>
      <c r="E59" s="402" t="s">
        <v>13</v>
      </c>
      <c r="F59" s="403">
        <v>3.056</v>
      </c>
      <c r="G59" s="399"/>
      <c r="H59" s="399"/>
      <c r="I59" s="402" t="s">
        <v>13</v>
      </c>
      <c r="J59" s="404">
        <v>0.73</v>
      </c>
      <c r="K59" s="404">
        <f t="shared" si="0"/>
        <v>13.39</v>
      </c>
      <c r="L59" s="402" t="s">
        <v>67</v>
      </c>
      <c r="M59" s="399"/>
      <c r="N59" s="399"/>
    </row>
    <row r="60" spans="1:14" ht="18" customHeight="1" x14ac:dyDescent="0.25">
      <c r="A60" s="465"/>
      <c r="B60" s="465"/>
      <c r="C60" s="401" t="s">
        <v>107</v>
      </c>
      <c r="D60" s="402">
        <v>1</v>
      </c>
      <c r="E60" s="402" t="s">
        <v>13</v>
      </c>
      <c r="F60" s="404">
        <v>21.088000000000001</v>
      </c>
      <c r="G60" s="399"/>
      <c r="H60" s="399"/>
      <c r="I60" s="402" t="s">
        <v>13</v>
      </c>
      <c r="J60" s="404">
        <v>0.25</v>
      </c>
      <c r="K60" s="404">
        <f t="shared" si="0"/>
        <v>5.27</v>
      </c>
      <c r="L60" s="402" t="s">
        <v>67</v>
      </c>
      <c r="M60" s="399"/>
      <c r="N60" s="399"/>
    </row>
    <row r="61" spans="1:14" ht="18" customHeight="1" x14ac:dyDescent="0.25">
      <c r="A61" s="465"/>
      <c r="B61" s="465"/>
      <c r="C61" s="401" t="s">
        <v>108</v>
      </c>
      <c r="D61" s="402">
        <v>2</v>
      </c>
      <c r="E61" s="402" t="s">
        <v>13</v>
      </c>
      <c r="F61" s="403">
        <v>5.1310000000000002</v>
      </c>
      <c r="G61" s="399"/>
      <c r="H61" s="399"/>
      <c r="I61" s="402" t="s">
        <v>13</v>
      </c>
      <c r="J61" s="404">
        <v>0.73</v>
      </c>
      <c r="K61" s="404">
        <f t="shared" si="0"/>
        <v>7.49</v>
      </c>
      <c r="L61" s="402" t="s">
        <v>67</v>
      </c>
      <c r="M61" s="399"/>
      <c r="N61" s="399"/>
    </row>
    <row r="62" spans="1:14" ht="18" customHeight="1" x14ac:dyDescent="0.25">
      <c r="A62" s="465"/>
      <c r="B62" s="465"/>
      <c r="C62" s="401" t="s">
        <v>109</v>
      </c>
      <c r="D62" s="402">
        <v>2</v>
      </c>
      <c r="E62" s="402" t="s">
        <v>13</v>
      </c>
      <c r="F62" s="403">
        <v>3.2280000000000002</v>
      </c>
      <c r="G62" s="399"/>
      <c r="H62" s="399"/>
      <c r="I62" s="402" t="s">
        <v>13</v>
      </c>
      <c r="J62" s="404">
        <v>0.73</v>
      </c>
      <c r="K62" s="404">
        <f t="shared" si="0"/>
        <v>4.71</v>
      </c>
      <c r="L62" s="402" t="s">
        <v>67</v>
      </c>
      <c r="M62" s="399"/>
      <c r="N62" s="399"/>
    </row>
    <row r="63" spans="1:14" ht="18" customHeight="1" x14ac:dyDescent="0.25">
      <c r="A63" s="465"/>
      <c r="B63" s="465"/>
      <c r="C63" s="467" t="s">
        <v>110</v>
      </c>
      <c r="D63" s="462"/>
      <c r="E63" s="462"/>
      <c r="F63" s="462"/>
      <c r="G63" s="462"/>
      <c r="H63" s="462"/>
      <c r="I63" s="462"/>
      <c r="J63" s="463"/>
      <c r="K63" s="405">
        <f>ROUND(SUM(K7:K62), 2)</f>
        <v>751.21</v>
      </c>
      <c r="L63" s="406" t="s">
        <v>67</v>
      </c>
      <c r="M63" s="399"/>
      <c r="N63" s="399"/>
    </row>
    <row r="64" spans="1:14" ht="18" customHeight="1" x14ac:dyDescent="0.25">
      <c r="A64" s="465"/>
      <c r="B64" s="465"/>
      <c r="C64" s="401" t="s">
        <v>635</v>
      </c>
      <c r="D64" s="402">
        <v>1</v>
      </c>
      <c r="E64" s="402" t="s">
        <v>13</v>
      </c>
      <c r="F64" s="399"/>
      <c r="G64" s="399"/>
      <c r="H64" s="399"/>
      <c r="I64" s="399"/>
      <c r="J64" s="399"/>
      <c r="K64" s="404">
        <f>K63</f>
        <v>751.21</v>
      </c>
      <c r="L64" s="402" t="s">
        <v>67</v>
      </c>
      <c r="M64" s="399"/>
      <c r="N64" s="399"/>
    </row>
    <row r="65" spans="1:14" ht="19.95" customHeight="1" x14ac:dyDescent="0.25">
      <c r="A65" s="466"/>
      <c r="B65" s="466"/>
      <c r="C65" s="677" t="s">
        <v>636</v>
      </c>
      <c r="D65" s="675"/>
      <c r="E65" s="675"/>
      <c r="F65" s="675"/>
      <c r="G65" s="675"/>
      <c r="H65" s="675"/>
      <c r="I65" s="675"/>
      <c r="J65" s="676"/>
      <c r="K65" s="407">
        <f>ROUND(K63+K64, 2)</f>
        <v>1502.42</v>
      </c>
      <c r="L65" s="408" t="s">
        <v>67</v>
      </c>
      <c r="M65" s="409">
        <v>121.55</v>
      </c>
      <c r="N65" s="410">
        <f>ROUND(K65*M65, 2)</f>
        <v>182619.15</v>
      </c>
    </row>
    <row r="66" spans="1:14" ht="6" customHeight="1" x14ac:dyDescent="0.25"/>
    <row r="67" spans="1:14" ht="24" customHeight="1" x14ac:dyDescent="0.25">
      <c r="A67" s="678">
        <v>2</v>
      </c>
      <c r="B67" s="678" t="s">
        <v>632</v>
      </c>
      <c r="C67" s="398" t="s">
        <v>637</v>
      </c>
      <c r="D67" s="399"/>
      <c r="E67" s="399"/>
      <c r="F67" s="399"/>
      <c r="G67" s="399"/>
      <c r="H67" s="399"/>
      <c r="I67" s="399"/>
      <c r="J67" s="399"/>
      <c r="K67" s="399"/>
      <c r="L67" s="399"/>
      <c r="M67" s="399"/>
      <c r="N67" s="399"/>
    </row>
    <row r="68" spans="1:14" ht="18" customHeight="1" x14ac:dyDescent="0.25">
      <c r="A68" s="465"/>
      <c r="B68" s="465"/>
      <c r="C68" s="400" t="s">
        <v>112</v>
      </c>
      <c r="D68" s="399"/>
      <c r="E68" s="399"/>
      <c r="F68" s="399"/>
      <c r="G68" s="399"/>
      <c r="H68" s="399"/>
      <c r="I68" s="399"/>
      <c r="J68" s="399"/>
      <c r="K68" s="399"/>
      <c r="L68" s="399"/>
      <c r="M68" s="399"/>
      <c r="N68" s="399"/>
    </row>
    <row r="69" spans="1:14" ht="18" customHeight="1" x14ac:dyDescent="0.25">
      <c r="A69" s="465"/>
      <c r="B69" s="465"/>
      <c r="C69" s="401" t="s">
        <v>113</v>
      </c>
      <c r="D69" s="402">
        <v>1</v>
      </c>
      <c r="E69" s="402" t="s">
        <v>13</v>
      </c>
      <c r="F69" s="404">
        <v>30.783999999999999</v>
      </c>
      <c r="G69" s="399"/>
      <c r="H69" s="399"/>
      <c r="I69" s="402" t="s">
        <v>13</v>
      </c>
      <c r="J69" s="404">
        <v>3.05</v>
      </c>
      <c r="K69" s="404">
        <f t="shared" ref="K69:K74" si="1">D69*F69*J69</f>
        <v>93.89</v>
      </c>
      <c r="L69" s="402" t="s">
        <v>67</v>
      </c>
      <c r="M69" s="399"/>
      <c r="N69" s="399"/>
    </row>
    <row r="70" spans="1:14" ht="18" customHeight="1" x14ac:dyDescent="0.25">
      <c r="A70" s="465"/>
      <c r="B70" s="465"/>
      <c r="C70" s="401" t="s">
        <v>114</v>
      </c>
      <c r="D70" s="402">
        <v>-2</v>
      </c>
      <c r="E70" s="402" t="s">
        <v>13</v>
      </c>
      <c r="F70" s="403">
        <v>1.8</v>
      </c>
      <c r="G70" s="399"/>
      <c r="H70" s="399"/>
      <c r="I70" s="402" t="s">
        <v>13</v>
      </c>
      <c r="J70" s="404">
        <v>1.35</v>
      </c>
      <c r="K70" s="404">
        <f t="shared" si="1"/>
        <v>-4.8600000000000003</v>
      </c>
      <c r="L70" s="402" t="s">
        <v>67</v>
      </c>
      <c r="M70" s="399"/>
      <c r="N70" s="399"/>
    </row>
    <row r="71" spans="1:14" ht="18" customHeight="1" x14ac:dyDescent="0.25">
      <c r="A71" s="465"/>
      <c r="B71" s="465"/>
      <c r="C71" s="401" t="s">
        <v>115</v>
      </c>
      <c r="D71" s="402">
        <v>-2</v>
      </c>
      <c r="E71" s="402" t="s">
        <v>13</v>
      </c>
      <c r="F71" s="403">
        <v>1.8</v>
      </c>
      <c r="G71" s="399"/>
      <c r="H71" s="399"/>
      <c r="I71" s="402" t="s">
        <v>13</v>
      </c>
      <c r="J71" s="404">
        <v>1.35</v>
      </c>
      <c r="K71" s="404">
        <f t="shared" si="1"/>
        <v>-4.8600000000000003</v>
      </c>
      <c r="L71" s="402" t="s">
        <v>67</v>
      </c>
      <c r="M71" s="399"/>
      <c r="N71" s="399"/>
    </row>
    <row r="72" spans="1:14" ht="18" customHeight="1" x14ac:dyDescent="0.25">
      <c r="A72" s="465"/>
      <c r="B72" s="465"/>
      <c r="C72" s="401" t="s">
        <v>116</v>
      </c>
      <c r="D72" s="402">
        <v>-1</v>
      </c>
      <c r="E72" s="402" t="s">
        <v>13</v>
      </c>
      <c r="F72" s="403">
        <v>1.2</v>
      </c>
      <c r="G72" s="399"/>
      <c r="H72" s="399"/>
      <c r="I72" s="402" t="s">
        <v>13</v>
      </c>
      <c r="J72" s="404">
        <v>2.1</v>
      </c>
      <c r="K72" s="404">
        <f t="shared" si="1"/>
        <v>-2.52</v>
      </c>
      <c r="L72" s="402" t="s">
        <v>67</v>
      </c>
      <c r="M72" s="399"/>
      <c r="N72" s="399"/>
    </row>
    <row r="73" spans="1:14" ht="18" customHeight="1" x14ac:dyDescent="0.25">
      <c r="A73" s="465"/>
      <c r="B73" s="465"/>
      <c r="C73" s="401" t="s">
        <v>117</v>
      </c>
      <c r="D73" s="402">
        <v>-1</v>
      </c>
      <c r="E73" s="402" t="s">
        <v>13</v>
      </c>
      <c r="F73" s="403">
        <v>1.2</v>
      </c>
      <c r="G73" s="399"/>
      <c r="H73" s="399"/>
      <c r="I73" s="402" t="s">
        <v>13</v>
      </c>
      <c r="J73" s="404">
        <v>1.35</v>
      </c>
      <c r="K73" s="404">
        <f t="shared" si="1"/>
        <v>-1.62</v>
      </c>
      <c r="L73" s="402" t="s">
        <v>67</v>
      </c>
      <c r="M73" s="399"/>
      <c r="N73" s="399"/>
    </row>
    <row r="74" spans="1:14" ht="18" customHeight="1" x14ac:dyDescent="0.25">
      <c r="A74" s="465"/>
      <c r="B74" s="465"/>
      <c r="C74" s="401" t="s">
        <v>118</v>
      </c>
      <c r="D74" s="402">
        <v>-1</v>
      </c>
      <c r="E74" s="402" t="s">
        <v>13</v>
      </c>
      <c r="F74" s="403">
        <v>1.05</v>
      </c>
      <c r="G74" s="399"/>
      <c r="H74" s="399"/>
      <c r="I74" s="402" t="s">
        <v>13</v>
      </c>
      <c r="J74" s="404">
        <v>2.1</v>
      </c>
      <c r="K74" s="404">
        <f t="shared" si="1"/>
        <v>-2.21</v>
      </c>
      <c r="L74" s="402" t="s">
        <v>67</v>
      </c>
      <c r="M74" s="399"/>
      <c r="N74" s="399"/>
    </row>
    <row r="75" spans="1:14" ht="18" customHeight="1" x14ac:dyDescent="0.25">
      <c r="A75" s="465"/>
      <c r="B75" s="465"/>
      <c r="C75" s="400" t="s">
        <v>119</v>
      </c>
      <c r="D75" s="399"/>
      <c r="E75" s="399"/>
      <c r="F75" s="399"/>
      <c r="G75" s="399"/>
      <c r="H75" s="399"/>
      <c r="I75" s="399"/>
      <c r="J75" s="399"/>
      <c r="K75" s="399"/>
      <c r="L75" s="399"/>
      <c r="M75" s="399"/>
      <c r="N75" s="399"/>
    </row>
    <row r="76" spans="1:14" ht="18" customHeight="1" x14ac:dyDescent="0.25">
      <c r="A76" s="465"/>
      <c r="B76" s="465"/>
      <c r="C76" s="401" t="s">
        <v>120</v>
      </c>
      <c r="D76" s="402">
        <v>4</v>
      </c>
      <c r="E76" s="402" t="s">
        <v>13</v>
      </c>
      <c r="F76" s="403">
        <v>6.64</v>
      </c>
      <c r="G76" s="399"/>
      <c r="H76" s="399"/>
      <c r="I76" s="402" t="s">
        <v>13</v>
      </c>
      <c r="J76" s="404">
        <v>0.95</v>
      </c>
      <c r="K76" s="404">
        <f>D76*F76*J76</f>
        <v>25.23</v>
      </c>
      <c r="L76" s="402" t="s">
        <v>67</v>
      </c>
      <c r="M76" s="399"/>
      <c r="N76" s="399"/>
    </row>
    <row r="77" spans="1:14" ht="18" customHeight="1" x14ac:dyDescent="0.25">
      <c r="A77" s="465"/>
      <c r="B77" s="465"/>
      <c r="C77" s="401" t="s">
        <v>121</v>
      </c>
      <c r="D77" s="402">
        <v>4</v>
      </c>
      <c r="E77" s="402" t="s">
        <v>13</v>
      </c>
      <c r="F77" s="403">
        <v>1.5</v>
      </c>
      <c r="G77" s="399"/>
      <c r="H77" s="399"/>
      <c r="I77" s="402" t="s">
        <v>13</v>
      </c>
      <c r="J77" s="404">
        <v>0.95</v>
      </c>
      <c r="K77" s="404">
        <f>D77*F77*J77</f>
        <v>5.7</v>
      </c>
      <c r="L77" s="402" t="s">
        <v>67</v>
      </c>
      <c r="M77" s="399"/>
      <c r="N77" s="399"/>
    </row>
    <row r="78" spans="1:14" ht="18" customHeight="1" x14ac:dyDescent="0.25">
      <c r="A78" s="465"/>
      <c r="B78" s="465"/>
      <c r="C78" s="401" t="s">
        <v>122</v>
      </c>
      <c r="D78" s="402">
        <v>-4</v>
      </c>
      <c r="E78" s="402" t="s">
        <v>13</v>
      </c>
      <c r="F78" s="403">
        <v>0.6</v>
      </c>
      <c r="G78" s="399"/>
      <c r="H78" s="399"/>
      <c r="I78" s="402" t="s">
        <v>13</v>
      </c>
      <c r="J78" s="404">
        <v>0.6</v>
      </c>
      <c r="K78" s="404">
        <f>D78*F78*J78</f>
        <v>-1.44</v>
      </c>
      <c r="L78" s="402" t="s">
        <v>67</v>
      </c>
      <c r="M78" s="399"/>
      <c r="N78" s="399"/>
    </row>
    <row r="79" spans="1:14" ht="18" customHeight="1" x14ac:dyDescent="0.25">
      <c r="A79" s="465"/>
      <c r="B79" s="465"/>
      <c r="C79" s="400" t="s">
        <v>123</v>
      </c>
      <c r="D79" s="399"/>
      <c r="E79" s="399"/>
      <c r="F79" s="399"/>
      <c r="G79" s="399"/>
      <c r="H79" s="399"/>
      <c r="I79" s="399"/>
      <c r="J79" s="399"/>
      <c r="K79" s="399"/>
      <c r="L79" s="399"/>
      <c r="M79" s="399"/>
      <c r="N79" s="399"/>
    </row>
    <row r="80" spans="1:14" ht="18" customHeight="1" x14ac:dyDescent="0.25">
      <c r="A80" s="465"/>
      <c r="B80" s="465"/>
      <c r="C80" s="401" t="s">
        <v>124</v>
      </c>
      <c r="D80" s="402">
        <v>1</v>
      </c>
      <c r="E80" s="402" t="s">
        <v>13</v>
      </c>
      <c r="F80" s="403">
        <v>9.6780000000000008</v>
      </c>
      <c r="G80" s="399"/>
      <c r="H80" s="399"/>
      <c r="I80" s="402" t="s">
        <v>13</v>
      </c>
      <c r="J80" s="404">
        <v>3.05</v>
      </c>
      <c r="K80" s="404">
        <f>D80*F80*J80</f>
        <v>29.52</v>
      </c>
      <c r="L80" s="402" t="s">
        <v>67</v>
      </c>
      <c r="M80" s="399"/>
      <c r="N80" s="399"/>
    </row>
    <row r="81" spans="1:14" ht="18" customHeight="1" x14ac:dyDescent="0.25">
      <c r="A81" s="465"/>
      <c r="B81" s="465"/>
      <c r="C81" s="401" t="s">
        <v>125</v>
      </c>
      <c r="D81" s="402">
        <v>-4</v>
      </c>
      <c r="E81" s="402" t="s">
        <v>13</v>
      </c>
      <c r="F81" s="403">
        <v>0.75</v>
      </c>
      <c r="G81" s="399"/>
      <c r="H81" s="399"/>
      <c r="I81" s="402" t="s">
        <v>13</v>
      </c>
      <c r="J81" s="404">
        <v>2.1</v>
      </c>
      <c r="K81" s="404">
        <f>D81*F81*J81</f>
        <v>-6.3</v>
      </c>
      <c r="L81" s="402" t="s">
        <v>67</v>
      </c>
      <c r="M81" s="399"/>
      <c r="N81" s="399"/>
    </row>
    <row r="82" spans="1:14" ht="18" customHeight="1" x14ac:dyDescent="0.25">
      <c r="A82" s="465"/>
      <c r="B82" s="465"/>
      <c r="C82" s="400" t="s">
        <v>126</v>
      </c>
      <c r="D82" s="399"/>
      <c r="E82" s="399"/>
      <c r="F82" s="399"/>
      <c r="G82" s="399"/>
      <c r="H82" s="399"/>
      <c r="I82" s="399"/>
      <c r="J82" s="399"/>
      <c r="K82" s="399"/>
      <c r="L82" s="399"/>
      <c r="M82" s="399"/>
      <c r="N82" s="399"/>
    </row>
    <row r="83" spans="1:14" ht="18" customHeight="1" x14ac:dyDescent="0.25">
      <c r="A83" s="465"/>
      <c r="B83" s="465"/>
      <c r="C83" s="401" t="s">
        <v>127</v>
      </c>
      <c r="D83" s="402">
        <v>1</v>
      </c>
      <c r="E83" s="402" t="s">
        <v>13</v>
      </c>
      <c r="F83" s="403">
        <v>6.1</v>
      </c>
      <c r="G83" s="399"/>
      <c r="H83" s="399"/>
      <c r="I83" s="402" t="s">
        <v>13</v>
      </c>
      <c r="J83" s="404">
        <v>3.05</v>
      </c>
      <c r="K83" s="404">
        <f>D83*F83*J83</f>
        <v>18.61</v>
      </c>
      <c r="L83" s="402" t="s">
        <v>67</v>
      </c>
      <c r="M83" s="399"/>
      <c r="N83" s="399"/>
    </row>
    <row r="84" spans="1:14" ht="18" customHeight="1" x14ac:dyDescent="0.25">
      <c r="A84" s="465"/>
      <c r="B84" s="465"/>
      <c r="C84" s="401" t="s">
        <v>128</v>
      </c>
      <c r="D84" s="402">
        <v>-1</v>
      </c>
      <c r="E84" s="402" t="s">
        <v>13</v>
      </c>
      <c r="F84" s="403">
        <v>1.2</v>
      </c>
      <c r="G84" s="399"/>
      <c r="H84" s="399"/>
      <c r="I84" s="402" t="s">
        <v>13</v>
      </c>
      <c r="J84" s="404">
        <v>2.1</v>
      </c>
      <c r="K84" s="404">
        <f>D84*F84*J84</f>
        <v>-2.52</v>
      </c>
      <c r="L84" s="402" t="s">
        <v>67</v>
      </c>
      <c r="M84" s="399"/>
      <c r="N84" s="399"/>
    </row>
    <row r="85" spans="1:14" ht="18" customHeight="1" x14ac:dyDescent="0.25">
      <c r="A85" s="465"/>
      <c r="B85" s="465"/>
      <c r="C85" s="401" t="s">
        <v>129</v>
      </c>
      <c r="D85" s="402">
        <v>-1</v>
      </c>
      <c r="E85" s="402" t="s">
        <v>13</v>
      </c>
      <c r="F85" s="403">
        <v>1.2</v>
      </c>
      <c r="G85" s="399"/>
      <c r="H85" s="399"/>
      <c r="I85" s="402" t="s">
        <v>13</v>
      </c>
      <c r="J85" s="404">
        <v>1.35</v>
      </c>
      <c r="K85" s="404">
        <f>D85*F85*J85</f>
        <v>-1.62</v>
      </c>
      <c r="L85" s="402" t="s">
        <v>67</v>
      </c>
      <c r="M85" s="399"/>
      <c r="N85" s="399"/>
    </row>
    <row r="86" spans="1:14" ht="18" customHeight="1" x14ac:dyDescent="0.25">
      <c r="A86" s="465"/>
      <c r="B86" s="465"/>
      <c r="C86" s="400" t="s">
        <v>130</v>
      </c>
      <c r="D86" s="399"/>
      <c r="E86" s="399"/>
      <c r="F86" s="399"/>
      <c r="G86" s="399"/>
      <c r="H86" s="399"/>
      <c r="I86" s="399"/>
      <c r="J86" s="399"/>
      <c r="K86" s="399"/>
      <c r="L86" s="399"/>
      <c r="M86" s="399"/>
      <c r="N86" s="399"/>
    </row>
    <row r="87" spans="1:14" ht="18" customHeight="1" x14ac:dyDescent="0.25">
      <c r="A87" s="465"/>
      <c r="B87" s="465"/>
      <c r="C87" s="401" t="s">
        <v>131</v>
      </c>
      <c r="D87" s="402">
        <v>2</v>
      </c>
      <c r="E87" s="402" t="s">
        <v>13</v>
      </c>
      <c r="F87" s="403">
        <v>6.1</v>
      </c>
      <c r="G87" s="399"/>
      <c r="H87" s="399"/>
      <c r="I87" s="402" t="s">
        <v>13</v>
      </c>
      <c r="J87" s="404">
        <v>0.73</v>
      </c>
      <c r="K87" s="404">
        <f>D87*F87*J87</f>
        <v>8.91</v>
      </c>
      <c r="L87" s="402" t="s">
        <v>67</v>
      </c>
      <c r="M87" s="399"/>
      <c r="N87" s="399"/>
    </row>
    <row r="88" spans="1:14" ht="18" customHeight="1" x14ac:dyDescent="0.25">
      <c r="A88" s="465"/>
      <c r="B88" s="465"/>
      <c r="C88" s="401" t="s">
        <v>132</v>
      </c>
      <c r="D88" s="402">
        <v>1</v>
      </c>
      <c r="E88" s="402" t="s">
        <v>13</v>
      </c>
      <c r="F88" s="403">
        <v>9.2919999999999998</v>
      </c>
      <c r="G88" s="399"/>
      <c r="H88" s="399"/>
      <c r="I88" s="402" t="s">
        <v>13</v>
      </c>
      <c r="J88" s="404">
        <v>0.73</v>
      </c>
      <c r="K88" s="404">
        <f>D88*F88*J88</f>
        <v>6.78</v>
      </c>
      <c r="L88" s="402" t="s">
        <v>67</v>
      </c>
      <c r="M88" s="399"/>
      <c r="N88" s="399"/>
    </row>
    <row r="89" spans="1:14" ht="18" customHeight="1" x14ac:dyDescent="0.25">
      <c r="A89" s="465"/>
      <c r="B89" s="465"/>
      <c r="C89" s="401" t="s">
        <v>133</v>
      </c>
      <c r="D89" s="402">
        <v>2</v>
      </c>
      <c r="E89" s="402" t="s">
        <v>13</v>
      </c>
      <c r="F89" s="403">
        <v>3.6389999999999998</v>
      </c>
      <c r="G89" s="399"/>
      <c r="H89" s="399"/>
      <c r="I89" s="402" t="s">
        <v>13</v>
      </c>
      <c r="J89" s="404">
        <v>0.73</v>
      </c>
      <c r="K89" s="404">
        <f>D89*F89*J89</f>
        <v>5.31</v>
      </c>
      <c r="L89" s="402" t="s">
        <v>67</v>
      </c>
      <c r="M89" s="399"/>
      <c r="N89" s="399"/>
    </row>
    <row r="90" spans="1:14" ht="19.95" customHeight="1" x14ac:dyDescent="0.25">
      <c r="A90" s="466"/>
      <c r="B90" s="466"/>
      <c r="C90" s="677" t="s">
        <v>638</v>
      </c>
      <c r="D90" s="675"/>
      <c r="E90" s="675"/>
      <c r="F90" s="675"/>
      <c r="G90" s="675"/>
      <c r="H90" s="675"/>
      <c r="I90" s="675"/>
      <c r="J90" s="676"/>
      <c r="K90" s="407">
        <f>ROUND(SUM(K68:K89), 2)</f>
        <v>166</v>
      </c>
      <c r="L90" s="408" t="s">
        <v>67</v>
      </c>
      <c r="M90" s="409">
        <v>121.55</v>
      </c>
      <c r="N90" s="410">
        <f>ROUND(K90*M90, 2)</f>
        <v>20177.3</v>
      </c>
    </row>
    <row r="91" spans="1:14" ht="6" customHeight="1" x14ac:dyDescent="0.25"/>
    <row r="92" spans="1:14" ht="24" customHeight="1" x14ac:dyDescent="0.25">
      <c r="A92" s="678">
        <v>3</v>
      </c>
      <c r="B92" s="678" t="s">
        <v>632</v>
      </c>
      <c r="C92" s="398" t="s">
        <v>639</v>
      </c>
      <c r="D92" s="399"/>
      <c r="E92" s="399"/>
      <c r="F92" s="399"/>
      <c r="G92" s="399"/>
      <c r="H92" s="399"/>
      <c r="I92" s="399"/>
      <c r="J92" s="399"/>
      <c r="K92" s="399"/>
      <c r="L92" s="399"/>
      <c r="M92" s="399"/>
      <c r="N92" s="399"/>
    </row>
    <row r="93" spans="1:14" ht="18" customHeight="1" x14ac:dyDescent="0.25">
      <c r="A93" s="465"/>
      <c r="B93" s="465"/>
      <c r="C93" s="400" t="s">
        <v>135</v>
      </c>
      <c r="D93" s="399"/>
      <c r="E93" s="399"/>
      <c r="F93" s="399"/>
      <c r="G93" s="399"/>
      <c r="H93" s="399"/>
      <c r="I93" s="399"/>
      <c r="J93" s="399"/>
      <c r="K93" s="399"/>
      <c r="L93" s="399"/>
      <c r="M93" s="399"/>
      <c r="N93" s="399"/>
    </row>
    <row r="94" spans="1:14" ht="18" customHeight="1" x14ac:dyDescent="0.25">
      <c r="A94" s="465"/>
      <c r="B94" s="465"/>
      <c r="C94" s="401" t="s">
        <v>136</v>
      </c>
      <c r="D94" s="402">
        <v>1</v>
      </c>
      <c r="E94" s="402" t="s">
        <v>13</v>
      </c>
      <c r="F94" s="404">
        <v>25.216000000000001</v>
      </c>
      <c r="G94" s="399"/>
      <c r="H94" s="399"/>
      <c r="I94" s="402" t="s">
        <v>13</v>
      </c>
      <c r="J94" s="404">
        <v>3.05</v>
      </c>
      <c r="K94" s="404">
        <f>D94*F94*J94</f>
        <v>76.91</v>
      </c>
      <c r="L94" s="402" t="s">
        <v>67</v>
      </c>
      <c r="M94" s="399"/>
      <c r="N94" s="399"/>
    </row>
    <row r="95" spans="1:14" ht="18" customHeight="1" x14ac:dyDescent="0.25">
      <c r="A95" s="465"/>
      <c r="B95" s="465"/>
      <c r="C95" s="401" t="s">
        <v>137</v>
      </c>
      <c r="D95" s="402">
        <v>-1</v>
      </c>
      <c r="E95" s="402" t="s">
        <v>13</v>
      </c>
      <c r="F95" s="403">
        <v>1.2</v>
      </c>
      <c r="G95" s="399"/>
      <c r="H95" s="399"/>
      <c r="I95" s="402" t="s">
        <v>13</v>
      </c>
      <c r="J95" s="404">
        <v>2.1</v>
      </c>
      <c r="K95" s="404">
        <f>D95*F95*J95</f>
        <v>-2.52</v>
      </c>
      <c r="L95" s="402" t="s">
        <v>67</v>
      </c>
      <c r="M95" s="399"/>
      <c r="N95" s="399"/>
    </row>
    <row r="96" spans="1:14" ht="18" customHeight="1" x14ac:dyDescent="0.25">
      <c r="A96" s="465"/>
      <c r="B96" s="465"/>
      <c r="C96" s="401" t="s">
        <v>138</v>
      </c>
      <c r="D96" s="402">
        <v>-4</v>
      </c>
      <c r="E96" s="402" t="s">
        <v>13</v>
      </c>
      <c r="F96" s="403">
        <v>1.5</v>
      </c>
      <c r="G96" s="399"/>
      <c r="H96" s="399"/>
      <c r="I96" s="402" t="s">
        <v>13</v>
      </c>
      <c r="J96" s="404">
        <v>1.8</v>
      </c>
      <c r="K96" s="404">
        <f>D96*F96*J96</f>
        <v>-10.8</v>
      </c>
      <c r="L96" s="402" t="s">
        <v>67</v>
      </c>
      <c r="M96" s="399"/>
      <c r="N96" s="399"/>
    </row>
    <row r="97" spans="1:14" ht="18" customHeight="1" x14ac:dyDescent="0.25">
      <c r="A97" s="465"/>
      <c r="B97" s="465"/>
      <c r="C97" s="401" t="s">
        <v>139</v>
      </c>
      <c r="D97" s="402">
        <v>-2</v>
      </c>
      <c r="E97" s="402" t="s">
        <v>13</v>
      </c>
      <c r="F97" s="403">
        <v>1.2</v>
      </c>
      <c r="G97" s="399"/>
      <c r="H97" s="399"/>
      <c r="I97" s="402" t="s">
        <v>13</v>
      </c>
      <c r="J97" s="404">
        <v>1.8</v>
      </c>
      <c r="K97" s="404">
        <f>D97*F97*J97</f>
        <v>-4.32</v>
      </c>
      <c r="L97" s="402" t="s">
        <v>67</v>
      </c>
      <c r="M97" s="399"/>
      <c r="N97" s="399"/>
    </row>
    <row r="98" spans="1:14" ht="18" customHeight="1" x14ac:dyDescent="0.25">
      <c r="A98" s="465"/>
      <c r="B98" s="465"/>
      <c r="C98" s="401" t="s">
        <v>140</v>
      </c>
      <c r="D98" s="402">
        <v>-1</v>
      </c>
      <c r="E98" s="402" t="s">
        <v>13</v>
      </c>
      <c r="F98" s="403">
        <v>1.05</v>
      </c>
      <c r="G98" s="399"/>
      <c r="H98" s="399"/>
      <c r="I98" s="402" t="s">
        <v>13</v>
      </c>
      <c r="J98" s="404">
        <v>2.1</v>
      </c>
      <c r="K98" s="404">
        <f>D98*F98*J98</f>
        <v>-2.21</v>
      </c>
      <c r="L98" s="402" t="s">
        <v>67</v>
      </c>
      <c r="M98" s="399"/>
      <c r="N98" s="399"/>
    </row>
    <row r="99" spans="1:14" ht="18" customHeight="1" x14ac:dyDescent="0.25">
      <c r="A99" s="465"/>
      <c r="B99" s="465"/>
      <c r="C99" s="400" t="s">
        <v>141</v>
      </c>
      <c r="D99" s="399"/>
      <c r="E99" s="399"/>
      <c r="F99" s="399"/>
      <c r="G99" s="399"/>
      <c r="H99" s="399"/>
      <c r="I99" s="399"/>
      <c r="J99" s="399"/>
      <c r="K99" s="399"/>
      <c r="L99" s="399"/>
      <c r="M99" s="399"/>
      <c r="N99" s="399"/>
    </row>
    <row r="100" spans="1:14" ht="18" customHeight="1" x14ac:dyDescent="0.25">
      <c r="A100" s="465"/>
      <c r="B100" s="465"/>
      <c r="C100" s="401" t="s">
        <v>142</v>
      </c>
      <c r="D100" s="402">
        <v>1</v>
      </c>
      <c r="E100" s="402" t="s">
        <v>13</v>
      </c>
      <c r="F100" s="403">
        <v>9.0619999999999994</v>
      </c>
      <c r="G100" s="399"/>
      <c r="H100" s="399"/>
      <c r="I100" s="402" t="s">
        <v>13</v>
      </c>
      <c r="J100" s="404">
        <v>3.05</v>
      </c>
      <c r="K100" s="404">
        <f>D100*F100*J100</f>
        <v>27.64</v>
      </c>
      <c r="L100" s="402" t="s">
        <v>67</v>
      </c>
      <c r="M100" s="399"/>
      <c r="N100" s="399"/>
    </row>
    <row r="101" spans="1:14" ht="18" customHeight="1" x14ac:dyDescent="0.25">
      <c r="A101" s="465"/>
      <c r="B101" s="465"/>
      <c r="C101" s="401" t="s">
        <v>85</v>
      </c>
      <c r="D101" s="402">
        <v>-1</v>
      </c>
      <c r="E101" s="402" t="s">
        <v>13</v>
      </c>
      <c r="F101" s="403">
        <v>0.9</v>
      </c>
      <c r="G101" s="399"/>
      <c r="H101" s="399"/>
      <c r="I101" s="402" t="s">
        <v>13</v>
      </c>
      <c r="J101" s="404">
        <v>2.1</v>
      </c>
      <c r="K101" s="404">
        <f>D101*F101*J101</f>
        <v>-1.89</v>
      </c>
      <c r="L101" s="402" t="s">
        <v>67</v>
      </c>
      <c r="M101" s="399"/>
      <c r="N101" s="399"/>
    </row>
    <row r="102" spans="1:14" ht="18" customHeight="1" x14ac:dyDescent="0.25">
      <c r="A102" s="465"/>
      <c r="B102" s="465"/>
      <c r="C102" s="401" t="s">
        <v>86</v>
      </c>
      <c r="D102" s="402">
        <v>-1</v>
      </c>
      <c r="E102" s="402" t="s">
        <v>13</v>
      </c>
      <c r="F102" s="403">
        <v>0.6</v>
      </c>
      <c r="G102" s="399"/>
      <c r="H102" s="399"/>
      <c r="I102" s="402" t="s">
        <v>13</v>
      </c>
      <c r="J102" s="404">
        <v>0.6</v>
      </c>
      <c r="K102" s="404">
        <f>D102*F102*J102</f>
        <v>-0.36</v>
      </c>
      <c r="L102" s="402" t="s">
        <v>67</v>
      </c>
      <c r="M102" s="399"/>
      <c r="N102" s="399"/>
    </row>
    <row r="103" spans="1:14" ht="18" customHeight="1" x14ac:dyDescent="0.25">
      <c r="A103" s="465"/>
      <c r="B103" s="465"/>
      <c r="C103" s="400" t="s">
        <v>143</v>
      </c>
      <c r="D103" s="399"/>
      <c r="E103" s="399"/>
      <c r="F103" s="399"/>
      <c r="G103" s="399"/>
      <c r="H103" s="399"/>
      <c r="I103" s="399"/>
      <c r="J103" s="399"/>
      <c r="K103" s="399"/>
      <c r="L103" s="399"/>
      <c r="M103" s="399"/>
      <c r="N103" s="399"/>
    </row>
    <row r="104" spans="1:14" ht="18" customHeight="1" x14ac:dyDescent="0.25">
      <c r="A104" s="465"/>
      <c r="B104" s="465"/>
      <c r="C104" s="401" t="s">
        <v>144</v>
      </c>
      <c r="D104" s="402">
        <v>1</v>
      </c>
      <c r="E104" s="402" t="s">
        <v>13</v>
      </c>
      <c r="F104" s="403">
        <v>6.6</v>
      </c>
      <c r="G104" s="399"/>
      <c r="H104" s="399"/>
      <c r="I104" s="402" t="s">
        <v>13</v>
      </c>
      <c r="J104" s="404">
        <v>3.05</v>
      </c>
      <c r="K104" s="404">
        <f>D104*F104*J104</f>
        <v>20.13</v>
      </c>
      <c r="L104" s="402" t="s">
        <v>67</v>
      </c>
      <c r="M104" s="399"/>
      <c r="N104" s="399"/>
    </row>
    <row r="105" spans="1:14" ht="18" customHeight="1" x14ac:dyDescent="0.25">
      <c r="A105" s="465"/>
      <c r="B105" s="465"/>
      <c r="C105" s="401" t="s">
        <v>128</v>
      </c>
      <c r="D105" s="402">
        <v>-1</v>
      </c>
      <c r="E105" s="402" t="s">
        <v>13</v>
      </c>
      <c r="F105" s="403">
        <v>1.2</v>
      </c>
      <c r="G105" s="399"/>
      <c r="H105" s="399"/>
      <c r="I105" s="402" t="s">
        <v>13</v>
      </c>
      <c r="J105" s="404">
        <v>2.1</v>
      </c>
      <c r="K105" s="404">
        <f>D105*F105*J105</f>
        <v>-2.52</v>
      </c>
      <c r="L105" s="402" t="s">
        <v>67</v>
      </c>
      <c r="M105" s="399"/>
      <c r="N105" s="399"/>
    </row>
    <row r="106" spans="1:14" ht="18" customHeight="1" x14ac:dyDescent="0.25">
      <c r="A106" s="465"/>
      <c r="B106" s="465"/>
      <c r="C106" s="401" t="s">
        <v>145</v>
      </c>
      <c r="D106" s="402">
        <v>-2</v>
      </c>
      <c r="E106" s="402" t="s">
        <v>13</v>
      </c>
      <c r="F106" s="403">
        <v>1.2</v>
      </c>
      <c r="G106" s="399"/>
      <c r="H106" s="399"/>
      <c r="I106" s="402" t="s">
        <v>13</v>
      </c>
      <c r="J106" s="404">
        <v>1.8</v>
      </c>
      <c r="K106" s="404">
        <f>D106*F106*J106</f>
        <v>-4.32</v>
      </c>
      <c r="L106" s="402" t="s">
        <v>67</v>
      </c>
      <c r="M106" s="399"/>
      <c r="N106" s="399"/>
    </row>
    <row r="107" spans="1:14" ht="18" customHeight="1" x14ac:dyDescent="0.25">
      <c r="A107" s="465"/>
      <c r="B107" s="465"/>
      <c r="C107" s="400" t="s">
        <v>146</v>
      </c>
      <c r="D107" s="399"/>
      <c r="E107" s="399"/>
      <c r="F107" s="399"/>
      <c r="G107" s="399"/>
      <c r="H107" s="399"/>
      <c r="I107" s="399"/>
      <c r="J107" s="399"/>
      <c r="K107" s="399"/>
      <c r="L107" s="399"/>
      <c r="M107" s="399"/>
      <c r="N107" s="399"/>
    </row>
    <row r="108" spans="1:14" ht="18" customHeight="1" x14ac:dyDescent="0.25">
      <c r="A108" s="465"/>
      <c r="B108" s="465"/>
      <c r="C108" s="401" t="s">
        <v>147</v>
      </c>
      <c r="D108" s="402">
        <v>1</v>
      </c>
      <c r="E108" s="402" t="s">
        <v>13</v>
      </c>
      <c r="F108" s="403">
        <v>6.6</v>
      </c>
      <c r="G108" s="399"/>
      <c r="H108" s="399"/>
      <c r="I108" s="402" t="s">
        <v>13</v>
      </c>
      <c r="J108" s="404">
        <v>0.73</v>
      </c>
      <c r="K108" s="404">
        <f>D108*F108*J108</f>
        <v>4.82</v>
      </c>
      <c r="L108" s="402" t="s">
        <v>67</v>
      </c>
      <c r="M108" s="399"/>
      <c r="N108" s="399"/>
    </row>
    <row r="109" spans="1:14" ht="18" customHeight="1" x14ac:dyDescent="0.25">
      <c r="A109" s="465"/>
      <c r="B109" s="465"/>
      <c r="C109" s="401" t="s">
        <v>148</v>
      </c>
      <c r="D109" s="402">
        <v>1</v>
      </c>
      <c r="E109" s="402" t="s">
        <v>13</v>
      </c>
      <c r="F109" s="403">
        <v>6.008</v>
      </c>
      <c r="G109" s="399"/>
      <c r="H109" s="399"/>
      <c r="I109" s="402" t="s">
        <v>13</v>
      </c>
      <c r="J109" s="404">
        <v>0.73</v>
      </c>
      <c r="K109" s="404">
        <f>D109*F109*J109</f>
        <v>4.3899999999999997</v>
      </c>
      <c r="L109" s="402" t="s">
        <v>67</v>
      </c>
      <c r="M109" s="399"/>
      <c r="N109" s="399"/>
    </row>
    <row r="110" spans="1:14" ht="18" customHeight="1" x14ac:dyDescent="0.25">
      <c r="A110" s="465"/>
      <c r="B110" s="465"/>
      <c r="C110" s="401" t="s">
        <v>149</v>
      </c>
      <c r="D110" s="402">
        <v>1</v>
      </c>
      <c r="E110" s="402" t="s">
        <v>13</v>
      </c>
      <c r="F110" s="403">
        <v>2.2999999999999998</v>
      </c>
      <c r="G110" s="399"/>
      <c r="H110" s="399"/>
      <c r="I110" s="402" t="s">
        <v>13</v>
      </c>
      <c r="J110" s="404">
        <v>0.73</v>
      </c>
      <c r="K110" s="404">
        <f>D110*F110*J110</f>
        <v>1.68</v>
      </c>
      <c r="L110" s="402" t="s">
        <v>67</v>
      </c>
      <c r="M110" s="399"/>
      <c r="N110" s="399"/>
    </row>
    <row r="111" spans="1:14" ht="19.95" customHeight="1" x14ac:dyDescent="0.25">
      <c r="A111" s="466"/>
      <c r="B111" s="466"/>
      <c r="C111" s="677" t="s">
        <v>640</v>
      </c>
      <c r="D111" s="675"/>
      <c r="E111" s="675"/>
      <c r="F111" s="675"/>
      <c r="G111" s="675"/>
      <c r="H111" s="675"/>
      <c r="I111" s="675"/>
      <c r="J111" s="676"/>
      <c r="K111" s="407">
        <f>ROUND(SUM(K93:K110), 2)</f>
        <v>106.63</v>
      </c>
      <c r="L111" s="408" t="s">
        <v>67</v>
      </c>
      <c r="M111" s="409">
        <v>121.55</v>
      </c>
      <c r="N111" s="410">
        <f>ROUND(K111*M111, 2)</f>
        <v>12960.88</v>
      </c>
    </row>
    <row r="112" spans="1:14" ht="6" customHeight="1" x14ac:dyDescent="0.25"/>
    <row r="113" spans="1:14" ht="22.05" customHeight="1" x14ac:dyDescent="0.25">
      <c r="A113" s="680" t="s">
        <v>641</v>
      </c>
      <c r="B113" s="675"/>
      <c r="C113" s="675"/>
      <c r="D113" s="675"/>
      <c r="E113" s="675"/>
      <c r="F113" s="675"/>
      <c r="G113" s="675"/>
      <c r="H113" s="675"/>
      <c r="I113" s="675"/>
      <c r="J113" s="676"/>
      <c r="K113" s="411">
        <f>ROUND(K65+K90+K111, 2)</f>
        <v>1775.05</v>
      </c>
      <c r="L113" s="412" t="s">
        <v>67</v>
      </c>
      <c r="M113" s="413">
        <v>121.55</v>
      </c>
      <c r="N113" s="414">
        <f>ROUND(K113*M113, 2)</f>
        <v>215757.33</v>
      </c>
    </row>
    <row r="115" spans="1:14" ht="22.05" customHeight="1" x14ac:dyDescent="0.25">
      <c r="A115" s="681" t="s">
        <v>642</v>
      </c>
      <c r="B115" s="462"/>
      <c r="C115" s="462"/>
      <c r="D115" s="462"/>
      <c r="E115" s="462"/>
      <c r="F115" s="462"/>
      <c r="G115" s="462"/>
      <c r="H115" s="462"/>
      <c r="I115" s="462"/>
      <c r="J115" s="462"/>
      <c r="K115" s="462"/>
      <c r="L115" s="462"/>
      <c r="M115" s="462"/>
      <c r="N115" s="463"/>
    </row>
    <row r="116" spans="1:14" ht="18" customHeight="1" x14ac:dyDescent="0.25">
      <c r="A116" s="399"/>
      <c r="B116" s="399"/>
      <c r="C116" s="401" t="s">
        <v>643</v>
      </c>
      <c r="D116" s="402">
        <v>1</v>
      </c>
      <c r="E116" s="402" t="s">
        <v>13</v>
      </c>
      <c r="F116" s="403">
        <v>5.6440000000000001</v>
      </c>
      <c r="G116" s="402" t="s">
        <v>13</v>
      </c>
      <c r="H116" s="403">
        <v>5.508</v>
      </c>
      <c r="I116" s="399"/>
      <c r="J116" s="399"/>
      <c r="K116" s="404">
        <f t="shared" ref="K116:K134" si="2">D116*F116*H116</f>
        <v>31.09</v>
      </c>
      <c r="L116" s="402" t="s">
        <v>67</v>
      </c>
      <c r="M116" s="399"/>
      <c r="N116" s="399"/>
    </row>
    <row r="117" spans="1:14" ht="18" customHeight="1" x14ac:dyDescent="0.25">
      <c r="A117" s="399"/>
      <c r="B117" s="399"/>
      <c r="C117" s="401" t="s">
        <v>644</v>
      </c>
      <c r="D117" s="402">
        <v>1</v>
      </c>
      <c r="E117" s="402" t="s">
        <v>13</v>
      </c>
      <c r="F117" s="403">
        <v>6.5</v>
      </c>
      <c r="G117" s="402" t="s">
        <v>13</v>
      </c>
      <c r="H117" s="403">
        <v>5.508</v>
      </c>
      <c r="I117" s="399"/>
      <c r="J117" s="399"/>
      <c r="K117" s="404">
        <f t="shared" si="2"/>
        <v>35.799999999999997</v>
      </c>
      <c r="L117" s="402" t="s">
        <v>67</v>
      </c>
      <c r="M117" s="399"/>
      <c r="N117" s="399"/>
    </row>
    <row r="118" spans="1:14" ht="18" customHeight="1" x14ac:dyDescent="0.25">
      <c r="A118" s="399"/>
      <c r="B118" s="399"/>
      <c r="C118" s="401" t="s">
        <v>645</v>
      </c>
      <c r="D118" s="402">
        <v>1</v>
      </c>
      <c r="E118" s="402" t="s">
        <v>13</v>
      </c>
      <c r="F118" s="403">
        <v>5.6440000000000001</v>
      </c>
      <c r="G118" s="402" t="s">
        <v>13</v>
      </c>
      <c r="H118" s="403">
        <v>4.5119999999999996</v>
      </c>
      <c r="I118" s="399"/>
      <c r="J118" s="399"/>
      <c r="K118" s="404">
        <f t="shared" si="2"/>
        <v>25.47</v>
      </c>
      <c r="L118" s="402" t="s">
        <v>67</v>
      </c>
      <c r="M118" s="399"/>
      <c r="N118" s="399"/>
    </row>
    <row r="119" spans="1:14" ht="18" customHeight="1" x14ac:dyDescent="0.25">
      <c r="A119" s="399"/>
      <c r="B119" s="399"/>
      <c r="C119" s="401" t="s">
        <v>646</v>
      </c>
      <c r="D119" s="402">
        <v>1</v>
      </c>
      <c r="E119" s="402" t="s">
        <v>13</v>
      </c>
      <c r="F119" s="403">
        <v>5.6440000000000001</v>
      </c>
      <c r="G119" s="402" t="s">
        <v>13</v>
      </c>
      <c r="H119" s="403">
        <v>3.9119999999999999</v>
      </c>
      <c r="I119" s="399"/>
      <c r="J119" s="399"/>
      <c r="K119" s="404">
        <f t="shared" si="2"/>
        <v>22.08</v>
      </c>
      <c r="L119" s="402" t="s">
        <v>67</v>
      </c>
      <c r="M119" s="399"/>
      <c r="N119" s="399"/>
    </row>
    <row r="120" spans="1:14" ht="18" customHeight="1" x14ac:dyDescent="0.25">
      <c r="A120" s="399"/>
      <c r="B120" s="399"/>
      <c r="C120" s="401" t="s">
        <v>647</v>
      </c>
      <c r="D120" s="402">
        <v>1</v>
      </c>
      <c r="E120" s="402" t="s">
        <v>13</v>
      </c>
      <c r="F120" s="403">
        <v>5.6440000000000001</v>
      </c>
      <c r="G120" s="402" t="s">
        <v>13</v>
      </c>
      <c r="H120" s="403">
        <v>4.5119999999999996</v>
      </c>
      <c r="I120" s="399"/>
      <c r="J120" s="399"/>
      <c r="K120" s="404">
        <f t="shared" si="2"/>
        <v>25.47</v>
      </c>
      <c r="L120" s="402" t="s">
        <v>67</v>
      </c>
      <c r="M120" s="399"/>
      <c r="N120" s="399"/>
    </row>
    <row r="121" spans="1:14" ht="18" customHeight="1" x14ac:dyDescent="0.25">
      <c r="A121" s="399"/>
      <c r="B121" s="399"/>
      <c r="C121" s="401" t="s">
        <v>648</v>
      </c>
      <c r="D121" s="402">
        <v>1</v>
      </c>
      <c r="E121" s="402" t="s">
        <v>13</v>
      </c>
      <c r="F121" s="403">
        <v>7.944</v>
      </c>
      <c r="G121" s="402" t="s">
        <v>13</v>
      </c>
      <c r="H121" s="403">
        <v>2.944</v>
      </c>
      <c r="I121" s="399"/>
      <c r="J121" s="399"/>
      <c r="K121" s="404">
        <f t="shared" si="2"/>
        <v>23.39</v>
      </c>
      <c r="L121" s="402" t="s">
        <v>67</v>
      </c>
      <c r="M121" s="399"/>
      <c r="N121" s="399"/>
    </row>
    <row r="122" spans="1:14" ht="18" customHeight="1" x14ac:dyDescent="0.25">
      <c r="A122" s="399"/>
      <c r="B122" s="399"/>
      <c r="C122" s="401" t="s">
        <v>649</v>
      </c>
      <c r="D122" s="402">
        <v>1</v>
      </c>
      <c r="E122" s="402" t="s">
        <v>13</v>
      </c>
      <c r="F122" s="403">
        <v>2.2999999999999998</v>
      </c>
      <c r="G122" s="402" t="s">
        <v>13</v>
      </c>
      <c r="H122" s="403">
        <v>3.2280000000000002</v>
      </c>
      <c r="I122" s="399"/>
      <c r="J122" s="399"/>
      <c r="K122" s="404">
        <f t="shared" si="2"/>
        <v>7.42</v>
      </c>
      <c r="L122" s="402" t="s">
        <v>67</v>
      </c>
      <c r="M122" s="399"/>
      <c r="N122" s="399"/>
    </row>
    <row r="123" spans="1:14" ht="18" customHeight="1" x14ac:dyDescent="0.25">
      <c r="A123" s="399"/>
      <c r="B123" s="399"/>
      <c r="C123" s="401" t="s">
        <v>650</v>
      </c>
      <c r="D123" s="402">
        <v>1</v>
      </c>
      <c r="E123" s="402" t="s">
        <v>13</v>
      </c>
      <c r="F123" s="403">
        <v>5.1310000000000002</v>
      </c>
      <c r="G123" s="402" t="s">
        <v>13</v>
      </c>
      <c r="H123" s="403">
        <v>4.6100000000000003</v>
      </c>
      <c r="I123" s="399"/>
      <c r="J123" s="399"/>
      <c r="K123" s="404">
        <f t="shared" si="2"/>
        <v>23.65</v>
      </c>
      <c r="L123" s="402" t="s">
        <v>67</v>
      </c>
      <c r="M123" s="399"/>
      <c r="N123" s="399"/>
    </row>
    <row r="124" spans="1:14" ht="18" customHeight="1" x14ac:dyDescent="0.25">
      <c r="A124" s="399"/>
      <c r="B124" s="399"/>
      <c r="C124" s="401" t="s">
        <v>651</v>
      </c>
      <c r="D124" s="402">
        <v>1</v>
      </c>
      <c r="E124" s="402" t="s">
        <v>13</v>
      </c>
      <c r="F124" s="403">
        <v>5.1310000000000002</v>
      </c>
      <c r="G124" s="402" t="s">
        <v>13</v>
      </c>
      <c r="H124" s="403">
        <v>3.16</v>
      </c>
      <c r="I124" s="399"/>
      <c r="J124" s="399"/>
      <c r="K124" s="404">
        <f t="shared" si="2"/>
        <v>16.21</v>
      </c>
      <c r="L124" s="402" t="s">
        <v>67</v>
      </c>
      <c r="M124" s="399"/>
      <c r="N124" s="399"/>
    </row>
    <row r="125" spans="1:14" ht="18" customHeight="1" x14ac:dyDescent="0.25">
      <c r="A125" s="399"/>
      <c r="B125" s="399"/>
      <c r="C125" s="401" t="s">
        <v>652</v>
      </c>
      <c r="D125" s="402">
        <v>1</v>
      </c>
      <c r="E125" s="402" t="s">
        <v>13</v>
      </c>
      <c r="F125" s="403">
        <v>3.1259999999999999</v>
      </c>
      <c r="G125" s="402" t="s">
        <v>13</v>
      </c>
      <c r="H125" s="403">
        <v>3.1539999999999999</v>
      </c>
      <c r="I125" s="399"/>
      <c r="J125" s="399"/>
      <c r="K125" s="404">
        <f t="shared" si="2"/>
        <v>9.86</v>
      </c>
      <c r="L125" s="402" t="s">
        <v>67</v>
      </c>
      <c r="M125" s="399"/>
      <c r="N125" s="399"/>
    </row>
    <row r="126" spans="1:14" ht="18" customHeight="1" x14ac:dyDescent="0.25">
      <c r="A126" s="399"/>
      <c r="B126" s="399"/>
      <c r="C126" s="401" t="s">
        <v>653</v>
      </c>
      <c r="D126" s="402">
        <v>1</v>
      </c>
      <c r="E126" s="402" t="s">
        <v>13</v>
      </c>
      <c r="F126" s="403">
        <v>5.6440000000000001</v>
      </c>
      <c r="G126" s="402" t="s">
        <v>13</v>
      </c>
      <c r="H126" s="403">
        <v>3.2280000000000002</v>
      </c>
      <c r="I126" s="399"/>
      <c r="J126" s="399"/>
      <c r="K126" s="404">
        <f t="shared" si="2"/>
        <v>18.22</v>
      </c>
      <c r="L126" s="402" t="s">
        <v>67</v>
      </c>
      <c r="M126" s="399"/>
      <c r="N126" s="399"/>
    </row>
    <row r="127" spans="1:14" ht="18" customHeight="1" x14ac:dyDescent="0.25">
      <c r="A127" s="399"/>
      <c r="B127" s="399"/>
      <c r="C127" s="401" t="s">
        <v>654</v>
      </c>
      <c r="D127" s="402">
        <v>1</v>
      </c>
      <c r="E127" s="402" t="s">
        <v>13</v>
      </c>
      <c r="F127" s="403">
        <v>3.056</v>
      </c>
      <c r="G127" s="402" t="s">
        <v>13</v>
      </c>
      <c r="H127" s="404">
        <v>21.088000000000001</v>
      </c>
      <c r="I127" s="399"/>
      <c r="J127" s="399"/>
      <c r="K127" s="404">
        <f t="shared" si="2"/>
        <v>64.44</v>
      </c>
      <c r="L127" s="402" t="s">
        <v>67</v>
      </c>
      <c r="M127" s="399"/>
      <c r="N127" s="399"/>
    </row>
    <row r="128" spans="1:14" ht="18" customHeight="1" x14ac:dyDescent="0.25">
      <c r="A128" s="399"/>
      <c r="B128" s="399"/>
      <c r="C128" s="401" t="s">
        <v>655</v>
      </c>
      <c r="D128" s="402">
        <v>1</v>
      </c>
      <c r="E128" s="402" t="s">
        <v>13</v>
      </c>
      <c r="F128" s="403">
        <v>9.2919999999999998</v>
      </c>
      <c r="G128" s="402" t="s">
        <v>13</v>
      </c>
      <c r="H128" s="403">
        <v>6.1</v>
      </c>
      <c r="I128" s="399"/>
      <c r="J128" s="399"/>
      <c r="K128" s="404">
        <f t="shared" si="2"/>
        <v>56.68</v>
      </c>
      <c r="L128" s="402" t="s">
        <v>67</v>
      </c>
      <c r="M128" s="399"/>
      <c r="N128" s="399"/>
    </row>
    <row r="129" spans="1:14" ht="18" customHeight="1" x14ac:dyDescent="0.25">
      <c r="A129" s="399"/>
      <c r="B129" s="399"/>
      <c r="C129" s="401" t="s">
        <v>656</v>
      </c>
      <c r="D129" s="402">
        <v>4</v>
      </c>
      <c r="E129" s="402" t="s">
        <v>13</v>
      </c>
      <c r="F129" s="403">
        <v>1.82</v>
      </c>
      <c r="G129" s="402" t="s">
        <v>13</v>
      </c>
      <c r="H129" s="403">
        <v>1.5</v>
      </c>
      <c r="I129" s="399"/>
      <c r="J129" s="399"/>
      <c r="K129" s="404">
        <f t="shared" si="2"/>
        <v>10.92</v>
      </c>
      <c r="L129" s="402" t="s">
        <v>67</v>
      </c>
      <c r="M129" s="399"/>
      <c r="N129" s="399"/>
    </row>
    <row r="130" spans="1:14" ht="18" customHeight="1" x14ac:dyDescent="0.25">
      <c r="A130" s="399"/>
      <c r="B130" s="399"/>
      <c r="C130" s="401" t="s">
        <v>657</v>
      </c>
      <c r="D130" s="402">
        <v>1</v>
      </c>
      <c r="E130" s="402" t="s">
        <v>13</v>
      </c>
      <c r="F130" s="403">
        <v>3.6389999999999998</v>
      </c>
      <c r="G130" s="402" t="s">
        <v>13</v>
      </c>
      <c r="H130" s="403">
        <v>1.2</v>
      </c>
      <c r="I130" s="399"/>
      <c r="J130" s="399"/>
      <c r="K130" s="404">
        <f t="shared" si="2"/>
        <v>4.37</v>
      </c>
      <c r="L130" s="402" t="s">
        <v>67</v>
      </c>
      <c r="M130" s="399"/>
      <c r="N130" s="399"/>
    </row>
    <row r="131" spans="1:14" ht="18" customHeight="1" x14ac:dyDescent="0.25">
      <c r="A131" s="399"/>
      <c r="B131" s="399"/>
      <c r="C131" s="401" t="s">
        <v>658</v>
      </c>
      <c r="D131" s="402">
        <v>1</v>
      </c>
      <c r="E131" s="402" t="s">
        <v>13</v>
      </c>
      <c r="F131" s="403">
        <v>6.1</v>
      </c>
      <c r="G131" s="402" t="s">
        <v>13</v>
      </c>
      <c r="H131" s="403">
        <v>1.7</v>
      </c>
      <c r="I131" s="399"/>
      <c r="J131" s="399"/>
      <c r="K131" s="404">
        <f t="shared" si="2"/>
        <v>10.37</v>
      </c>
      <c r="L131" s="402" t="s">
        <v>67</v>
      </c>
      <c r="M131" s="399"/>
      <c r="N131" s="399"/>
    </row>
    <row r="132" spans="1:14" ht="18" customHeight="1" x14ac:dyDescent="0.25">
      <c r="A132" s="399"/>
      <c r="B132" s="399"/>
      <c r="C132" s="401" t="s">
        <v>659</v>
      </c>
      <c r="D132" s="402">
        <v>1</v>
      </c>
      <c r="E132" s="402" t="s">
        <v>13</v>
      </c>
      <c r="F132" s="403">
        <v>6.008</v>
      </c>
      <c r="G132" s="402" t="s">
        <v>13</v>
      </c>
      <c r="H132" s="403">
        <v>6.6</v>
      </c>
      <c r="I132" s="399"/>
      <c r="J132" s="399"/>
      <c r="K132" s="404">
        <f t="shared" si="2"/>
        <v>39.65</v>
      </c>
      <c r="L132" s="402" t="s">
        <v>67</v>
      </c>
      <c r="M132" s="399"/>
      <c r="N132" s="399"/>
    </row>
    <row r="133" spans="1:14" ht="18" customHeight="1" x14ac:dyDescent="0.25">
      <c r="A133" s="399"/>
      <c r="B133" s="399"/>
      <c r="C133" s="401" t="s">
        <v>660</v>
      </c>
      <c r="D133" s="402">
        <v>1</v>
      </c>
      <c r="E133" s="402" t="s">
        <v>13</v>
      </c>
      <c r="F133" s="403">
        <v>2.2999999999999998</v>
      </c>
      <c r="G133" s="402" t="s">
        <v>13</v>
      </c>
      <c r="H133" s="403">
        <v>2.2309999999999999</v>
      </c>
      <c r="I133" s="399"/>
      <c r="J133" s="399"/>
      <c r="K133" s="404">
        <f t="shared" si="2"/>
        <v>5.13</v>
      </c>
      <c r="L133" s="402" t="s">
        <v>67</v>
      </c>
      <c r="M133" s="399"/>
      <c r="N133" s="399"/>
    </row>
    <row r="134" spans="1:14" ht="18" customHeight="1" x14ac:dyDescent="0.25">
      <c r="A134" s="399"/>
      <c r="B134" s="399"/>
      <c r="C134" s="401" t="s">
        <v>661</v>
      </c>
      <c r="D134" s="402">
        <v>1</v>
      </c>
      <c r="E134" s="402" t="s">
        <v>13</v>
      </c>
      <c r="F134" s="403">
        <v>6.6</v>
      </c>
      <c r="G134" s="402" t="s">
        <v>13</v>
      </c>
      <c r="H134" s="403">
        <v>1.87</v>
      </c>
      <c r="I134" s="399"/>
      <c r="J134" s="399"/>
      <c r="K134" s="404">
        <f t="shared" si="2"/>
        <v>12.34</v>
      </c>
      <c r="L134" s="402" t="s">
        <v>67</v>
      </c>
      <c r="M134" s="399"/>
      <c r="N134" s="399"/>
    </row>
    <row r="135" spans="1:14" ht="19.95" customHeight="1" x14ac:dyDescent="0.25">
      <c r="A135" s="677" t="s">
        <v>662</v>
      </c>
      <c r="B135" s="675"/>
      <c r="C135" s="675"/>
      <c r="D135" s="675"/>
      <c r="E135" s="675"/>
      <c r="F135" s="675"/>
      <c r="G135" s="675"/>
      <c r="H135" s="675"/>
      <c r="I135" s="675"/>
      <c r="J135" s="676"/>
      <c r="K135" s="407">
        <f>ROUND(SUM(K116:K134), 2)</f>
        <v>442.56</v>
      </c>
      <c r="L135" s="408" t="s">
        <v>67</v>
      </c>
      <c r="M135" s="409">
        <v>121.55</v>
      </c>
      <c r="N135" s="410">
        <f>ROUND(K135*M135, 2)</f>
        <v>53793.17</v>
      </c>
    </row>
    <row r="137" spans="1:14" ht="24" customHeight="1" x14ac:dyDescent="0.25">
      <c r="A137" s="674" t="s">
        <v>663</v>
      </c>
      <c r="B137" s="675"/>
      <c r="C137" s="675"/>
      <c r="D137" s="675"/>
      <c r="E137" s="675"/>
      <c r="F137" s="675"/>
      <c r="G137" s="675"/>
      <c r="H137" s="675"/>
      <c r="I137" s="675"/>
      <c r="J137" s="676"/>
      <c r="K137" s="415">
        <f>ROUND(K113+K135, 2)</f>
        <v>2217.61</v>
      </c>
      <c r="L137" s="416" t="s">
        <v>67</v>
      </c>
      <c r="M137" s="417">
        <v>121.55</v>
      </c>
      <c r="N137" s="418">
        <f>ROUND(K137*M137, 2)</f>
        <v>269550.5</v>
      </c>
    </row>
  </sheetData>
  <mergeCells count="17">
    <mergeCell ref="A1:N1"/>
    <mergeCell ref="B92:B111"/>
    <mergeCell ref="A6:A65"/>
    <mergeCell ref="A67:A90"/>
    <mergeCell ref="A3:N3"/>
    <mergeCell ref="C90:J90"/>
    <mergeCell ref="A2:N2"/>
    <mergeCell ref="C65:J65"/>
    <mergeCell ref="A92:A111"/>
    <mergeCell ref="B6:B65"/>
    <mergeCell ref="A113:J113"/>
    <mergeCell ref="A137:J137"/>
    <mergeCell ref="C111:J111"/>
    <mergeCell ref="B67:B90"/>
    <mergeCell ref="A135:J135"/>
    <mergeCell ref="C63:J63"/>
    <mergeCell ref="A115:N115"/>
  </mergeCells>
  <pageMargins left="0.25" right="0.25"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16</vt:i4>
      </vt:variant>
    </vt:vector>
  </HeadingPairs>
  <TitlesOfParts>
    <vt:vector size="35" baseType="lpstr">
      <vt:lpstr>Cover</vt:lpstr>
      <vt:lpstr>Report</vt:lpstr>
      <vt:lpstr>Abstract</vt:lpstr>
      <vt:lpstr>Rennovation Measurement</vt:lpstr>
      <vt:lpstr>Rennovation BOQ</vt:lpstr>
      <vt:lpstr>AType Cottage</vt:lpstr>
      <vt:lpstr>furniture</vt:lpstr>
      <vt:lpstr>Furniture analysis</vt:lpstr>
      <vt:lpstr>NDC </vt:lpstr>
      <vt:lpstr>CS</vt:lpstr>
      <vt:lpstr>Cer 1</vt:lpstr>
      <vt:lpstr>Cer 2</vt:lpstr>
      <vt:lpstr>Check list</vt:lpstr>
      <vt:lpstr>Sanitart Works</vt:lpstr>
      <vt:lpstr>Electrical Works</vt:lpstr>
      <vt:lpstr>PLAN</vt:lpstr>
      <vt:lpstr>Septic Tank</vt:lpstr>
      <vt:lpstr>Sheet5</vt:lpstr>
      <vt:lpstr>Interior Painting Measurement</vt:lpstr>
      <vt:lpstr>Abstract!Print_Area</vt:lpstr>
      <vt:lpstr>'AType Cottage'!Print_Area</vt:lpstr>
      <vt:lpstr>'Check list'!Print_Area</vt:lpstr>
      <vt:lpstr>CS!Print_Area</vt:lpstr>
      <vt:lpstr>'Electrical Works'!Print_Area</vt:lpstr>
      <vt:lpstr>furniture!Print_Area</vt:lpstr>
      <vt:lpstr>'Furniture analysis'!Print_Area</vt:lpstr>
      <vt:lpstr>PLAN!Print_Area</vt:lpstr>
      <vt:lpstr>'Rennovation BOQ'!Print_Area</vt:lpstr>
      <vt:lpstr>'Rennovation Measurement'!Print_Area</vt:lpstr>
      <vt:lpstr>'Sanitart Works'!Print_Area</vt:lpstr>
      <vt:lpstr>'Septic Tank'!Print_Area</vt:lpstr>
      <vt:lpstr>'AType Cottage'!Print_Titles</vt:lpstr>
      <vt:lpstr>'Electrical Works'!Print_Titles</vt:lpstr>
      <vt:lpstr>'Rennovation BOQ'!Print_Titles</vt:lpstr>
      <vt:lpstr>'Sanitart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Online2PDF.com</dc:creator>
  <cp:lastModifiedBy>Administrator</cp:lastModifiedBy>
  <cp:lastPrinted>2026-09-29T08:55:32Z</cp:lastPrinted>
  <dcterms:created xsi:type="dcterms:W3CDTF">2023-07-19T11:03:07Z</dcterms:created>
  <dcterms:modified xsi:type="dcterms:W3CDTF">2026-09-29T20:46:49Z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2m" linkTarget="Prop_2m">
    <vt:lpwstr>#REF!</vt:lpwstr>
  </property>
</Properties>
</file>