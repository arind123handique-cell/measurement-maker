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D:\Circuit house\"/>
    </mc:Choice>
  </mc:AlternateContent>
  <xr:revisionPtr revIDLastSave="0" documentId="13_ncr:1_{941529A6-65F3-4029-89B7-4AE8B8B66354}" xr6:coauthVersionLast="47" xr6:coauthVersionMax="47" xr10:uidLastSave="{00000000-0000-0000-0000-000000000000}"/>
  <bookViews>
    <workbookView xWindow="-108" yWindow="-108" windowWidth="23256" windowHeight="12456" xr2:uid="{00000000-000D-0000-FFFF-FFFF00000000}"/>
  </bookViews>
  <sheets>
    <sheet name="Measurement sheet" sheetId="2" r:id="rId1"/>
    <sheet name="cs" sheetId="6" r:id="rId2"/>
    <sheet name="BOQ1" sheetId="5" r:id="rId3"/>
    <sheet name="Abst" sheetId="3" r:id="rId4"/>
    <sheet name="Electrical" sheetId="7" r:id="rId5"/>
    <sheet name="E. Statement" sheetId="8" r:id="rId6"/>
  </sheets>
  <externalReferences>
    <externalReference r:id="rId7"/>
  </externalReferences>
  <definedNames>
    <definedName name="_xlnm.Print_Area" localSheetId="2">'BOQ1'!$A$1:$M$48</definedName>
    <definedName name="_xlnm.Print_Area" localSheetId="4">Electrical!$A$1:$G$32</definedName>
    <definedName name="_xlnm.Print_Area" localSheetId="0">'Measurement sheet'!$A$1:$L$146</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7" l="1"/>
  <c r="B33" i="8"/>
  <c r="F31" i="8"/>
  <c r="F30" i="8"/>
  <c r="F26" i="8"/>
  <c r="E26" i="8"/>
  <c r="B13" i="8"/>
  <c r="F11" i="8"/>
  <c r="F10" i="8"/>
  <c r="F12" i="8" s="1"/>
  <c r="F13" i="8" s="1"/>
  <c r="E6" i="8"/>
  <c r="F6" i="8" s="1"/>
  <c r="G28" i="7"/>
  <c r="G26" i="7"/>
  <c r="G25" i="7"/>
  <c r="G24" i="7"/>
  <c r="G23" i="7"/>
  <c r="G22" i="7"/>
  <c r="G21" i="7"/>
  <c r="G19" i="7"/>
  <c r="G18" i="7"/>
  <c r="G17" i="7"/>
  <c r="G15" i="7"/>
  <c r="G14" i="7"/>
  <c r="G13" i="7"/>
  <c r="G12" i="7"/>
  <c r="G11" i="7"/>
  <c r="G9" i="7"/>
  <c r="G8" i="7"/>
  <c r="G6" i="7"/>
  <c r="F7" i="8" l="1"/>
  <c r="F8" i="8" s="1"/>
  <c r="F14" i="8" s="1"/>
  <c r="F27" i="8"/>
  <c r="F28" i="8" s="1"/>
  <c r="F34" i="8" s="1"/>
  <c r="F32" i="8"/>
  <c r="F33" i="8" s="1"/>
  <c r="G29" i="7"/>
  <c r="H5" i="3" s="1"/>
  <c r="J24" i="5"/>
  <c r="K24" i="5"/>
  <c r="L24" i="5"/>
  <c r="L114" i="2"/>
  <c r="M24" i="5" s="1"/>
  <c r="I114" i="2"/>
  <c r="M6" i="6"/>
  <c r="N6" i="6" s="1"/>
  <c r="N7" i="6" s="1"/>
  <c r="I6" i="6"/>
  <c r="J6" i="6" s="1"/>
  <c r="J7" i="6" s="1"/>
  <c r="E6" i="6"/>
  <c r="F6" i="6" s="1"/>
  <c r="F7" i="6" s="1"/>
  <c r="K35" i="5"/>
  <c r="L35" i="5"/>
  <c r="K34" i="5"/>
  <c r="L34" i="5"/>
  <c r="F35" i="8" l="1"/>
  <c r="F36" i="8" s="1"/>
  <c r="F15" i="8"/>
  <c r="F16" i="8" s="1"/>
  <c r="K33" i="5"/>
  <c r="L33" i="5"/>
  <c r="K32" i="5"/>
  <c r="L32" i="5"/>
  <c r="K31" i="5"/>
  <c r="L31" i="5"/>
  <c r="K30" i="5"/>
  <c r="L30" i="5"/>
  <c r="K29" i="5"/>
  <c r="L29" i="5"/>
  <c r="K28" i="5"/>
  <c r="L28" i="5"/>
  <c r="K27" i="5"/>
  <c r="L27" i="5"/>
  <c r="K26" i="5"/>
  <c r="L26" i="5"/>
  <c r="K25" i="5"/>
  <c r="L25" i="5"/>
  <c r="K23" i="5"/>
  <c r="L23" i="5"/>
  <c r="K22" i="5"/>
  <c r="L22" i="5"/>
  <c r="K21" i="5"/>
  <c r="L21" i="5"/>
  <c r="K20" i="5"/>
  <c r="L20" i="5"/>
  <c r="J19" i="5"/>
  <c r="K19" i="5"/>
  <c r="L19" i="5"/>
  <c r="J18" i="5"/>
  <c r="K18" i="5"/>
  <c r="L18" i="5"/>
  <c r="J17" i="5"/>
  <c r="K17" i="5"/>
  <c r="L17" i="5"/>
  <c r="K16" i="5"/>
  <c r="L16" i="5"/>
  <c r="K15" i="5"/>
  <c r="L15" i="5"/>
  <c r="K14" i="5"/>
  <c r="L14" i="5"/>
  <c r="K13" i="5"/>
  <c r="L13" i="5"/>
  <c r="K12" i="5"/>
  <c r="L12" i="5"/>
  <c r="K11" i="5"/>
  <c r="L11" i="5"/>
  <c r="K10" i="5"/>
  <c r="L10" i="5"/>
  <c r="K9" i="5"/>
  <c r="L9" i="5"/>
  <c r="K8" i="5"/>
  <c r="L8" i="5"/>
  <c r="K7" i="5"/>
  <c r="L7" i="5"/>
  <c r="K6" i="5"/>
  <c r="L6" i="5"/>
  <c r="K5" i="5"/>
  <c r="L5" i="5"/>
  <c r="K4" i="5"/>
  <c r="L4" i="5"/>
  <c r="F37" i="8" l="1"/>
  <c r="F38" i="8" s="1"/>
  <c r="F39" i="8" s="1"/>
  <c r="F17" i="8"/>
  <c r="F18" i="8" s="1"/>
  <c r="F19" i="8" s="1"/>
  <c r="I144" i="2"/>
  <c r="I142" i="2"/>
  <c r="L93" i="2"/>
  <c r="M19" i="5" s="1"/>
  <c r="L91" i="2"/>
  <c r="M18" i="5" s="1"/>
  <c r="L89" i="2"/>
  <c r="M17" i="5" s="1"/>
  <c r="I87" i="2"/>
  <c r="I85" i="2"/>
  <c r="I111" i="2"/>
  <c r="I33" i="2"/>
  <c r="I34" i="2"/>
  <c r="I140" i="2"/>
  <c r="L142" i="2" l="1"/>
  <c r="M34" i="5" s="1"/>
  <c r="J34" i="5"/>
  <c r="L144" i="2"/>
  <c r="J35" i="5"/>
  <c r="L87" i="2"/>
  <c r="M16" i="5" s="1"/>
  <c r="J16" i="5"/>
  <c r="L85" i="2"/>
  <c r="M15" i="5" s="1"/>
  <c r="J15" i="5"/>
  <c r="L140" i="2"/>
  <c r="M33" i="5" s="1"/>
  <c r="J33" i="5"/>
  <c r="G107" i="2"/>
  <c r="I107" i="2" s="1"/>
  <c r="G106" i="2"/>
  <c r="I106" i="2" s="1"/>
  <c r="I108" i="2" l="1"/>
  <c r="J22" i="5" s="1"/>
  <c r="M35" i="5"/>
  <c r="I101" i="2"/>
  <c r="I102" i="2"/>
  <c r="I100" i="2"/>
  <c r="I97" i="2"/>
  <c r="I96" i="2"/>
  <c r="I95" i="2"/>
  <c r="L108" i="2" l="1"/>
  <c r="M22" i="5" s="1"/>
  <c r="I98" i="2"/>
  <c r="J20" i="5" s="1"/>
  <c r="I103" i="2"/>
  <c r="I40" i="2"/>
  <c r="I32" i="2"/>
  <c r="I31" i="2"/>
  <c r="I30" i="2"/>
  <c r="I120" i="2"/>
  <c r="I121" i="2"/>
  <c r="I122" i="2"/>
  <c r="I137" i="2"/>
  <c r="I83" i="2"/>
  <c r="J14" i="5" s="1"/>
  <c r="L98" i="2" l="1"/>
  <c r="M20" i="5" s="1"/>
  <c r="L137" i="2"/>
  <c r="M32" i="5" s="1"/>
  <c r="J32" i="5"/>
  <c r="L103" i="2"/>
  <c r="M21" i="5" s="1"/>
  <c r="J21" i="5"/>
  <c r="I131" i="2"/>
  <c r="J29" i="5" s="1"/>
  <c r="I129" i="2"/>
  <c r="J28" i="5" s="1"/>
  <c r="I127" i="2"/>
  <c r="J27" i="5" s="1"/>
  <c r="I125" i="2"/>
  <c r="J26" i="5" s="1"/>
  <c r="I80" i="2"/>
  <c r="I79" i="2"/>
  <c r="I78" i="2"/>
  <c r="I77" i="2"/>
  <c r="I76" i="2"/>
  <c r="I75" i="2"/>
  <c r="I74" i="2"/>
  <c r="I73" i="2"/>
  <c r="I72" i="2"/>
  <c r="I71" i="2"/>
  <c r="I70" i="2"/>
  <c r="I69" i="2"/>
  <c r="I68" i="2"/>
  <c r="I67" i="2"/>
  <c r="I66" i="2"/>
  <c r="I65" i="2"/>
  <c r="I64" i="2"/>
  <c r="I63" i="2"/>
  <c r="I54" i="2"/>
  <c r="I52" i="2"/>
  <c r="I53" i="2"/>
  <c r="I58" i="2"/>
  <c r="I59" i="2"/>
  <c r="I60" i="2"/>
  <c r="I56" i="2"/>
  <c r="I57" i="2"/>
  <c r="I55" i="2"/>
  <c r="I51" i="2"/>
  <c r="I50" i="2"/>
  <c r="I49" i="2"/>
  <c r="I48" i="2"/>
  <c r="I45" i="2"/>
  <c r="I46" i="2"/>
  <c r="I44" i="2"/>
  <c r="I39" i="2"/>
  <c r="I38" i="2"/>
  <c r="I37" i="2"/>
  <c r="I26" i="2"/>
  <c r="I25" i="2"/>
  <c r="I24" i="2"/>
  <c r="I29" i="2"/>
  <c r="I28" i="2"/>
  <c r="I27" i="2"/>
  <c r="I18" i="2"/>
  <c r="I13" i="2"/>
  <c r="I9" i="2"/>
  <c r="I10" i="2"/>
  <c r="I11" i="2"/>
  <c r="I4" i="2"/>
  <c r="I5" i="2"/>
  <c r="I41" i="2" l="1"/>
  <c r="J11" i="5" s="1"/>
  <c r="I6" i="2"/>
  <c r="L18" i="2"/>
  <c r="M7" i="5" s="1"/>
  <c r="J7" i="5"/>
  <c r="I81" i="2"/>
  <c r="J13" i="5" s="1"/>
  <c r="I35" i="2"/>
  <c r="J10" i="5" s="1"/>
  <c r="J4" i="5" l="1"/>
  <c r="P4" i="5" s="1"/>
  <c r="L6" i="2"/>
  <c r="M4" i="5" s="1"/>
  <c r="L41" i="2"/>
  <c r="M11" i="5" s="1"/>
  <c r="L81" i="2"/>
  <c r="M13" i="5" s="1"/>
  <c r="L35" i="2"/>
  <c r="M10" i="5" s="1"/>
  <c r="O5" i="5"/>
  <c r="I135" i="2"/>
  <c r="I133" i="2"/>
  <c r="L131" i="2"/>
  <c r="M29" i="5" s="1"/>
  <c r="L127" i="2"/>
  <c r="M27" i="5" s="1"/>
  <c r="L129" i="2"/>
  <c r="M28" i="5" s="1"/>
  <c r="I47" i="2"/>
  <c r="I43" i="2"/>
  <c r="I16" i="2"/>
  <c r="P64" i="2"/>
  <c r="L125" i="2"/>
  <c r="M26" i="5" s="1"/>
  <c r="I119" i="2"/>
  <c r="I118" i="2"/>
  <c r="I12" i="2"/>
  <c r="I61" i="2" l="1"/>
  <c r="J12" i="5" s="1"/>
  <c r="J6" i="5"/>
  <c r="L16" i="2"/>
  <c r="M6" i="5" s="1"/>
  <c r="L133" i="2"/>
  <c r="M30" i="5" s="1"/>
  <c r="J30" i="5"/>
  <c r="L135" i="2"/>
  <c r="M31" i="5" s="1"/>
  <c r="J31" i="5"/>
  <c r="L61" i="2" l="1"/>
  <c r="M12" i="5" s="1"/>
  <c r="I117" i="2"/>
  <c r="I123" i="2" s="1"/>
  <c r="J25" i="5" s="1"/>
  <c r="I110" i="2"/>
  <c r="I112" i="2" l="1"/>
  <c r="J23" i="5" s="1"/>
  <c r="L123" i="2"/>
  <c r="M25" i="5" s="1"/>
  <c r="I22" i="2"/>
  <c r="J9" i="5" s="1"/>
  <c r="I20" i="2"/>
  <c r="I8" i="2"/>
  <c r="N7" i="2"/>
  <c r="I14" i="2" l="1"/>
  <c r="J5" i="5" s="1"/>
  <c r="L20" i="2"/>
  <c r="M8" i="5" s="1"/>
  <c r="J8" i="5"/>
  <c r="L112" i="2"/>
  <c r="M23" i="5" s="1"/>
  <c r="L22" i="2"/>
  <c r="M9" i="5" s="1"/>
  <c r="L14" i="2" l="1"/>
  <c r="L83" i="2"/>
  <c r="M14" i="5" s="1"/>
  <c r="L146" i="2" l="1"/>
  <c r="M5" i="5"/>
  <c r="M37" i="5" s="1"/>
  <c r="H4" i="3" l="1"/>
  <c r="H7" i="3" s="1"/>
  <c r="H8" i="3" s="1"/>
  <c r="H9" i="3" s="1"/>
  <c r="H10" i="3" s="1"/>
  <c r="M13" i="3" s="1"/>
</calcChain>
</file>

<file path=xl/sharedStrings.xml><?xml version="1.0" encoding="utf-8"?>
<sst xmlns="http://schemas.openxmlformats.org/spreadsheetml/2006/main" count="401" uniqueCount="227">
  <si>
    <t>Sl No.</t>
  </si>
  <si>
    <t>Amount</t>
  </si>
  <si>
    <t>Cum</t>
  </si>
  <si>
    <t>ITEM NO.</t>
  </si>
  <si>
    <t>Sl No</t>
  </si>
  <si>
    <t>DESCRIPTION OF ITEM</t>
  </si>
  <si>
    <t>Nos</t>
  </si>
  <si>
    <t>L</t>
  </si>
  <si>
    <t>B</t>
  </si>
  <si>
    <t>D/H</t>
  </si>
  <si>
    <t>Qty</t>
  </si>
  <si>
    <t>UNIT</t>
  </si>
  <si>
    <t>AMOUNT</t>
  </si>
  <si>
    <t>Sqm</t>
  </si>
  <si>
    <t>Roof</t>
  </si>
  <si>
    <t>Dry brick on edge flooring in required pattern with bricks of class designation 7.5 on a bed of 12 mm mud mortar, including filling joints with Jamuna sand, with common burnt clay non modular bricks.</t>
  </si>
  <si>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</si>
  <si>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</si>
  <si>
    <t>(T)=</t>
  </si>
  <si>
    <t>each</t>
  </si>
  <si>
    <t>Description</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</si>
  <si>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t>
  </si>
  <si>
    <t>RATE
₹</t>
  </si>
  <si>
    <t>Abstract of Cost</t>
  </si>
  <si>
    <t>Grand Total =</t>
  </si>
  <si>
    <t>Say (Round off) =</t>
  </si>
  <si>
    <t>15.23.1</t>
  </si>
  <si>
    <t>T =</t>
  </si>
  <si>
    <t>Ded. Door</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</si>
  <si>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17.3.1 W.C. pan with ISI marked white solid plastic seat and lid</t>
  </si>
  <si>
    <t>17.22B</t>
  </si>
  <si>
    <t xml:space="preserve">each </t>
  </si>
  <si>
    <t>17.7(A)</t>
  </si>
  <si>
    <t>Providing and fixing 600x450 mm beveled edge mirror of superior  glass (of approved quality) complete with 6 mm thick hard board  ground fixed to wooden cleats with C.P. brass screws and washers  complete.</t>
  </si>
  <si>
    <t>17.16A</t>
  </si>
  <si>
    <t>Providing and fixing C.P. brass bib cock of approved quality conforming
 to IS:8931 :
 18.49.1 15 mm nominal bore</t>
  </si>
  <si>
    <t>Vip room</t>
  </si>
  <si>
    <t xml:space="preserve"> </t>
  </si>
  <si>
    <t>12.52.3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</si>
  <si>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</si>
  <si>
    <t>Dismantling roofing including ridges, hips, valleys and gutters etc.,  and stacking the material within 50 metres lead of:
15.28.1G.S. Sheet</t>
  </si>
  <si>
    <t>Any other unseen item of work from DSR 2021-22 that may occur during execution of the work.</t>
  </si>
  <si>
    <t>LS</t>
  </si>
  <si>
    <t>Total =</t>
  </si>
  <si>
    <t xml:space="preserve"> In cement mortar</t>
  </si>
  <si>
    <t>Filling available excavated earth (excluding rock) in trenches, plinth, sides of foundations etc. in layers not exceeding 20cm in depth, consolidating each deposited layer by ramming and watering, lead up to 50 m and lift upto 1.5 m.</t>
  </si>
  <si>
    <t>Ground floor.Toilet</t>
  </si>
  <si>
    <t>First floor.Toilet</t>
  </si>
  <si>
    <t>Ground floor toilet</t>
  </si>
  <si>
    <t>First floor toilet</t>
  </si>
  <si>
    <t>Existing Kitchen</t>
  </si>
  <si>
    <t>Chawkidar room</t>
  </si>
  <si>
    <t>Verandah</t>
  </si>
  <si>
    <t>Providing and applying plaster of paris putty of 2 mm thickness over  plastered surface to prepare the surface even and smooth complete.</t>
  </si>
  <si>
    <t>Ground floor kitchen</t>
  </si>
  <si>
    <t>Ded. Window</t>
  </si>
  <si>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</si>
  <si>
    <t>Toilet wall</t>
  </si>
  <si>
    <t>Dismantling tile work in floors and roofs laid in cement mortar including  stacking material within 50 metres lead.
 15.23.1 For thickness of tiles 10 mm to 25 mm</t>
  </si>
  <si>
    <t>Room 1</t>
  </si>
  <si>
    <t>Room 3</t>
  </si>
  <si>
    <t>Room 4</t>
  </si>
  <si>
    <t>Each</t>
  </si>
  <si>
    <t>Dormitory</t>
  </si>
  <si>
    <t>Dormitory toilet</t>
  </si>
  <si>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</si>
  <si>
    <t>Toilet door Frame</t>
  </si>
  <si>
    <t>Dormitory toilet door frame</t>
  </si>
  <si>
    <t>Outside Toilet door frame</t>
  </si>
  <si>
    <t>R.M</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</si>
  <si>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</si>
  <si>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</si>
  <si>
    <t>Kg/m</t>
  </si>
  <si>
    <t>Tie</t>
  </si>
  <si>
    <t>T.L</t>
  </si>
  <si>
    <t>Purlin</t>
  </si>
  <si>
    <t>Kg</t>
  </si>
  <si>
    <t>Total Plinth Area of the kitchen</t>
  </si>
  <si>
    <t>Dormitory Front step</t>
  </si>
  <si>
    <t>Providing and fixing PTMT liquid soap container 109 mm wide, 125  mm high and 112 mm distance from wall of standard shape with  bracket of the same materials with snap fittings of approved quality  and colour, weighing not less than 105 gms.</t>
  </si>
  <si>
    <t>Providing and fixing 8 mm dia C.P. / S.S. Jet with flexible tube upto  1 metre long with S.S. triangular plate to Eureopean type W.C. of  quality and make as approved by Engineer - in - charge.</t>
  </si>
  <si>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t>
  </si>
  <si>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</si>
  <si>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Dismantling roofing including ridges, hips, valleys and gutters etc.,  and stacking the material within 50 metres lead of:
 15.28.1G.S. Sheet</t>
  </si>
  <si>
    <t>Dormitary roof</t>
  </si>
  <si>
    <t>Out side kitchen (Plinth Area Rate)</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</si>
  <si>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</si>
  <si>
    <t>Rm</t>
  </si>
  <si>
    <t>Providing and fixing aluminium sliding door bolts, ISI marked anodised  (anodic coating not less than grade AC 10 as per IS : 1868),  transparent or dyed to required colour or shade, with nuts and screws  etc. complete :
 9.96.1 300x16 mm</t>
  </si>
  <si>
    <t xml:space="preserve"> Providing and fixing aluminium tower bolts, ISI marked, anodised (anodic
 coating not less than grade AC 10 as per IS : 1868 ) transparent or dyed
 to required colour or shade, with necessary screws etc. complete :
 9.97.1 300x10 mm</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</si>
  <si>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12.1.2 0.80 mm thick with zinc coating not less than 275 gm/m²</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</si>
  <si>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</si>
  <si>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</si>
  <si>
    <t>Providing and fixing CP Brass Single lever telephonic wall mixer of  quality &amp; make   as approved by Engineer in charge.
 (a) 15 mm nominal dia</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</si>
  <si>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</si>
  <si>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</si>
  <si>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</si>
  <si>
    <t>Providing and fixing aluminium sliding door bolts, ISI marked anodised  (anodic coating not less than grade AC 10 as per IS : 1868),  transparent or dyed to required colour or shade, with nuts and screws  etc. complete  9.96.1 300x16 mm</t>
  </si>
  <si>
    <t>Providing and fixing aluminium tower bolts, ISI marked, anodised (anodic  coating not less than grade AC 10 as per IS : 1868 ) transparent or dyed  to required colour or shade, with necessary screws etc. complete :
 9.97.1 300x10 mm</t>
  </si>
  <si>
    <t xml:space="preserve"> Providing and fixing aluminium handles, ISI marked, anodised (anodic  coating not less than grade AC 10 as per IS : 1868) transparent or dyed  to required colour or shade, with necessary screws etc. complete  
9.100.1 125 mm</t>
  </si>
  <si>
    <t>Dismantling tile work in floors and roofs laid in cement mortar including  stacking material within 50 metres lead.
15.23.1 For thickness of tiles 10 mm to 25 mm</t>
  </si>
  <si>
    <t>Modular Kitchen =</t>
  </si>
  <si>
    <t>Added contingencies 5% =</t>
  </si>
  <si>
    <t xml:space="preserve">Providing and fixing aluminium handles, ISI marked, anodised (anodic  coating not less than grade AC 10 as per IS : 1868) transparent or dyed  to required colour or shade, with necessary screws etc. complete  
9.100.1 125 mm
</t>
  </si>
  <si>
    <t>COMPARATIVE STATEMENT (MODULAR KITCHEN)</t>
  </si>
  <si>
    <t>1</t>
  </si>
  <si>
    <t>2</t>
  </si>
  <si>
    <t>3</t>
  </si>
  <si>
    <t>Remarks</t>
  </si>
  <si>
    <t>Name of the quotation holder with address</t>
  </si>
  <si>
    <t>Description of items</t>
  </si>
  <si>
    <t>Qnty.</t>
  </si>
  <si>
    <t>Base Amount
(in Rs.)</t>
  </si>
  <si>
    <t>Total Amount</t>
  </si>
  <si>
    <t>Total</t>
  </si>
  <si>
    <t>Position</t>
  </si>
  <si>
    <t>L1</t>
  </si>
  <si>
    <t>L2</t>
  </si>
  <si>
    <t>L3</t>
  </si>
  <si>
    <t>Junior Engineer, PW (B&amp;NH)D</t>
  </si>
  <si>
    <t>Asstt. Executive Engineer, PW (B&amp;NH)D</t>
  </si>
  <si>
    <t>Bokakhat &amp; Dergaon Territorial</t>
  </si>
  <si>
    <t>Building Sub- Division, Bokakhat</t>
  </si>
  <si>
    <t>Modular kitchen</t>
  </si>
  <si>
    <t>Amount with  18% GST
(in Rs,)</t>
  </si>
  <si>
    <r>
      <t>Lowest Rate is indicate by (</t>
    </r>
    <r>
      <rPr>
        <b/>
        <sz val="11"/>
        <color theme="1"/>
        <rFont val="Times New Roman"/>
        <family val="1"/>
      </rPr>
      <t>L1</t>
    </r>
    <r>
      <rPr>
        <sz val="11"/>
        <color theme="1"/>
        <rFont val="Times New Roman"/>
        <family val="1"/>
      </rPr>
      <t>)</t>
    </r>
  </si>
  <si>
    <t>Royal Traders, Bokakhat</t>
  </si>
  <si>
    <t>Antique Orient Home decor, Guwahati</t>
  </si>
  <si>
    <t>Om Narayani hardware, Bokakhat</t>
  </si>
  <si>
    <t>Existing kitchen</t>
  </si>
  <si>
    <t>Providing and fixing C.P. brass bib cock of approved quality conforming
 to IS:8931 :
18.49.1 15 mm nominal bore</t>
  </si>
  <si>
    <t>Asstt. Executive Engineer, PW (B&amp;NH)D
      Bokakhat &amp; Dergaon Territorial
      Building Sub- Division, Bokakhat</t>
  </si>
  <si>
    <t xml:space="preserve"> Executive Engineer, PW (B&amp;NH)D
Golaghat District Territorial
Building Division, Golaghat</t>
  </si>
  <si>
    <t>Name of Work :-  Renovation &amp; Repairing of Circuit House at Bokakhat Co District.</t>
  </si>
  <si>
    <t>Mtr</t>
  </si>
  <si>
    <t xml:space="preserve"> Providing ridges or hips of width 60 cm overall width plain G.S. sheet
 fixed with polymer coated J or L hooks, bolts and nuts 8 mm dia G.I.
 limpet and bitumen washers complete.
12.4.1 0.80 mm thick with zinc coating not less than 275 gm/m²</t>
  </si>
  <si>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</si>
  <si>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Providing and fixing M.S. fan clamp type I or II of 16 mm dia M.S. bar, bent to shape with hooked ends in R.C.C. slabs or beams during laying,  including painting the exposed portion of loop, all as per standard design  complete.</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</si>
  <si>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</si>
  <si>
    <t xml:space="preserve"> Providing ridges or hips of width 60 cm overall width plain G.S. sheet fixed with polymer coated J or L hooks, bolts and nuts 8 mm dia G.I. limpet and bitumen washers complete.
12.4.1 0.80 mm thick with zinc coating not less than 275 gm/m²</t>
  </si>
  <si>
    <t>SL NO.</t>
  </si>
  <si>
    <t>ITEM.</t>
  </si>
  <si>
    <t>Description of materials</t>
  </si>
  <si>
    <t>RATE</t>
  </si>
  <si>
    <t>QNTY.</t>
  </si>
  <si>
    <t>Wiring for light point/ fan point/ exhaust fan point/ call bell point with 1.5 sq.mm FRLS PVC insulated copper conductor single core cable in surface / recessed medium class PVC conduit, with modular switch, modular plate, suitable GI box and earthing the point with 1.5 sq.mm. FRLS PVC insulated copper conductor single core cable etc as required.</t>
  </si>
  <si>
    <t>1.10.1</t>
  </si>
  <si>
    <t>Group A</t>
  </si>
  <si>
    <t>Point</t>
  </si>
  <si>
    <t>Wiring for light/ power plug with 2X4 sq. mm FRLS PVC insulated copper conductor single core cable in surface/ recessed medium class PVC conduit along with 1 No 4 sq. mm FRLS PVC insulated copper conductor single core cable for loop earthing as required.</t>
  </si>
  <si>
    <t>mtr</t>
  </si>
  <si>
    <t>Wiring for circuit/ submain wiring along with earth wire with the following sizes of FRLS PVC insulated copper conductor, single core cable in surface/ recessed medium class PVC conduit as required</t>
  </si>
  <si>
    <t>1.14.2</t>
  </si>
  <si>
    <t>2 X 2.5 sq. mm + 1 X 2.5 sq. mm earth wire</t>
  </si>
  <si>
    <t>1.14.4</t>
  </si>
  <si>
    <t>2 X 6 sq. mm + 1 X 6 sq. mm earth wire</t>
  </si>
  <si>
    <t>Supplying and fixing following modular switch/ socket on the existing modular plate &amp; switch box including connections but excluding modular plate etc. as required.</t>
  </si>
  <si>
    <t>1.24.1</t>
  </si>
  <si>
    <t>5/6 amps switch</t>
  </si>
  <si>
    <t>1.24.3</t>
  </si>
  <si>
    <t>15/16 amp switch</t>
  </si>
  <si>
    <t>1.24.4</t>
  </si>
  <si>
    <t>3 pin 5/6 amp socket outlet</t>
  </si>
  <si>
    <t>1.24.5</t>
  </si>
  <si>
    <t>6 pin 15/16 amp socket outlet</t>
  </si>
  <si>
    <t>Supplying and fixing two module stepped type electronic fan regulator on the existing modular plate switch box including connections but excluding modular plate etc. as required.</t>
  </si>
  <si>
    <t>Supplying and fixing following size/ modules, GI box along with modular base &amp; cover plate for modular switches in recess etc as required.</t>
  </si>
  <si>
    <t>1.27.1</t>
  </si>
  <si>
    <t>1 or 2 Module (75mmX75mm)</t>
  </si>
  <si>
    <t>1.27.3</t>
  </si>
  <si>
    <t>4 Module (125mmX75mm)</t>
  </si>
  <si>
    <t>1.27.6</t>
  </si>
  <si>
    <t>12 Module (200mmX150mm)</t>
  </si>
  <si>
    <t>Supplying and fixing following Modular base &amp; cover plate on existing modular metal boxes etc. as required.</t>
  </si>
  <si>
    <t>1.28.1</t>
  </si>
  <si>
    <t>1 or 2 Module</t>
  </si>
  <si>
    <t>1.28.3</t>
  </si>
  <si>
    <t>4 Module</t>
  </si>
  <si>
    <t>1.28.6</t>
  </si>
  <si>
    <t>12 Module</t>
  </si>
  <si>
    <t>Installation, testing and commissioning of ceiling fan, including wiring the down rods of standard length (upto 30 cm) with 1.5 sq. mm FRLS PVC insulated, copper conductor, single core cable etc. as required.</t>
  </si>
  <si>
    <t>Metre</t>
  </si>
  <si>
    <t>19.1</t>
  </si>
  <si>
    <t>Supply ,installation ,testing and commissioning of 1200 mm sweep ,BEE 5 Star rated, ceiling fan with brushless direct curretnt(BLDC) Motor</t>
  </si>
  <si>
    <t>A-1</t>
  </si>
  <si>
    <t xml:space="preserve">Supplying fitting and fixing  of Electric Storage Water Heater 10 L capacity.( Havells make -Puro Turbo Dx.item code-. GHWAPXTPI010) </t>
  </si>
  <si>
    <t>A-2</t>
  </si>
  <si>
    <t>Supplying with installation testing and commissioning of Hi -- wall 4 star rating non ducted split inverter type  air conditioner of the following capacity with cordless remote complete with  indoor and outdoor unit, copper pipe  and electrical connection as approved by the Deptt.)up to 5 m between the room unit and out door unit as directed by the department.</t>
  </si>
  <si>
    <t xml:space="preserve">1.5 T capacity Haier make </t>
  </si>
  <si>
    <t>Rs.</t>
  </si>
  <si>
    <t>(Rupees five lakh twenty one thousand sven  hundred three)only</t>
  </si>
  <si>
    <t>Analysis of rate -- 1</t>
  </si>
  <si>
    <t>ICD No</t>
  </si>
  <si>
    <t>Unit</t>
  </si>
  <si>
    <t>Rate Rs.</t>
  </si>
  <si>
    <t>Amount (Rs.)</t>
  </si>
  <si>
    <t>MATERIALS</t>
  </si>
  <si>
    <t>A</t>
  </si>
  <si>
    <t>Electric Storage Water Heater 10 L capacity.( Havells make -Puro Turbo Dx) MRP @15350.00 discount @ 20 %</t>
  </si>
  <si>
    <t xml:space="preserve">Add Cartage @1 %    </t>
  </si>
  <si>
    <t>Total A</t>
  </si>
  <si>
    <t>Labour</t>
  </si>
  <si>
    <t>Wireman</t>
  </si>
  <si>
    <t>day</t>
  </si>
  <si>
    <t xml:space="preserve">Khallasi  </t>
  </si>
  <si>
    <t xml:space="preserve">TOTAL </t>
  </si>
  <si>
    <t xml:space="preserve">OVERHEADS &amp; PROFIT @ 15 % </t>
  </si>
  <si>
    <t>Adding LWC    1%</t>
  </si>
  <si>
    <t>Say,</t>
  </si>
  <si>
    <t>Analysis of rate -- 2</t>
  </si>
  <si>
    <t>1.5 T capacity Haier make .Series-Kinochi ,Model-HSU18K-PYG4B(INV) MRP @ 64670.00 discount @20%</t>
  </si>
  <si>
    <t>Name of Work :- Renovation &amp; Repair of Circuit House at Bokakhat Co District.</t>
  </si>
  <si>
    <t xml:space="preserve"> Name of work : Renovation &amp; Repair of Circuit House at Bokakhat Co District.</t>
  </si>
  <si>
    <t xml:space="preserve"> Providing and fixing M.S. fan clamp type I or II of 16 mm dia M.S. bar, bent to shape with hooked ends in R.C.C. slabs or beams during laying,  including painting the exposed portion of loop, all as per standard design complete.</t>
  </si>
  <si>
    <t>Civil works (A)</t>
  </si>
  <si>
    <t>Electrical works (B)</t>
  </si>
  <si>
    <t xml:space="preserve"> Civil works (A) =</t>
  </si>
  <si>
    <t xml:space="preserve"> Electrical works (B) =</t>
  </si>
  <si>
    <t>Total  =</t>
  </si>
  <si>
    <t>1.10</t>
  </si>
  <si>
    <t>(Rupees twenty two lakh ninety seven thousand one hundred seventy) only</t>
  </si>
  <si>
    <t>(Rupees thirty five lakh forty seven thousand seven hundred sixty) only</t>
  </si>
  <si>
    <t>Name of work:- Renovation &amp; Repair of Circuit House at Bokakhat Co District.</t>
  </si>
  <si>
    <t>Demolishing brick work manually/ by mechanical means including stacking of serviceable material and disposal of unserviceable material within 50 metres lead as per direction of Engineer-in-charge. 15.7.4 in cement mortar</t>
  </si>
  <si>
    <t xml:space="preserve">Demolishing brick work manually/ by mechanical means including stacking of serviceable material and disposal of unserviceable material within 50 metres lead as per direction of Engineer-in-charge.15.7.4 in cement mortar
</t>
  </si>
  <si>
    <t>13.48A</t>
  </si>
  <si>
    <t>Out side kitchen A-type (Plinth Area Rate)
Total Plinth Area of the kitchen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</si>
</sst>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0"/>
    <numFmt numFmtId="166" formatCode="0.0"/>
  </numFmts>
  <fonts count="27" x14ac:knownFonts="1">
    <font>
      <sz val="11"/>
      <name val="Calibri"/>
      <scheme val="minor"/>
    </font>
    <font>
      <sz val="11"/>
      <name val="Times New Roman"/>
      <family val="1"/>
    </font>
    <font>
      <b/>
      <sz val="11"/>
      <name val="Times New Roman"/>
      <family val="1"/>
    </font>
    <font>
      <b/>
      <sz val="12"/>
      <color theme="1"/>
      <name val="Times New Roman"/>
      <family val="1"/>
    </font>
    <font>
      <sz val="12"/>
      <color theme="1"/>
      <name val="Times New Roman"/>
      <family val="1"/>
    </font>
    <font>
      <b/>
      <sz val="14"/>
      <color theme="1"/>
      <name val="Times New Roman"/>
      <family val="1"/>
    </font>
    <font>
      <b/>
      <sz val="12"/>
      <name val="Times New Roman"/>
      <family val="1"/>
    </font>
    <font>
      <b/>
      <sz val="10"/>
      <name val="Times New Roman"/>
      <family val="1"/>
    </font>
    <font>
      <sz val="11"/>
      <name val="Calibri"/>
      <family val="2"/>
      <scheme val="minor"/>
    </font>
    <font>
      <sz val="11"/>
      <color rgb="FFFF0000"/>
      <name val="Times New Roman"/>
      <family val="1"/>
    </font>
    <font>
      <b/>
      <sz val="14"/>
      <color indexed="8"/>
      <name val="Times New Roman"/>
      <family val="1"/>
    </font>
    <font>
      <sz val="11"/>
      <color theme="1"/>
      <name val="Times New Roman"/>
      <family val="1"/>
    </font>
    <font>
      <b/>
      <sz val="11"/>
      <color indexed="8"/>
      <name val="Times New Roman"/>
      <family val="1"/>
    </font>
    <font>
      <sz val="11"/>
      <color indexed="8"/>
      <name val="Times New Roman"/>
      <family val="1"/>
    </font>
    <font>
      <sz val="10"/>
      <color theme="1"/>
      <name val="Times New Roman"/>
      <family val="1"/>
    </font>
    <font>
      <b/>
      <sz val="10"/>
      <color theme="1"/>
      <name val="Times New Roman"/>
      <family val="1"/>
    </font>
    <font>
      <b/>
      <sz val="11"/>
      <color theme="1"/>
      <name val="Times New Roman"/>
      <family val="1"/>
    </font>
    <font>
      <sz val="9.5"/>
      <name val="Times New Roman"/>
      <family val="1"/>
    </font>
    <font>
      <sz val="9.5"/>
      <color theme="1"/>
      <name val="Times New Roman"/>
      <family val="1"/>
    </font>
    <font>
      <sz val="9.5"/>
      <color indexed="8"/>
      <name val="Times New Roman"/>
      <family val="1"/>
    </font>
    <font>
      <sz val="10"/>
      <name val="Arial"/>
      <family val="2"/>
    </font>
    <font>
      <sz val="9.5"/>
      <color rgb="FF000000"/>
      <name val="Times New Roman"/>
      <family val="1"/>
    </font>
    <font>
      <b/>
      <sz val="9.5"/>
      <color theme="1"/>
      <name val="Times New Roman"/>
      <family val="1"/>
    </font>
    <font>
      <sz val="10"/>
      <name val="Verdana"/>
      <family val="2"/>
    </font>
    <font>
      <sz val="9"/>
      <name val="Times New Roman"/>
      <family val="1"/>
    </font>
    <font>
      <sz val="10"/>
      <color indexed="8"/>
      <name val="Times New Roman"/>
      <family val="1"/>
    </font>
    <font>
      <sz val="10"/>
      <name val="Times New Roman"/>
      <family val="1"/>
    </font>
  </fonts>
  <fills count="3">
    <fill>
      <patternFill patternType="none"/>
    </fill>
    <fill>
      <patternFill patternType="gray125"/>
    </fill>
    <fill>
      <patternFill patternType="solid">
        <fgColor indexed="9"/>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s>
  <cellStyleXfs count="3">
    <xf numFmtId="0" fontId="0" fillId="0" borderId="0"/>
    <xf numFmtId="0" fontId="20" fillId="0" borderId="1"/>
    <xf numFmtId="0" fontId="23" fillId="0" borderId="1"/>
  </cellStyleXfs>
  <cellXfs count="189">
    <xf numFmtId="0" fontId="0" fillId="0" borderId="0" xfId="0"/>
    <xf numFmtId="0" fontId="3" fillId="0" borderId="2" xfId="0" applyFont="1" applyBorder="1" applyAlignment="1">
      <alignment horizontal="center"/>
    </xf>
    <xf numFmtId="0" fontId="4" fillId="0" borderId="2"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1" fillId="0" borderId="1" xfId="0" applyFont="1" applyBorder="1"/>
    <xf numFmtId="0" fontId="1" fillId="0" borderId="3" xfId="0" applyFont="1" applyBorder="1"/>
    <xf numFmtId="0" fontId="1" fillId="0" borderId="1" xfId="0" applyFont="1" applyBorder="1" applyAlignment="1">
      <alignment horizontal="center"/>
    </xf>
    <xf numFmtId="164" fontId="1" fillId="0" borderId="1" xfId="0" applyNumberFormat="1" applyFont="1" applyBorder="1"/>
    <xf numFmtId="0" fontId="1" fillId="0" borderId="0" xfId="0" applyFont="1"/>
    <xf numFmtId="0" fontId="1" fillId="0" borderId="0" xfId="0" applyFont="1" applyAlignment="1">
      <alignment wrapText="1"/>
    </xf>
    <xf numFmtId="0" fontId="1" fillId="0" borderId="0" xfId="0" applyFont="1" applyAlignment="1">
      <alignment horizontal="center" vertical="top"/>
    </xf>
    <xf numFmtId="0" fontId="1" fillId="0" borderId="0" xfId="0" applyFont="1" applyAlignment="1">
      <alignment horizontal="center"/>
    </xf>
    <xf numFmtId="164" fontId="4" fillId="0" borderId="2" xfId="0" applyNumberFormat="1" applyFont="1" applyBorder="1" applyAlignment="1">
      <alignment horizontal="right"/>
    </xf>
    <xf numFmtId="164" fontId="3" fillId="0" borderId="2" xfId="0" applyNumberFormat="1" applyFont="1" applyBorder="1" applyAlignment="1">
      <alignment horizontal="right"/>
    </xf>
    <xf numFmtId="164" fontId="4" fillId="0" borderId="2" xfId="0" applyNumberFormat="1" applyFont="1" applyBorder="1" applyAlignment="1">
      <alignment horizontal="right" vertical="center"/>
    </xf>
    <xf numFmtId="164" fontId="3" fillId="0" borderId="2" xfId="0" applyNumberFormat="1" applyFont="1" applyBorder="1" applyAlignment="1">
      <alignment horizontal="right" vertical="center"/>
    </xf>
    <xf numFmtId="0" fontId="1" fillId="0" borderId="2" xfId="0" applyFont="1" applyBorder="1" applyAlignment="1">
      <alignment horizontal="center" vertical="center"/>
    </xf>
    <xf numFmtId="0" fontId="1" fillId="0" borderId="2" xfId="0" applyFont="1" applyBorder="1"/>
    <xf numFmtId="2" fontId="1" fillId="0" borderId="2" xfId="0" applyNumberFormat="1" applyFont="1" applyBorder="1" applyAlignment="1">
      <alignment horizontal="center"/>
    </xf>
    <xf numFmtId="164" fontId="1" fillId="0" borderId="2" xfId="0" applyNumberFormat="1" applyFont="1" applyBorder="1"/>
    <xf numFmtId="0" fontId="1" fillId="0" borderId="9" xfId="0" applyFont="1" applyBorder="1" applyAlignment="1">
      <alignment horizontal="center"/>
    </xf>
    <xf numFmtId="0" fontId="1" fillId="0" borderId="0" xfId="0" applyFont="1" applyAlignment="1">
      <alignment vertical="center"/>
    </xf>
    <xf numFmtId="2" fontId="1" fillId="0" borderId="9" xfId="0" applyNumberFormat="1" applyFont="1" applyBorder="1" applyAlignment="1">
      <alignment horizontal="center"/>
    </xf>
    <xf numFmtId="0" fontId="8" fillId="0" borderId="2" xfId="0" applyFont="1" applyBorder="1"/>
    <xf numFmtId="0" fontId="9" fillId="0" borderId="2" xfId="0" applyFont="1" applyBorder="1" applyAlignment="1">
      <alignment horizontal="right" vertical="center"/>
    </xf>
    <xf numFmtId="0" fontId="9" fillId="0" borderId="2" xfId="0" applyFont="1" applyBorder="1" applyAlignment="1">
      <alignment horizontal="center" vertical="center"/>
    </xf>
    <xf numFmtId="2" fontId="1" fillId="0" borderId="2" xfId="0" applyNumberFormat="1" applyFont="1" applyBorder="1" applyAlignment="1">
      <alignment vertical="center"/>
    </xf>
    <xf numFmtId="2" fontId="1" fillId="0" borderId="2" xfId="0" applyNumberFormat="1" applyFont="1" applyBorder="1"/>
    <xf numFmtId="2" fontId="1" fillId="0" borderId="2" xfId="0" applyNumberFormat="1" applyFont="1" applyBorder="1" applyAlignment="1">
      <alignment horizontal="center" vertical="top"/>
    </xf>
    <xf numFmtId="0" fontId="1" fillId="0" borderId="2" xfId="0" applyFont="1" applyBorder="1" applyAlignment="1">
      <alignment horizontal="center" vertical="center" wrapText="1"/>
    </xf>
    <xf numFmtId="0" fontId="1" fillId="0" borderId="2" xfId="0" applyFont="1" applyBorder="1" applyAlignment="1">
      <alignment horizontal="right" vertical="top" wrapText="1"/>
    </xf>
    <xf numFmtId="2" fontId="9" fillId="0" borderId="9" xfId="0" applyNumberFormat="1" applyFont="1" applyBorder="1" applyAlignment="1">
      <alignment horizontal="center"/>
    </xf>
    <xf numFmtId="0" fontId="1" fillId="0" borderId="2" xfId="0" applyFont="1" applyBorder="1" applyAlignment="1">
      <alignment vertical="top"/>
    </xf>
    <xf numFmtId="0" fontId="11" fillId="0" borderId="0" xfId="0" applyFont="1"/>
    <xf numFmtId="0" fontId="11" fillId="0" borderId="2" xfId="0" applyFont="1" applyBorder="1"/>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2" fillId="0" borderId="2" xfId="0" applyFont="1" applyBorder="1" applyAlignment="1">
      <alignment vertical="center" wrapText="1"/>
    </xf>
    <xf numFmtId="0" fontId="1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2" xfId="0" applyFont="1" applyBorder="1" applyAlignment="1">
      <alignment horizontal="center"/>
    </xf>
    <xf numFmtId="0" fontId="14" fillId="0" borderId="2" xfId="0" applyFont="1" applyBorder="1"/>
    <xf numFmtId="164" fontId="15" fillId="0" borderId="2" xfId="0" applyNumberFormat="1" applyFont="1" applyBorder="1" applyAlignment="1">
      <alignment horizontal="center" vertical="center"/>
    </xf>
    <xf numFmtId="0" fontId="15" fillId="0" borderId="2" xfId="0" applyFont="1" applyBorder="1" applyAlignment="1">
      <alignment horizontal="center"/>
    </xf>
    <xf numFmtId="164" fontId="16" fillId="0" borderId="2" xfId="0" applyNumberFormat="1" applyFont="1" applyBorder="1" applyAlignment="1">
      <alignment horizontal="center" vertical="center"/>
    </xf>
    <xf numFmtId="2" fontId="1" fillId="0" borderId="1" xfId="0" applyNumberFormat="1" applyFont="1" applyBorder="1" applyAlignment="1">
      <alignment horizontal="center" vertical="center"/>
    </xf>
    <xf numFmtId="2" fontId="9" fillId="0" borderId="1" xfId="0" applyNumberFormat="1" applyFont="1" applyBorder="1" applyAlignment="1">
      <alignment horizontal="center"/>
    </xf>
    <xf numFmtId="2" fontId="8" fillId="0" borderId="2" xfId="0" applyNumberFormat="1" applyFont="1" applyBorder="1"/>
    <xf numFmtId="0" fontId="7" fillId="0" borderId="2" xfId="0" applyFont="1" applyBorder="1" applyAlignment="1">
      <alignment horizontal="center" vertical="center" wrapText="1"/>
    </xf>
    <xf numFmtId="0" fontId="1" fillId="0" borderId="2" xfId="0" applyFont="1" applyBorder="1" applyAlignment="1">
      <alignment horizontal="center" vertical="top" wrapText="1"/>
    </xf>
    <xf numFmtId="0" fontId="1" fillId="0" borderId="2" xfId="0" applyFont="1" applyBorder="1" applyAlignment="1">
      <alignment horizontal="center" vertical="top"/>
    </xf>
    <xf numFmtId="0" fontId="1" fillId="0" borderId="2" xfId="0" applyFont="1" applyBorder="1" applyAlignment="1">
      <alignment horizontal="justify" vertical="top" wrapText="1"/>
    </xf>
    <xf numFmtId="0" fontId="1" fillId="0" borderId="2" xfId="0" applyFont="1" applyBorder="1" applyAlignment="1">
      <alignment horizontal="justify" vertical="top"/>
    </xf>
    <xf numFmtId="2" fontId="1" fillId="0" borderId="2" xfId="0" applyNumberFormat="1" applyFont="1" applyBorder="1"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left" vertical="center"/>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2" fillId="0" borderId="2" xfId="0" applyFont="1" applyBorder="1" applyAlignment="1">
      <alignment horizontal="center" vertical="center" wrapText="1"/>
    </xf>
    <xf numFmtId="0" fontId="1" fillId="0" borderId="2" xfId="0" applyFont="1" applyBorder="1" applyAlignment="1">
      <alignment horizontal="right" vertical="center"/>
    </xf>
    <xf numFmtId="0" fontId="18" fillId="0" borderId="1" xfId="0" applyFont="1" applyBorder="1"/>
    <xf numFmtId="0" fontId="18" fillId="0" borderId="2" xfId="0" applyFont="1" applyBorder="1" applyAlignment="1">
      <alignment horizontal="center" vertical="center"/>
    </xf>
    <xf numFmtId="0" fontId="17" fillId="0" borderId="2" xfId="0" quotePrefix="1" applyFont="1" applyBorder="1" applyAlignment="1">
      <alignment horizontal="center" vertical="top" wrapText="1"/>
    </xf>
    <xf numFmtId="0" fontId="17" fillId="0" borderId="2" xfId="0" applyFont="1" applyBorder="1" applyAlignment="1">
      <alignment horizontal="justify" vertical="top" wrapText="1"/>
    </xf>
    <xf numFmtId="0" fontId="18" fillId="0" borderId="2" xfId="0" applyFont="1" applyBorder="1" applyAlignment="1">
      <alignment horizontal="center"/>
    </xf>
    <xf numFmtId="1" fontId="18" fillId="0" borderId="2" xfId="0" applyNumberFormat="1" applyFont="1" applyBorder="1" applyAlignment="1">
      <alignment horizontal="center"/>
    </xf>
    <xf numFmtId="2" fontId="17" fillId="0" borderId="1" xfId="0" applyNumberFormat="1" applyFont="1" applyBorder="1" applyAlignment="1">
      <alignment horizontal="center"/>
    </xf>
    <xf numFmtId="2" fontId="17" fillId="0" borderId="2" xfId="0" applyNumberFormat="1" applyFont="1" applyBorder="1" applyAlignment="1">
      <alignment horizontal="center"/>
    </xf>
    <xf numFmtId="2" fontId="18" fillId="0" borderId="2" xfId="0" applyNumberFormat="1" applyFont="1" applyBorder="1" applyAlignment="1">
      <alignment horizontal="center"/>
    </xf>
    <xf numFmtId="2" fontId="18" fillId="0" borderId="1" xfId="0" applyNumberFormat="1" applyFont="1" applyBorder="1"/>
    <xf numFmtId="0" fontId="18" fillId="0" borderId="2" xfId="0" applyFont="1" applyBorder="1" applyAlignment="1">
      <alignment horizontal="center" vertical="top"/>
    </xf>
    <xf numFmtId="0" fontId="17" fillId="0" borderId="2" xfId="0" applyFont="1" applyBorder="1" applyAlignment="1">
      <alignment horizontal="center" wrapText="1"/>
    </xf>
    <xf numFmtId="0" fontId="17" fillId="0" borderId="2" xfId="0" quotePrefix="1" applyFont="1" applyBorder="1" applyAlignment="1">
      <alignment horizontal="center"/>
    </xf>
    <xf numFmtId="0" fontId="17" fillId="0" borderId="1" xfId="0" quotePrefix="1" applyFont="1" applyBorder="1"/>
    <xf numFmtId="0" fontId="19" fillId="2" borderId="2" xfId="0" applyFont="1" applyFill="1" applyBorder="1" applyAlignment="1">
      <alignment horizontal="justify" vertical="top" wrapText="1"/>
    </xf>
    <xf numFmtId="2" fontId="19" fillId="2" borderId="2" xfId="0" applyNumberFormat="1" applyFont="1" applyFill="1" applyBorder="1" applyAlignment="1">
      <alignment horizontal="center" wrapText="1"/>
    </xf>
    <xf numFmtId="49" fontId="19" fillId="0" borderId="2" xfId="0" applyNumberFormat="1" applyFont="1" applyBorder="1" applyAlignment="1">
      <alignment horizontal="center" vertical="top" wrapText="1"/>
    </xf>
    <xf numFmtId="49" fontId="19" fillId="0" borderId="2" xfId="0" applyNumberFormat="1" applyFont="1" applyBorder="1" applyAlignment="1">
      <alignment horizontal="center" vertical="center" wrapText="1"/>
    </xf>
    <xf numFmtId="0" fontId="17" fillId="0" borderId="2" xfId="0" applyFont="1" applyBorder="1" applyAlignment="1">
      <alignment horizontal="center" vertical="top" wrapText="1"/>
    </xf>
    <xf numFmtId="0" fontId="18" fillId="0" borderId="2" xfId="0" applyFont="1" applyBorder="1" applyAlignment="1">
      <alignment horizontal="center" vertical="top" wrapText="1"/>
    </xf>
    <xf numFmtId="0" fontId="19" fillId="0" borderId="2" xfId="1" applyFont="1" applyBorder="1" applyAlignment="1">
      <alignment vertical="top" wrapText="1"/>
    </xf>
    <xf numFmtId="2" fontId="19" fillId="0" borderId="2" xfId="1" applyNumberFormat="1" applyFont="1" applyBorder="1" applyAlignment="1">
      <alignment horizontal="center" wrapText="1"/>
    </xf>
    <xf numFmtId="0" fontId="19" fillId="0" borderId="2" xfId="1" applyFont="1" applyBorder="1" applyAlignment="1">
      <alignment horizontal="center" wrapText="1"/>
    </xf>
    <xf numFmtId="0" fontId="18" fillId="0" borderId="2" xfId="0" applyFont="1" applyBorder="1" applyAlignment="1">
      <alignment horizontal="justify" vertical="justify" wrapText="1" shrinkToFit="1"/>
    </xf>
    <xf numFmtId="0" fontId="21" fillId="0" borderId="2" xfId="0" applyFont="1" applyBorder="1" applyAlignment="1">
      <alignment horizontal="center" wrapText="1"/>
    </xf>
    <xf numFmtId="0" fontId="18" fillId="0" borderId="2" xfId="0" applyFont="1" applyBorder="1"/>
    <xf numFmtId="0" fontId="17" fillId="0" borderId="2" xfId="0" applyFont="1" applyBorder="1" applyAlignment="1">
      <alignment horizontal="left" vertical="top" wrapText="1" shrinkToFit="1"/>
    </xf>
    <xf numFmtId="0" fontId="22" fillId="0" borderId="2" xfId="0" applyFont="1" applyBorder="1"/>
    <xf numFmtId="0" fontId="18" fillId="0" borderId="2" xfId="0" applyFont="1" applyBorder="1" applyAlignment="1">
      <alignment horizontal="right"/>
    </xf>
    <xf numFmtId="0" fontId="17" fillId="0" borderId="1" xfId="0" applyFont="1" applyBorder="1" applyAlignment="1">
      <alignment horizontal="center" vertical="top" wrapText="1"/>
    </xf>
    <xf numFmtId="0" fontId="17" fillId="0" borderId="1" xfId="0" applyFont="1" applyBorder="1" applyAlignment="1">
      <alignment horizontal="left" vertical="top" wrapText="1" shrinkToFit="1"/>
    </xf>
    <xf numFmtId="0" fontId="21" fillId="0" borderId="1" xfId="0" applyFont="1" applyBorder="1" applyAlignment="1">
      <alignment horizontal="center" wrapText="1"/>
    </xf>
    <xf numFmtId="164" fontId="17" fillId="0" borderId="2" xfId="0" applyNumberFormat="1" applyFont="1" applyBorder="1" applyAlignment="1">
      <alignment horizontal="right"/>
    </xf>
    <xf numFmtId="2" fontId="2" fillId="0" borderId="2" xfId="0" applyNumberFormat="1" applyFont="1" applyBorder="1" applyAlignment="1">
      <alignment horizontal="center" vertical="center" wrapText="1"/>
    </xf>
    <xf numFmtId="0" fontId="1" fillId="0" borderId="2" xfId="0" applyFont="1" applyBorder="1" applyAlignment="1">
      <alignment vertical="center"/>
    </xf>
    <xf numFmtId="164" fontId="1" fillId="0" borderId="2" xfId="0" applyNumberFormat="1" applyFont="1" applyBorder="1" applyAlignment="1">
      <alignment horizontal="center"/>
    </xf>
    <xf numFmtId="2" fontId="1" fillId="0" borderId="2" xfId="0" applyNumberFormat="1" applyFont="1" applyBorder="1" applyAlignment="1">
      <alignment horizontal="center" vertical="top" wrapText="1"/>
    </xf>
    <xf numFmtId="2" fontId="1" fillId="0" borderId="2" xfId="0" applyNumberFormat="1" applyFont="1" applyBorder="1" applyAlignment="1">
      <alignment horizontal="center" vertical="center" wrapText="1"/>
    </xf>
    <xf numFmtId="0" fontId="9" fillId="0" borderId="2" xfId="0" applyFont="1" applyBorder="1" applyAlignment="1">
      <alignment horizontal="center"/>
    </xf>
    <xf numFmtId="0" fontId="18" fillId="0" borderId="2" xfId="0" applyFont="1" applyBorder="1" applyAlignment="1">
      <alignment horizontal="center" vertical="center" wrapText="1"/>
    </xf>
    <xf numFmtId="2" fontId="7" fillId="0" borderId="2" xfId="1" applyNumberFormat="1" applyFont="1" applyBorder="1" applyAlignment="1">
      <alignment horizontal="center" vertical="top" wrapText="1"/>
    </xf>
    <xf numFmtId="0" fontId="7" fillId="0" borderId="2" xfId="1" applyFont="1" applyBorder="1" applyAlignment="1">
      <alignment horizontal="center" vertical="top" wrapText="1"/>
    </xf>
    <xf numFmtId="0" fontId="26" fillId="0" borderId="2" xfId="1" applyFont="1" applyBorder="1" applyAlignment="1">
      <alignment horizontal="center" vertical="top" wrapText="1"/>
    </xf>
    <xf numFmtId="0" fontId="7" fillId="0" borderId="2" xfId="1" applyFont="1" applyBorder="1" applyAlignment="1">
      <alignment horizontal="left" vertical="top" wrapText="1"/>
    </xf>
    <xf numFmtId="2" fontId="26" fillId="0" borderId="2" xfId="1" applyNumberFormat="1" applyFont="1" applyBorder="1" applyAlignment="1">
      <alignment horizontal="right" vertical="top" wrapText="1"/>
    </xf>
    <xf numFmtId="0" fontId="26" fillId="0" borderId="2" xfId="1" applyFont="1" applyBorder="1" applyAlignment="1">
      <alignment horizontal="left" vertical="top" wrapText="1"/>
    </xf>
    <xf numFmtId="2" fontId="26" fillId="0" borderId="2" xfId="1" applyNumberFormat="1" applyFont="1" applyBorder="1" applyAlignment="1">
      <alignment horizontal="center" vertical="top" wrapText="1"/>
    </xf>
    <xf numFmtId="2" fontId="7" fillId="0" borderId="2" xfId="1" applyNumberFormat="1" applyFont="1" applyBorder="1" applyAlignment="1">
      <alignment horizontal="right" vertical="top" wrapText="1"/>
    </xf>
    <xf numFmtId="2" fontId="26" fillId="0" borderId="2" xfId="2" applyNumberFormat="1" applyFont="1" applyBorder="1" applyAlignment="1">
      <alignment horizontal="center" vertical="top"/>
    </xf>
    <xf numFmtId="10" fontId="26" fillId="0" borderId="2" xfId="1" applyNumberFormat="1" applyFont="1" applyBorder="1" applyAlignment="1">
      <alignment horizontal="center" vertical="top" wrapText="1"/>
    </xf>
    <xf numFmtId="2" fontId="15" fillId="0" borderId="2" xfId="0" applyNumberFormat="1" applyFont="1" applyBorder="1"/>
    <xf numFmtId="0" fontId="14" fillId="0" borderId="8" xfId="0" applyFont="1" applyBorder="1" applyAlignment="1">
      <alignment horizontal="justify" vertical="justify" wrapText="1" shrinkToFit="1"/>
    </xf>
    <xf numFmtId="2" fontId="1" fillId="0" borderId="2" xfId="0" applyNumberFormat="1" applyFont="1" applyBorder="1" applyAlignment="1">
      <alignment horizontal="right"/>
    </xf>
    <xf numFmtId="164" fontId="1" fillId="0" borderId="2" xfId="0" applyNumberFormat="1" applyFont="1" applyBorder="1" applyAlignment="1">
      <alignment horizontal="right"/>
    </xf>
    <xf numFmtId="2" fontId="1" fillId="0" borderId="0" xfId="0" applyNumberFormat="1" applyFont="1"/>
    <xf numFmtId="2" fontId="8" fillId="0" borderId="2" xfId="0" applyNumberFormat="1" applyFont="1" applyBorder="1" applyAlignment="1">
      <alignment horizontal="right"/>
    </xf>
    <xf numFmtId="2" fontId="1" fillId="0" borderId="2" xfId="0" applyNumberFormat="1" applyFont="1" applyBorder="1" applyAlignment="1">
      <alignment horizontal="right" wrapText="1"/>
    </xf>
    <xf numFmtId="165" fontId="1" fillId="0" borderId="2" xfId="0" applyNumberFormat="1" applyFont="1" applyBorder="1" applyAlignment="1">
      <alignment horizontal="center" vertical="top"/>
    </xf>
    <xf numFmtId="2" fontId="8" fillId="0" borderId="2" xfId="0" applyNumberFormat="1" applyFont="1" applyBorder="1" applyAlignment="1">
      <alignment horizontal="center" vertical="top"/>
    </xf>
    <xf numFmtId="164" fontId="2" fillId="0" borderId="2" xfId="0" applyNumberFormat="1" applyFont="1" applyBorder="1" applyAlignment="1">
      <alignment horizontal="right"/>
    </xf>
    <xf numFmtId="0" fontId="1" fillId="0" borderId="2" xfId="0" applyFont="1" applyBorder="1" applyAlignment="1">
      <alignment horizontal="justify" vertical="top" wrapText="1"/>
    </xf>
    <xf numFmtId="0" fontId="1" fillId="0" borderId="2" xfId="0" applyFont="1" applyBorder="1" applyAlignment="1">
      <alignment horizontal="justify" vertical="top"/>
    </xf>
    <xf numFmtId="0" fontId="1" fillId="0" borderId="2" xfId="0" applyFont="1" applyBorder="1" applyAlignment="1">
      <alignment horizontal="right" vertical="top"/>
    </xf>
    <xf numFmtId="0" fontId="1" fillId="0" borderId="0" xfId="0" applyFont="1" applyAlignment="1">
      <alignment horizont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 fillId="0" borderId="2" xfId="0" applyFont="1" applyBorder="1" applyAlignment="1">
      <alignment horizontal="left" vertical="top" wrapText="1"/>
    </xf>
    <xf numFmtId="0" fontId="1" fillId="0" borderId="2" xfId="0" applyFont="1" applyBorder="1" applyAlignment="1">
      <alignment horizontal="left" vertical="top"/>
    </xf>
    <xf numFmtId="0" fontId="2" fillId="0" borderId="2" xfId="0" applyFont="1" applyBorder="1" applyAlignment="1">
      <alignment horizontal="center" vertical="center" wrapText="1"/>
    </xf>
    <xf numFmtId="0" fontId="1" fillId="0" borderId="2" xfId="0" applyFont="1" applyBorder="1" applyAlignment="1">
      <alignment horizontal="center" vertical="top"/>
    </xf>
    <xf numFmtId="166" fontId="1" fillId="0" borderId="2" xfId="0" applyNumberFormat="1" applyFont="1" applyBorder="1" applyAlignment="1">
      <alignment horizontal="center" vertical="top"/>
    </xf>
    <xf numFmtId="0" fontId="1" fillId="0" borderId="2" xfId="0" applyFont="1" applyBorder="1" applyAlignment="1">
      <alignment horizontal="center" vertical="top" wrapText="1"/>
    </xf>
    <xf numFmtId="165" fontId="1" fillId="0" borderId="2" xfId="0" applyNumberFormat="1" applyFont="1" applyBorder="1" applyAlignment="1">
      <alignment horizontal="center" vertical="top"/>
    </xf>
    <xf numFmtId="0" fontId="1" fillId="0" borderId="2" xfId="0" applyFont="1" applyBorder="1"/>
    <xf numFmtId="2" fontId="1" fillId="0" borderId="2" xfId="0" applyNumberFormat="1" applyFont="1" applyBorder="1"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left" vertical="center"/>
    </xf>
    <xf numFmtId="0" fontId="8" fillId="0" borderId="2" xfId="0" applyFont="1" applyBorder="1" applyAlignment="1">
      <alignment horizontal="center" vertical="top"/>
    </xf>
    <xf numFmtId="2" fontId="1" fillId="0" borderId="9" xfId="0" applyNumberFormat="1" applyFont="1" applyBorder="1" applyAlignment="1">
      <alignment horizontal="center" vertical="center"/>
    </xf>
    <xf numFmtId="0" fontId="1" fillId="0" borderId="9" xfId="0" applyFont="1" applyBorder="1" applyAlignment="1">
      <alignment horizontal="center"/>
    </xf>
    <xf numFmtId="0" fontId="8" fillId="0" borderId="2" xfId="0" applyFont="1" applyBorder="1" applyAlignment="1">
      <alignment horizontal="center"/>
    </xf>
    <xf numFmtId="2" fontId="1" fillId="0" borderId="2" xfId="0" applyNumberFormat="1" applyFont="1" applyBorder="1" applyAlignment="1">
      <alignment horizontal="center"/>
    </xf>
    <xf numFmtId="164" fontId="1" fillId="0" borderId="2" xfId="0" applyNumberFormat="1" applyFont="1" applyBorder="1" applyAlignment="1">
      <alignment horizontal="center"/>
    </xf>
    <xf numFmtId="0" fontId="1" fillId="0" borderId="2" xfId="0" applyFont="1" applyBorder="1" applyAlignment="1">
      <alignment horizontal="center" vertical="center"/>
    </xf>
    <xf numFmtId="2" fontId="1" fillId="0" borderId="2" xfId="0" applyNumberFormat="1" applyFont="1" applyBorder="1" applyAlignment="1">
      <alignment horizontal="center" vertical="top"/>
    </xf>
    <xf numFmtId="0" fontId="11" fillId="0" borderId="0" xfId="0" applyFont="1" applyAlignment="1">
      <alignment horizontal="center"/>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4" xfId="0" applyFont="1" applyBorder="1" applyAlignment="1">
      <alignment horizontal="center"/>
    </xf>
    <xf numFmtId="0" fontId="11" fillId="0" borderId="6" xfId="0" applyFont="1" applyBorder="1" applyAlignment="1">
      <alignment horizontal="center"/>
    </xf>
    <xf numFmtId="0" fontId="10" fillId="0" borderId="7" xfId="0" applyFont="1" applyBorder="1" applyAlignment="1">
      <alignment horizontal="center" vertical="top"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4" xfId="0" applyFont="1" applyBorder="1" applyAlignment="1">
      <alignment horizontal="center"/>
    </xf>
    <xf numFmtId="0" fontId="12" fillId="0" borderId="5" xfId="0" applyFont="1" applyBorder="1" applyAlignment="1">
      <alignment horizontal="center"/>
    </xf>
    <xf numFmtId="49" fontId="12" fillId="0" borderId="2" xfId="0" applyNumberFormat="1" applyFont="1" applyBorder="1" applyAlignment="1">
      <alignment horizontal="center"/>
    </xf>
    <xf numFmtId="49" fontId="12" fillId="0" borderId="4" xfId="0" applyNumberFormat="1" applyFont="1" applyBorder="1" applyAlignment="1">
      <alignment horizontal="center"/>
    </xf>
    <xf numFmtId="49" fontId="12" fillId="0" borderId="5" xfId="0" applyNumberFormat="1" applyFont="1" applyBorder="1" applyAlignment="1">
      <alignment horizontal="center"/>
    </xf>
    <xf numFmtId="49" fontId="12" fillId="0" borderId="6" xfId="0" applyNumberFormat="1" applyFont="1" applyBorder="1" applyAlignment="1">
      <alignment horizont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8" xfId="0" applyFont="1" applyBorder="1" applyAlignment="1">
      <alignment horizontal="center" vertical="center"/>
    </xf>
    <xf numFmtId="0" fontId="13" fillId="0" borderId="12" xfId="0" applyFont="1" applyBorder="1" applyAlignment="1">
      <alignment horizontal="center" vertical="center" wrapText="1"/>
    </xf>
    <xf numFmtId="0" fontId="13"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4" fillId="0" borderId="2" xfId="0" applyFont="1" applyBorder="1" applyAlignment="1">
      <alignment horizontal="right"/>
    </xf>
    <xf numFmtId="0" fontId="3" fillId="0" borderId="1" xfId="0" applyFont="1" applyBorder="1" applyAlignment="1">
      <alignment horizontal="left" vertical="top" wrapText="1"/>
    </xf>
    <xf numFmtId="0" fontId="5" fillId="0" borderId="7" xfId="0" applyFont="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right"/>
    </xf>
    <xf numFmtId="0" fontId="1" fillId="0" borderId="2" xfId="0" applyFont="1" applyBorder="1" applyAlignment="1">
      <alignment horizontal="right" vertical="center"/>
    </xf>
    <xf numFmtId="0" fontId="24" fillId="0" borderId="1" xfId="0" applyFont="1" applyBorder="1" applyAlignment="1">
      <alignment horizontal="left" vertical="center" wrapText="1" indent="2"/>
    </xf>
    <xf numFmtId="0" fontId="24" fillId="0" borderId="1" xfId="0" applyFont="1" applyBorder="1" applyAlignment="1">
      <alignment horizontal="center" vertical="center" wrapText="1"/>
    </xf>
    <xf numFmtId="0" fontId="4" fillId="0" borderId="2" xfId="0" applyFont="1" applyBorder="1" applyAlignment="1">
      <alignment horizontal="center" vertical="center"/>
    </xf>
    <xf numFmtId="0" fontId="18" fillId="0" borderId="10" xfId="0" applyFont="1" applyBorder="1" applyAlignment="1">
      <alignment horizontal="center" vertical="top"/>
    </xf>
    <xf numFmtId="0" fontId="18" fillId="0" borderId="11" xfId="0" applyFont="1" applyBorder="1" applyAlignment="1">
      <alignment horizontal="center" vertical="top"/>
    </xf>
    <xf numFmtId="0" fontId="18" fillId="0" borderId="8" xfId="0" applyFont="1" applyBorder="1" applyAlignment="1">
      <alignment horizontal="center" vertical="top"/>
    </xf>
    <xf numFmtId="0" fontId="2" fillId="0" borderId="7" xfId="0" applyFont="1" applyBorder="1" applyAlignment="1">
      <alignment horizontal="left" vertical="top"/>
    </xf>
    <xf numFmtId="0" fontId="2" fillId="0" borderId="2" xfId="0" applyFont="1" applyBorder="1" applyAlignment="1">
      <alignment horizontal="left" vertical="top"/>
    </xf>
    <xf numFmtId="2" fontId="6" fillId="0" borderId="2" xfId="1" applyNumberFormat="1" applyFont="1" applyBorder="1" applyAlignment="1">
      <alignment horizontal="center" vertical="top" wrapText="1"/>
    </xf>
    <xf numFmtId="0" fontId="25" fillId="0" borderId="2" xfId="1" applyFont="1" applyBorder="1" applyAlignment="1">
      <alignment horizontal="justify" vertical="top"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CPWDSOR\1625510008948_DAR%2018%20(El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MR Items"/>
      <sheetName val="DSR 18"/>
      <sheetName val="DSR"/>
      <sheetName val="Basic Material"/>
      <sheetName val="Labour"/>
      <sheetName val="MR Basic Material"/>
      <sheetName val="% above DSR"/>
      <sheetName val="SH(1-17)"/>
      <sheetName val="Print"/>
      <sheetName val="Material Used"/>
      <sheetName val="SH-MR"/>
      <sheetName val="Fittings"/>
      <sheetName val="lOAD bANK &amp; Panels"/>
      <sheetName val="Fan WO Labour"/>
      <sheetName val="MCB"/>
      <sheetName val="Cable Wo Labour"/>
      <sheetName val="Bulb"/>
      <sheetName val="Fire Extinguisher"/>
      <sheetName val="Pole"/>
      <sheetName val="fire"/>
      <sheetName val="Sheet1"/>
    </sheetNames>
    <sheetDataSet>
      <sheetData sheetId="0" refreshError="1"/>
      <sheetData sheetId="1" refreshError="1"/>
      <sheetData sheetId="2" refreshError="1"/>
      <sheetData sheetId="3" refreshError="1"/>
      <sheetData sheetId="4" refreshError="1">
        <row r="1">
          <cell r="A1" t="str">
            <v xml:space="preserve">Mode of Analysis (DAR/Market Rates) </v>
          </cell>
        </row>
        <row r="3">
          <cell r="T3" t="str">
            <v>Add 12% GST (MF = 0.1405)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6"/>
  <sheetViews>
    <sheetView tabSelected="1" zoomScale="90" zoomScaleNormal="90" workbookViewId="0">
      <pane ySplit="2" topLeftCell="A76" activePane="bottomLeft" state="frozen"/>
      <selection pane="bottomLeft" activeCell="P3" sqref="P3"/>
    </sheetView>
  </sheetViews>
  <sheetFormatPr defaultColWidth="12.6640625" defaultRowHeight="15" customHeight="1" x14ac:dyDescent="0.25"/>
  <cols>
    <col min="1" max="1" width="4.88671875" style="11" customWidth="1"/>
    <col min="2" max="2" width="6.88671875" style="9" customWidth="1"/>
    <col min="3" max="3" width="22.109375" style="9" customWidth="1"/>
    <col min="4" max="4" width="6.5546875" style="12" customWidth="1"/>
    <col min="5" max="5" width="5.33203125" style="12" customWidth="1"/>
    <col min="6" max="6" width="5.77734375" style="12" customWidth="1"/>
    <col min="7" max="7" width="6.5546875" style="12" customWidth="1"/>
    <col min="8" max="8" width="5" style="12" customWidth="1"/>
    <col min="9" max="9" width="8.109375" style="12" customWidth="1"/>
    <col min="10" max="10" width="6" style="9" customWidth="1"/>
    <col min="11" max="11" width="8" style="9" customWidth="1"/>
    <col min="12" max="12" width="14.109375" style="9" customWidth="1"/>
    <col min="13" max="14" width="7.6640625" style="9" customWidth="1"/>
    <col min="15" max="16384" width="12.6640625" style="9"/>
  </cols>
  <sheetData>
    <row r="1" spans="1:14" ht="25.2" customHeight="1" x14ac:dyDescent="0.25">
      <c r="A1" s="128" t="s">
        <v>133</v>
      </c>
      <c r="B1" s="128"/>
      <c r="C1" s="128"/>
      <c r="D1" s="128"/>
      <c r="E1" s="128"/>
      <c r="F1" s="128"/>
      <c r="G1" s="128"/>
      <c r="H1" s="128"/>
      <c r="I1" s="128"/>
      <c r="J1" s="128"/>
      <c r="K1" s="128"/>
      <c r="L1" s="128"/>
    </row>
    <row r="2" spans="1:14" ht="42.6" customHeight="1" x14ac:dyDescent="0.25">
      <c r="A2" s="49" t="s">
        <v>3</v>
      </c>
      <c r="B2" s="59" t="s">
        <v>4</v>
      </c>
      <c r="C2" s="59" t="s">
        <v>5</v>
      </c>
      <c r="D2" s="59" t="s">
        <v>6</v>
      </c>
      <c r="E2" s="59" t="s">
        <v>6</v>
      </c>
      <c r="F2" s="59" t="s">
        <v>7</v>
      </c>
      <c r="G2" s="94" t="s">
        <v>8</v>
      </c>
      <c r="H2" s="59" t="s">
        <v>9</v>
      </c>
      <c r="I2" s="59" t="s">
        <v>10</v>
      </c>
      <c r="J2" s="59" t="s">
        <v>11</v>
      </c>
      <c r="K2" s="59" t="s">
        <v>22</v>
      </c>
      <c r="L2" s="59" t="s">
        <v>12</v>
      </c>
      <c r="M2" s="10"/>
      <c r="N2" s="10"/>
    </row>
    <row r="3" spans="1:14" ht="57.6" customHeight="1" x14ac:dyDescent="0.25">
      <c r="A3" s="134">
        <v>1</v>
      </c>
      <c r="B3" s="132">
        <v>15.7</v>
      </c>
      <c r="C3" s="121" t="s">
        <v>223</v>
      </c>
      <c r="D3" s="122"/>
      <c r="E3" s="122"/>
      <c r="F3" s="122"/>
      <c r="G3" s="122"/>
      <c r="H3" s="122"/>
      <c r="I3" s="122"/>
      <c r="J3" s="17"/>
      <c r="K3" s="18"/>
      <c r="L3" s="18"/>
    </row>
    <row r="4" spans="1:14" ht="18" customHeight="1" x14ac:dyDescent="0.25">
      <c r="A4" s="134"/>
      <c r="B4" s="132"/>
      <c r="C4" s="56" t="s">
        <v>44</v>
      </c>
      <c r="D4" s="17">
        <v>1</v>
      </c>
      <c r="E4" s="55"/>
      <c r="F4" s="55">
        <v>10.45</v>
      </c>
      <c r="G4" s="55">
        <v>0.122</v>
      </c>
      <c r="H4" s="55">
        <v>0.78</v>
      </c>
      <c r="I4" s="54">
        <f>H4*G4*F4*D4</f>
        <v>0.99</v>
      </c>
      <c r="J4" s="17"/>
      <c r="K4" s="18"/>
      <c r="L4" s="18"/>
    </row>
    <row r="5" spans="1:14" ht="16.2" customHeight="1" x14ac:dyDescent="0.25">
      <c r="A5" s="134"/>
      <c r="B5" s="132"/>
      <c r="C5" s="18"/>
      <c r="D5" s="17">
        <v>1</v>
      </c>
      <c r="E5" s="55"/>
      <c r="F5" s="55">
        <v>2.2999999999999998</v>
      </c>
      <c r="G5" s="55">
        <v>0.122</v>
      </c>
      <c r="H5" s="55">
        <v>2.1</v>
      </c>
      <c r="I5" s="54">
        <f>H5*G5*F5*D5</f>
        <v>0.59</v>
      </c>
      <c r="J5" s="18"/>
      <c r="K5" s="18"/>
      <c r="L5" s="18"/>
    </row>
    <row r="6" spans="1:14" ht="16.2" customHeight="1" x14ac:dyDescent="0.25">
      <c r="A6" s="134"/>
      <c r="B6" s="132"/>
      <c r="C6" s="18"/>
      <c r="D6" s="17"/>
      <c r="E6" s="55"/>
      <c r="F6" s="55"/>
      <c r="G6" s="137" t="s">
        <v>18</v>
      </c>
      <c r="H6" s="138"/>
      <c r="I6" s="54">
        <f>SUM(I4:I5)</f>
        <v>1.58</v>
      </c>
      <c r="J6" s="17" t="s">
        <v>2</v>
      </c>
      <c r="K6" s="28">
        <v>1698.45</v>
      </c>
      <c r="L6" s="28">
        <f>K6*I6</f>
        <v>2683.55</v>
      </c>
    </row>
    <row r="7" spans="1:14" ht="48" customHeight="1" x14ac:dyDescent="0.25">
      <c r="A7" s="134">
        <v>2</v>
      </c>
      <c r="B7" s="132" t="s">
        <v>26</v>
      </c>
      <c r="C7" s="121" t="s">
        <v>100</v>
      </c>
      <c r="D7" s="122"/>
      <c r="E7" s="122"/>
      <c r="F7" s="122"/>
      <c r="G7" s="122"/>
      <c r="H7" s="122"/>
      <c r="I7" s="122"/>
      <c r="J7" s="138"/>
      <c r="K7" s="138"/>
      <c r="L7" s="144"/>
      <c r="N7" s="9">
        <f>5.95+3.1</f>
        <v>9.0500000000000007</v>
      </c>
    </row>
    <row r="8" spans="1:14" ht="13.5" customHeight="1" x14ac:dyDescent="0.25">
      <c r="A8" s="134"/>
      <c r="B8" s="132"/>
      <c r="C8" s="56" t="s">
        <v>46</v>
      </c>
      <c r="D8" s="17">
        <v>3</v>
      </c>
      <c r="E8" s="55"/>
      <c r="F8" s="19">
        <v>3.15</v>
      </c>
      <c r="G8" s="55">
        <v>1.45</v>
      </c>
      <c r="H8" s="55"/>
      <c r="I8" s="54">
        <f>G8*F8*D8</f>
        <v>13.7</v>
      </c>
      <c r="J8" s="138"/>
      <c r="K8" s="138"/>
      <c r="L8" s="144"/>
    </row>
    <row r="9" spans="1:14" ht="13.5" customHeight="1" x14ac:dyDescent="0.25">
      <c r="A9" s="134"/>
      <c r="B9" s="132"/>
      <c r="C9" s="56"/>
      <c r="D9" s="17">
        <v>1</v>
      </c>
      <c r="E9" s="55"/>
      <c r="F9" s="19">
        <v>2.0499999999999998</v>
      </c>
      <c r="G9" s="55">
        <v>1.45</v>
      </c>
      <c r="H9" s="55"/>
      <c r="I9" s="54">
        <f t="shared" ref="I9:I11" si="0">G9*F9*D9</f>
        <v>2.97</v>
      </c>
      <c r="J9" s="138"/>
      <c r="K9" s="138"/>
      <c r="L9" s="144"/>
    </row>
    <row r="10" spans="1:14" ht="13.5" customHeight="1" x14ac:dyDescent="0.25">
      <c r="A10" s="134"/>
      <c r="B10" s="132"/>
      <c r="C10" s="56"/>
      <c r="D10" s="17">
        <v>3</v>
      </c>
      <c r="E10" s="55"/>
      <c r="F10" s="19">
        <v>9.1999999999999993</v>
      </c>
      <c r="G10" s="55">
        <v>1.5</v>
      </c>
      <c r="H10" s="55"/>
      <c r="I10" s="54">
        <f t="shared" si="0"/>
        <v>41.4</v>
      </c>
      <c r="J10" s="138"/>
      <c r="K10" s="138"/>
      <c r="L10" s="144"/>
    </row>
    <row r="11" spans="1:14" ht="13.5" customHeight="1" x14ac:dyDescent="0.25">
      <c r="A11" s="134"/>
      <c r="B11" s="132"/>
      <c r="C11" s="56"/>
      <c r="D11" s="17">
        <v>1</v>
      </c>
      <c r="E11" s="55"/>
      <c r="F11" s="19">
        <v>7</v>
      </c>
      <c r="G11" s="55">
        <v>2.1</v>
      </c>
      <c r="H11" s="55"/>
      <c r="I11" s="54">
        <f t="shared" si="0"/>
        <v>14.7</v>
      </c>
      <c r="J11" s="138"/>
      <c r="K11" s="138"/>
      <c r="L11" s="144"/>
    </row>
    <row r="12" spans="1:14" ht="13.5" customHeight="1" x14ac:dyDescent="0.25">
      <c r="A12" s="134"/>
      <c r="B12" s="132"/>
      <c r="C12" s="56" t="s">
        <v>47</v>
      </c>
      <c r="D12" s="17">
        <v>4</v>
      </c>
      <c r="E12" s="55"/>
      <c r="F12" s="19">
        <v>3.8</v>
      </c>
      <c r="G12" s="55">
        <v>1.8</v>
      </c>
      <c r="H12" s="55"/>
      <c r="I12" s="54">
        <f>G12*F12*D12</f>
        <v>27.36</v>
      </c>
      <c r="J12" s="138"/>
      <c r="K12" s="138"/>
      <c r="L12" s="144"/>
    </row>
    <row r="13" spans="1:14" ht="13.5" customHeight="1" x14ac:dyDescent="0.25">
      <c r="A13" s="134"/>
      <c r="B13" s="132"/>
      <c r="C13" s="56"/>
      <c r="D13" s="17">
        <v>4</v>
      </c>
      <c r="E13" s="55"/>
      <c r="F13" s="19">
        <v>11.2</v>
      </c>
      <c r="G13" s="55">
        <v>2.1</v>
      </c>
      <c r="H13" s="55"/>
      <c r="I13" s="54">
        <f>G13*F13*D13</f>
        <v>94.08</v>
      </c>
      <c r="J13" s="138"/>
      <c r="K13" s="138"/>
      <c r="L13" s="144"/>
    </row>
    <row r="14" spans="1:14" ht="13.5" customHeight="1" x14ac:dyDescent="0.25">
      <c r="A14" s="134"/>
      <c r="B14" s="132"/>
      <c r="C14" s="56"/>
      <c r="D14" s="17"/>
      <c r="E14" s="55"/>
      <c r="F14" s="19"/>
      <c r="G14" s="137" t="s">
        <v>18</v>
      </c>
      <c r="H14" s="138"/>
      <c r="I14" s="54">
        <f>SUM(I8:I13)</f>
        <v>194.21</v>
      </c>
      <c r="J14" s="17" t="s">
        <v>13</v>
      </c>
      <c r="K14" s="18">
        <v>60.5</v>
      </c>
      <c r="L14" s="20">
        <f>K14*I14</f>
        <v>11749.71</v>
      </c>
    </row>
    <row r="15" spans="1:14" ht="45.6" customHeight="1" x14ac:dyDescent="0.25">
      <c r="A15" s="134">
        <v>3</v>
      </c>
      <c r="B15" s="132">
        <v>15.28</v>
      </c>
      <c r="C15" s="121" t="s">
        <v>83</v>
      </c>
      <c r="D15" s="122"/>
      <c r="E15" s="122"/>
      <c r="F15" s="122"/>
      <c r="G15" s="122"/>
      <c r="H15" s="122"/>
      <c r="I15" s="122"/>
      <c r="J15" s="18"/>
      <c r="K15" s="18"/>
      <c r="L15" s="18"/>
    </row>
    <row r="16" spans="1:14" ht="13.5" customHeight="1" x14ac:dyDescent="0.25">
      <c r="A16" s="134"/>
      <c r="B16" s="132"/>
      <c r="C16" s="56"/>
      <c r="D16" s="55">
        <v>2</v>
      </c>
      <c r="E16" s="55"/>
      <c r="F16" s="55">
        <v>2.1</v>
      </c>
      <c r="G16" s="55">
        <v>0.85</v>
      </c>
      <c r="H16" s="55"/>
      <c r="I16" s="19">
        <f>G16*F16*D16</f>
        <v>3.57</v>
      </c>
      <c r="J16" s="17" t="s">
        <v>13</v>
      </c>
      <c r="K16" s="18">
        <v>136</v>
      </c>
      <c r="L16" s="20">
        <f>K16*I16</f>
        <v>485.52</v>
      </c>
    </row>
    <row r="17" spans="1:15" ht="58.95" customHeight="1" x14ac:dyDescent="0.25">
      <c r="A17" s="134">
        <v>4</v>
      </c>
      <c r="B17" s="132">
        <v>2.25</v>
      </c>
      <c r="C17" s="121" t="s">
        <v>45</v>
      </c>
      <c r="D17" s="121"/>
      <c r="E17" s="121"/>
      <c r="F17" s="121"/>
      <c r="G17" s="121"/>
      <c r="H17" s="121"/>
      <c r="I17" s="121"/>
      <c r="J17" s="17"/>
      <c r="K17" s="18"/>
      <c r="L17" s="20"/>
      <c r="O17" s="9">
        <v>9101136098</v>
      </c>
    </row>
    <row r="18" spans="1:15" ht="19.95" customHeight="1" x14ac:dyDescent="0.25">
      <c r="A18" s="134"/>
      <c r="B18" s="132"/>
      <c r="C18" s="56"/>
      <c r="D18" s="17">
        <v>1</v>
      </c>
      <c r="E18" s="55"/>
      <c r="F18" s="54">
        <v>7.7</v>
      </c>
      <c r="G18" s="54">
        <v>2.6</v>
      </c>
      <c r="H18" s="17">
        <v>0.65</v>
      </c>
      <c r="I18" s="54">
        <f>H18*G18*F18*D18</f>
        <v>13.01</v>
      </c>
      <c r="J18" s="17" t="s">
        <v>2</v>
      </c>
      <c r="K18" s="18">
        <v>253.95</v>
      </c>
      <c r="L18" s="20">
        <f>K18*I18</f>
        <v>3303.89</v>
      </c>
    </row>
    <row r="19" spans="1:15" ht="47.4" customHeight="1" x14ac:dyDescent="0.25">
      <c r="A19" s="134">
        <v>5</v>
      </c>
      <c r="B19" s="132">
        <v>11.2</v>
      </c>
      <c r="C19" s="121" t="s">
        <v>15</v>
      </c>
      <c r="D19" s="122"/>
      <c r="E19" s="122"/>
      <c r="F19" s="122"/>
      <c r="G19" s="122"/>
      <c r="H19" s="122"/>
      <c r="I19" s="122"/>
      <c r="J19" s="17"/>
      <c r="K19" s="18"/>
      <c r="L19" s="20"/>
    </row>
    <row r="20" spans="1:15" ht="16.5" customHeight="1" x14ac:dyDescent="0.25">
      <c r="A20" s="132"/>
      <c r="B20" s="132"/>
      <c r="C20" s="56"/>
      <c r="D20" s="17">
        <v>1</v>
      </c>
      <c r="E20" s="55"/>
      <c r="F20" s="55">
        <v>6</v>
      </c>
      <c r="G20" s="55">
        <v>1.65</v>
      </c>
      <c r="H20" s="55"/>
      <c r="I20" s="54">
        <f>G20*F20*D20</f>
        <v>9.9</v>
      </c>
      <c r="J20" s="17" t="s">
        <v>13</v>
      </c>
      <c r="K20" s="18">
        <v>733.3</v>
      </c>
      <c r="L20" s="20">
        <f>K20*I20</f>
        <v>7259.67</v>
      </c>
    </row>
    <row r="21" spans="1:15" ht="114" customHeight="1" x14ac:dyDescent="0.25">
      <c r="A21" s="134">
        <v>6</v>
      </c>
      <c r="B21" s="132">
        <v>11.5</v>
      </c>
      <c r="C21" s="121" t="s">
        <v>16</v>
      </c>
      <c r="D21" s="122"/>
      <c r="E21" s="122"/>
      <c r="F21" s="122"/>
      <c r="G21" s="122"/>
      <c r="H21" s="122"/>
      <c r="I21" s="122"/>
      <c r="J21" s="17"/>
      <c r="K21" s="18"/>
      <c r="L21" s="20"/>
    </row>
    <row r="22" spans="1:15" ht="16.5" customHeight="1" x14ac:dyDescent="0.25">
      <c r="A22" s="132"/>
      <c r="B22" s="132"/>
      <c r="C22" s="56"/>
      <c r="D22" s="17">
        <v>1</v>
      </c>
      <c r="E22" s="17"/>
      <c r="F22" s="55">
        <v>6</v>
      </c>
      <c r="G22" s="55">
        <v>1.65</v>
      </c>
      <c r="H22" s="17"/>
      <c r="I22" s="54">
        <f>G22*F22*D22</f>
        <v>9.9</v>
      </c>
      <c r="J22" s="17" t="s">
        <v>13</v>
      </c>
      <c r="K22" s="95">
        <v>928.65</v>
      </c>
      <c r="L22" s="20">
        <f>K22*I22</f>
        <v>9193.64</v>
      </c>
      <c r="M22" s="22"/>
      <c r="N22" s="22"/>
    </row>
    <row r="23" spans="1:15" ht="100.95" customHeight="1" x14ac:dyDescent="0.25">
      <c r="A23" s="134">
        <v>7</v>
      </c>
      <c r="B23" s="132">
        <v>11.41</v>
      </c>
      <c r="C23" s="121" t="s">
        <v>17</v>
      </c>
      <c r="D23" s="122"/>
      <c r="E23" s="122"/>
      <c r="F23" s="122"/>
      <c r="G23" s="122"/>
      <c r="H23" s="122"/>
      <c r="I23" s="122"/>
      <c r="J23" s="146"/>
      <c r="K23" s="138"/>
      <c r="L23" s="145"/>
    </row>
    <row r="24" spans="1:15" ht="19.95" customHeight="1" x14ac:dyDescent="0.25">
      <c r="A24" s="134"/>
      <c r="B24" s="132"/>
      <c r="C24" s="52" t="s">
        <v>50</v>
      </c>
      <c r="D24" s="51">
        <v>1</v>
      </c>
      <c r="E24" s="51"/>
      <c r="F24" s="51">
        <v>6</v>
      </c>
      <c r="G24" s="51">
        <v>3.55</v>
      </c>
      <c r="H24" s="51"/>
      <c r="I24" s="54">
        <f>G24*F24*D24</f>
        <v>21.3</v>
      </c>
      <c r="J24" s="146"/>
      <c r="K24" s="138"/>
      <c r="L24" s="145"/>
    </row>
    <row r="25" spans="1:15" ht="19.95" customHeight="1" x14ac:dyDescent="0.25">
      <c r="A25" s="134"/>
      <c r="B25" s="132"/>
      <c r="C25" s="52" t="s">
        <v>51</v>
      </c>
      <c r="D25" s="51">
        <v>1</v>
      </c>
      <c r="E25" s="51"/>
      <c r="F25" s="51">
        <v>2.95</v>
      </c>
      <c r="G25" s="51">
        <v>3.6</v>
      </c>
      <c r="H25" s="51"/>
      <c r="I25" s="54">
        <f>G25*F25*D25</f>
        <v>10.62</v>
      </c>
      <c r="J25" s="146"/>
      <c r="K25" s="138"/>
      <c r="L25" s="145"/>
    </row>
    <row r="26" spans="1:15" ht="19.95" customHeight="1" x14ac:dyDescent="0.25">
      <c r="A26" s="134"/>
      <c r="B26" s="132"/>
      <c r="C26" s="52" t="s">
        <v>52</v>
      </c>
      <c r="D26" s="51">
        <v>1</v>
      </c>
      <c r="E26" s="51"/>
      <c r="F26" s="51">
        <v>4.25</v>
      </c>
      <c r="G26" s="51">
        <v>7.5</v>
      </c>
      <c r="H26" s="51"/>
      <c r="I26" s="54">
        <f>G26*F26*D26</f>
        <v>31.88</v>
      </c>
      <c r="J26" s="146"/>
      <c r="K26" s="138"/>
      <c r="L26" s="145"/>
    </row>
    <row r="27" spans="1:15" ht="19.95" customHeight="1" x14ac:dyDescent="0.25">
      <c r="A27" s="134"/>
      <c r="B27" s="132"/>
      <c r="C27" s="52" t="s">
        <v>48</v>
      </c>
      <c r="D27" s="17">
        <v>3</v>
      </c>
      <c r="E27" s="17"/>
      <c r="F27" s="54">
        <v>3.15</v>
      </c>
      <c r="G27" s="17">
        <v>1.45</v>
      </c>
      <c r="H27" s="17"/>
      <c r="I27" s="54">
        <f>G27*F27*D27</f>
        <v>13.7</v>
      </c>
      <c r="J27" s="146"/>
      <c r="K27" s="138"/>
      <c r="L27" s="145"/>
    </row>
    <row r="28" spans="1:15" ht="19.2" customHeight="1" x14ac:dyDescent="0.25">
      <c r="A28" s="134"/>
      <c r="B28" s="132"/>
      <c r="C28" s="52"/>
      <c r="D28" s="17">
        <v>1</v>
      </c>
      <c r="E28" s="17"/>
      <c r="F28" s="54">
        <v>2.0499999999999998</v>
      </c>
      <c r="G28" s="17">
        <v>1.45</v>
      </c>
      <c r="H28" s="17"/>
      <c r="I28" s="54">
        <f t="shared" ref="I28" si="1">G28*F28*D28</f>
        <v>2.97</v>
      </c>
      <c r="J28" s="146"/>
      <c r="K28" s="138"/>
      <c r="L28" s="145"/>
    </row>
    <row r="29" spans="1:15" ht="19.2" customHeight="1" x14ac:dyDescent="0.25">
      <c r="A29" s="134"/>
      <c r="B29" s="132"/>
      <c r="C29" s="52" t="s">
        <v>49</v>
      </c>
      <c r="D29" s="17">
        <v>4</v>
      </c>
      <c r="E29" s="17"/>
      <c r="F29" s="54">
        <v>3.8</v>
      </c>
      <c r="G29" s="17">
        <v>1.8</v>
      </c>
      <c r="H29" s="17"/>
      <c r="I29" s="54">
        <f>G29*F29*D29</f>
        <v>27.36</v>
      </c>
      <c r="J29" s="146"/>
      <c r="K29" s="138"/>
      <c r="L29" s="145"/>
    </row>
    <row r="30" spans="1:15" ht="19.2" customHeight="1" x14ac:dyDescent="0.25">
      <c r="A30" s="134"/>
      <c r="B30" s="132"/>
      <c r="C30" s="52" t="s">
        <v>63</v>
      </c>
      <c r="D30" s="17">
        <v>1</v>
      </c>
      <c r="E30" s="17"/>
      <c r="F30" s="17">
        <v>9.15</v>
      </c>
      <c r="G30" s="54">
        <v>6</v>
      </c>
      <c r="H30" s="54"/>
      <c r="I30" s="54">
        <f t="shared" ref="I30:I32" si="2">G30*F30*D30</f>
        <v>54.9</v>
      </c>
      <c r="J30" s="146"/>
      <c r="K30" s="138"/>
      <c r="L30" s="145"/>
    </row>
    <row r="31" spans="1:15" ht="19.2" customHeight="1" x14ac:dyDescent="0.25">
      <c r="A31" s="134"/>
      <c r="B31" s="132"/>
      <c r="C31" s="52"/>
      <c r="D31" s="17">
        <v>1</v>
      </c>
      <c r="E31" s="17"/>
      <c r="F31" s="17">
        <v>6.4</v>
      </c>
      <c r="G31" s="54">
        <v>3.5</v>
      </c>
      <c r="H31" s="54"/>
      <c r="I31" s="54">
        <f t="shared" si="2"/>
        <v>22.4</v>
      </c>
      <c r="J31" s="146"/>
      <c r="K31" s="138"/>
      <c r="L31" s="145"/>
    </row>
    <row r="32" spans="1:15" ht="19.2" customHeight="1" x14ac:dyDescent="0.25">
      <c r="A32" s="134"/>
      <c r="B32" s="132"/>
      <c r="C32" s="52"/>
      <c r="D32" s="17">
        <v>1</v>
      </c>
      <c r="E32" s="17"/>
      <c r="F32" s="17">
        <v>6.4</v>
      </c>
      <c r="G32" s="54">
        <v>1.85</v>
      </c>
      <c r="H32" s="54"/>
      <c r="I32" s="54">
        <f t="shared" si="2"/>
        <v>11.84</v>
      </c>
      <c r="J32" s="146"/>
      <c r="K32" s="138"/>
      <c r="L32" s="145"/>
    </row>
    <row r="33" spans="1:12" ht="19.2" customHeight="1" x14ac:dyDescent="0.25">
      <c r="A33" s="134"/>
      <c r="B33" s="132"/>
      <c r="C33" s="52" t="s">
        <v>78</v>
      </c>
      <c r="D33" s="17">
        <v>4</v>
      </c>
      <c r="E33" s="17"/>
      <c r="F33" s="17">
        <v>3.3</v>
      </c>
      <c r="G33" s="54">
        <v>0.35</v>
      </c>
      <c r="H33" s="54"/>
      <c r="I33" s="54">
        <f t="shared" ref="I33:I34" si="3">G33*F33*D33</f>
        <v>4.62</v>
      </c>
      <c r="J33" s="146"/>
      <c r="K33" s="138"/>
      <c r="L33" s="145"/>
    </row>
    <row r="34" spans="1:12" ht="19.2" customHeight="1" x14ac:dyDescent="0.25">
      <c r="A34" s="134"/>
      <c r="B34" s="132"/>
      <c r="C34" s="52"/>
      <c r="D34" s="17">
        <v>4</v>
      </c>
      <c r="E34" s="17"/>
      <c r="F34" s="17">
        <v>3.3</v>
      </c>
      <c r="G34" s="54">
        <v>0.16</v>
      </c>
      <c r="H34" s="54"/>
      <c r="I34" s="54">
        <f t="shared" si="3"/>
        <v>2.11</v>
      </c>
      <c r="J34" s="146"/>
      <c r="K34" s="138"/>
      <c r="L34" s="145"/>
    </row>
    <row r="35" spans="1:12" ht="13.5" customHeight="1" x14ac:dyDescent="0.25">
      <c r="A35" s="134"/>
      <c r="B35" s="132"/>
      <c r="C35" s="56"/>
      <c r="D35" s="17"/>
      <c r="E35" s="55"/>
      <c r="F35" s="55"/>
      <c r="G35" s="137" t="s">
        <v>18</v>
      </c>
      <c r="H35" s="138"/>
      <c r="I35" s="54">
        <f>SUM(I24:I34)</f>
        <v>203.7</v>
      </c>
      <c r="J35" s="17" t="s">
        <v>13</v>
      </c>
      <c r="K35" s="55">
        <v>1416.65</v>
      </c>
      <c r="L35" s="20">
        <f>K35*I35</f>
        <v>288571.61</v>
      </c>
    </row>
    <row r="36" spans="1:12" ht="112.95" customHeight="1" x14ac:dyDescent="0.25">
      <c r="A36" s="134">
        <v>8</v>
      </c>
      <c r="B36" s="132">
        <v>8.31</v>
      </c>
      <c r="C36" s="121" t="s">
        <v>82</v>
      </c>
      <c r="D36" s="122"/>
      <c r="E36" s="122"/>
      <c r="F36" s="122"/>
      <c r="G36" s="122"/>
      <c r="H36" s="122"/>
      <c r="I36" s="122"/>
      <c r="J36" s="138"/>
      <c r="K36" s="138"/>
      <c r="L36" s="145"/>
    </row>
    <row r="37" spans="1:12" ht="13.5" customHeight="1" x14ac:dyDescent="0.25">
      <c r="A37" s="134"/>
      <c r="B37" s="132"/>
      <c r="C37" s="56" t="s">
        <v>48</v>
      </c>
      <c r="D37" s="17">
        <v>3</v>
      </c>
      <c r="E37" s="55"/>
      <c r="F37" s="19">
        <v>9.1999999999999993</v>
      </c>
      <c r="G37" s="55">
        <v>1.5</v>
      </c>
      <c r="H37" s="55"/>
      <c r="I37" s="54">
        <f t="shared" ref="I37:I38" si="4">G37*F37*D37</f>
        <v>41.4</v>
      </c>
      <c r="J37" s="138"/>
      <c r="K37" s="138"/>
      <c r="L37" s="145"/>
    </row>
    <row r="38" spans="1:12" ht="13.5" customHeight="1" x14ac:dyDescent="0.25">
      <c r="A38" s="134"/>
      <c r="B38" s="132"/>
      <c r="C38" s="56"/>
      <c r="D38" s="17">
        <v>1</v>
      </c>
      <c r="E38" s="55"/>
      <c r="F38" s="19">
        <v>7</v>
      </c>
      <c r="G38" s="55">
        <v>2.1</v>
      </c>
      <c r="H38" s="55"/>
      <c r="I38" s="54">
        <f t="shared" si="4"/>
        <v>14.7</v>
      </c>
      <c r="J38" s="138"/>
      <c r="K38" s="138"/>
      <c r="L38" s="145"/>
    </row>
    <row r="39" spans="1:12" ht="13.5" customHeight="1" x14ac:dyDescent="0.25">
      <c r="A39" s="134"/>
      <c r="B39" s="132"/>
      <c r="C39" s="56" t="s">
        <v>49</v>
      </c>
      <c r="D39" s="17">
        <v>4</v>
      </c>
      <c r="E39" s="55"/>
      <c r="F39" s="19">
        <v>11.2</v>
      </c>
      <c r="G39" s="55">
        <v>2.1</v>
      </c>
      <c r="H39" s="55"/>
      <c r="I39" s="54">
        <f>G39*F39*D39</f>
        <v>94.08</v>
      </c>
      <c r="J39" s="138"/>
      <c r="K39" s="138"/>
      <c r="L39" s="145"/>
    </row>
    <row r="40" spans="1:12" ht="15.6" customHeight="1" x14ac:dyDescent="0.25">
      <c r="A40" s="134"/>
      <c r="B40" s="132"/>
      <c r="C40" s="56" t="s">
        <v>64</v>
      </c>
      <c r="D40" s="17">
        <v>4</v>
      </c>
      <c r="E40" s="55"/>
      <c r="F40" s="19">
        <v>6.9</v>
      </c>
      <c r="G40" s="55">
        <v>2.1</v>
      </c>
      <c r="H40" s="55"/>
      <c r="I40" s="54">
        <f>G40*F40*D40</f>
        <v>57.96</v>
      </c>
      <c r="J40" s="55"/>
      <c r="K40" s="55"/>
      <c r="L40" s="96"/>
    </row>
    <row r="41" spans="1:12" ht="13.5" customHeight="1" x14ac:dyDescent="0.3">
      <c r="A41" s="134"/>
      <c r="B41" s="132"/>
      <c r="C41" s="56"/>
      <c r="D41" s="17"/>
      <c r="E41" s="55"/>
      <c r="F41" s="55"/>
      <c r="G41" s="137" t="s">
        <v>18</v>
      </c>
      <c r="H41" s="138"/>
      <c r="I41" s="27">
        <f>SUM(I37:I40)</f>
        <v>208.14</v>
      </c>
      <c r="J41" s="55" t="s">
        <v>13</v>
      </c>
      <c r="K41" s="24">
        <v>1063.45</v>
      </c>
      <c r="L41" s="20">
        <f>K41*I41</f>
        <v>221346.48</v>
      </c>
    </row>
    <row r="42" spans="1:12" ht="35.4" customHeight="1" x14ac:dyDescent="0.25">
      <c r="A42" s="134">
        <v>9</v>
      </c>
      <c r="B42" s="132">
        <v>13.26</v>
      </c>
      <c r="C42" s="121" t="s">
        <v>53</v>
      </c>
      <c r="D42" s="122"/>
      <c r="E42" s="122"/>
      <c r="F42" s="122"/>
      <c r="G42" s="122"/>
      <c r="H42" s="122"/>
      <c r="I42" s="122"/>
      <c r="J42" s="138"/>
      <c r="K42" s="143"/>
      <c r="L42" s="144"/>
    </row>
    <row r="43" spans="1:12" ht="13.5" customHeight="1" x14ac:dyDescent="0.25">
      <c r="A43" s="134"/>
      <c r="B43" s="132"/>
      <c r="C43" s="58" t="s">
        <v>54</v>
      </c>
      <c r="D43" s="18"/>
      <c r="E43" s="17">
        <v>3</v>
      </c>
      <c r="F43" s="19">
        <v>3.6</v>
      </c>
      <c r="G43" s="55">
        <v>2.95</v>
      </c>
      <c r="H43" s="50"/>
      <c r="I43" s="97">
        <f>G43*F43*E43</f>
        <v>31.86</v>
      </c>
      <c r="J43" s="138"/>
      <c r="K43" s="143"/>
      <c r="L43" s="144"/>
    </row>
    <row r="44" spans="1:12" ht="13.5" customHeight="1" x14ac:dyDescent="0.25">
      <c r="A44" s="134"/>
      <c r="B44" s="132"/>
      <c r="C44" s="58"/>
      <c r="D44" s="18"/>
      <c r="E44" s="17">
        <v>4</v>
      </c>
      <c r="F44" s="19">
        <v>6</v>
      </c>
      <c r="G44" s="55">
        <v>2.95</v>
      </c>
      <c r="H44" s="50"/>
      <c r="I44" s="97">
        <f>G44*F44*E44</f>
        <v>70.8</v>
      </c>
      <c r="J44" s="138"/>
      <c r="K44" s="143"/>
      <c r="L44" s="144"/>
    </row>
    <row r="45" spans="1:12" ht="13.5" customHeight="1" x14ac:dyDescent="0.25">
      <c r="A45" s="134"/>
      <c r="B45" s="132"/>
      <c r="C45" s="58" t="s">
        <v>51</v>
      </c>
      <c r="D45" s="18"/>
      <c r="E45" s="17">
        <v>3</v>
      </c>
      <c r="F45" s="19">
        <v>3.6</v>
      </c>
      <c r="G45" s="55">
        <v>2.95</v>
      </c>
      <c r="H45" s="50"/>
      <c r="I45" s="97">
        <f t="shared" ref="I45:I46" si="5">G45*F45*E45</f>
        <v>31.86</v>
      </c>
      <c r="J45" s="138"/>
      <c r="K45" s="143"/>
      <c r="L45" s="144"/>
    </row>
    <row r="46" spans="1:12" ht="13.5" customHeight="1" x14ac:dyDescent="0.25">
      <c r="A46" s="134"/>
      <c r="B46" s="132"/>
      <c r="C46" s="58"/>
      <c r="D46" s="18"/>
      <c r="E46" s="17">
        <v>4</v>
      </c>
      <c r="F46" s="19">
        <v>2.95</v>
      </c>
      <c r="G46" s="55">
        <v>2.95</v>
      </c>
      <c r="H46" s="50"/>
      <c r="I46" s="97">
        <f t="shared" si="5"/>
        <v>34.81</v>
      </c>
      <c r="J46" s="138"/>
      <c r="K46" s="143"/>
      <c r="L46" s="144"/>
    </row>
    <row r="47" spans="1:12" ht="13.5" customHeight="1" x14ac:dyDescent="0.25">
      <c r="A47" s="134"/>
      <c r="B47" s="132"/>
      <c r="C47" s="56" t="s">
        <v>28</v>
      </c>
      <c r="D47" s="50">
        <v>-2</v>
      </c>
      <c r="E47" s="50"/>
      <c r="F47" s="19">
        <v>2.1</v>
      </c>
      <c r="G47" s="55">
        <v>1.3</v>
      </c>
      <c r="H47" s="50"/>
      <c r="I47" s="50">
        <f>G47*F47*D47</f>
        <v>-5.46</v>
      </c>
      <c r="J47" s="138"/>
      <c r="K47" s="143"/>
      <c r="L47" s="144"/>
    </row>
    <row r="48" spans="1:12" ht="13.5" customHeight="1" x14ac:dyDescent="0.25">
      <c r="A48" s="134"/>
      <c r="B48" s="132"/>
      <c r="C48" s="56" t="s">
        <v>55</v>
      </c>
      <c r="D48" s="50">
        <v>-2</v>
      </c>
      <c r="E48" s="50"/>
      <c r="F48" s="19">
        <v>1.1000000000000001</v>
      </c>
      <c r="G48" s="55">
        <v>1.2</v>
      </c>
      <c r="H48" s="50"/>
      <c r="I48" s="50">
        <f>G48*F48*D48</f>
        <v>-2.64</v>
      </c>
      <c r="J48" s="138"/>
      <c r="K48" s="143"/>
      <c r="L48" s="144"/>
    </row>
    <row r="49" spans="1:16" ht="13.5" customHeight="1" x14ac:dyDescent="0.25">
      <c r="A49" s="134"/>
      <c r="B49" s="132"/>
      <c r="C49" s="56" t="s">
        <v>57</v>
      </c>
      <c r="D49" s="17">
        <v>3</v>
      </c>
      <c r="E49" s="55"/>
      <c r="F49" s="19">
        <v>9.1999999999999993</v>
      </c>
      <c r="G49" s="55">
        <v>1.5</v>
      </c>
      <c r="H49" s="55"/>
      <c r="I49" s="54">
        <f t="shared" ref="I49:I50" si="6">G49*F49*D49</f>
        <v>41.4</v>
      </c>
      <c r="J49" s="138"/>
      <c r="K49" s="143"/>
      <c r="L49" s="144"/>
    </row>
    <row r="50" spans="1:16" ht="13.5" customHeight="1" x14ac:dyDescent="0.25">
      <c r="A50" s="134"/>
      <c r="B50" s="132"/>
      <c r="C50" s="56"/>
      <c r="D50" s="17">
        <v>1</v>
      </c>
      <c r="E50" s="55"/>
      <c r="F50" s="19">
        <v>7</v>
      </c>
      <c r="G50" s="55">
        <v>0.95</v>
      </c>
      <c r="H50" s="55"/>
      <c r="I50" s="54">
        <f t="shared" si="6"/>
        <v>6.65</v>
      </c>
      <c r="J50" s="138"/>
      <c r="K50" s="143"/>
      <c r="L50" s="144"/>
    </row>
    <row r="51" spans="1:16" ht="13.5" customHeight="1" x14ac:dyDescent="0.25">
      <c r="A51" s="134"/>
      <c r="B51" s="132"/>
      <c r="C51" s="56" t="s">
        <v>49</v>
      </c>
      <c r="D51" s="17">
        <v>4</v>
      </c>
      <c r="E51" s="55"/>
      <c r="F51" s="19">
        <v>11.2</v>
      </c>
      <c r="G51" s="55">
        <v>0.95</v>
      </c>
      <c r="H51" s="55"/>
      <c r="I51" s="54">
        <f>G51*F51*D51</f>
        <v>42.56</v>
      </c>
      <c r="J51" s="138"/>
      <c r="K51" s="143"/>
      <c r="L51" s="144"/>
    </row>
    <row r="52" spans="1:16" ht="13.5" customHeight="1" x14ac:dyDescent="0.25">
      <c r="A52" s="134"/>
      <c r="B52" s="132"/>
      <c r="C52" s="56" t="s">
        <v>36</v>
      </c>
      <c r="D52" s="50">
        <v>2</v>
      </c>
      <c r="E52" s="55"/>
      <c r="F52" s="19">
        <v>6.4</v>
      </c>
      <c r="G52" s="55">
        <v>3.05</v>
      </c>
      <c r="H52" s="55"/>
      <c r="I52" s="50">
        <f t="shared" ref="I52:I54" si="7">G52*F52*D52</f>
        <v>39.04</v>
      </c>
      <c r="J52" s="138"/>
      <c r="K52" s="143"/>
      <c r="L52" s="144"/>
    </row>
    <row r="53" spans="1:16" ht="13.5" customHeight="1" x14ac:dyDescent="0.25">
      <c r="A53" s="134"/>
      <c r="B53" s="132"/>
      <c r="C53" s="56"/>
      <c r="D53" s="50">
        <v>2</v>
      </c>
      <c r="E53" s="55"/>
      <c r="F53" s="19">
        <v>4.7</v>
      </c>
      <c r="G53" s="55">
        <v>3.05</v>
      </c>
      <c r="H53" s="55"/>
      <c r="I53" s="50">
        <f t="shared" si="7"/>
        <v>28.67</v>
      </c>
      <c r="J53" s="138"/>
      <c r="K53" s="143"/>
      <c r="L53" s="144"/>
    </row>
    <row r="54" spans="1:16" ht="13.5" customHeight="1" x14ac:dyDescent="0.25">
      <c r="A54" s="134"/>
      <c r="B54" s="132"/>
      <c r="C54" s="56"/>
      <c r="D54" s="50">
        <v>1</v>
      </c>
      <c r="E54" s="55"/>
      <c r="F54" s="19">
        <v>9.9600000000000009</v>
      </c>
      <c r="G54" s="55">
        <v>3.05</v>
      </c>
      <c r="H54" s="55"/>
      <c r="I54" s="50">
        <f t="shared" si="7"/>
        <v>30.378</v>
      </c>
      <c r="J54" s="138"/>
      <c r="K54" s="143"/>
      <c r="L54" s="144"/>
    </row>
    <row r="55" spans="1:16" ht="13.5" customHeight="1" x14ac:dyDescent="0.25">
      <c r="A55" s="134"/>
      <c r="B55" s="132"/>
      <c r="C55" s="56" t="s">
        <v>59</v>
      </c>
      <c r="D55" s="50">
        <v>2</v>
      </c>
      <c r="E55" s="50"/>
      <c r="F55" s="19">
        <v>8.25</v>
      </c>
      <c r="G55" s="55">
        <v>3.05</v>
      </c>
      <c r="H55" s="50"/>
      <c r="I55" s="50">
        <f>G55*F55*D55</f>
        <v>50.325000000000003</v>
      </c>
      <c r="J55" s="138"/>
      <c r="K55" s="143"/>
      <c r="L55" s="144"/>
    </row>
    <row r="56" spans="1:16" ht="13.5" customHeight="1" x14ac:dyDescent="0.25">
      <c r="A56" s="134"/>
      <c r="B56" s="132"/>
      <c r="C56" s="56"/>
      <c r="D56" s="50">
        <v>2</v>
      </c>
      <c r="E56" s="50"/>
      <c r="F56" s="19">
        <v>5.2</v>
      </c>
      <c r="G56" s="55">
        <v>3.05</v>
      </c>
      <c r="H56" s="50"/>
      <c r="I56" s="50">
        <f t="shared" ref="I56:I60" si="8">G56*F56*D56</f>
        <v>31.72</v>
      </c>
      <c r="J56" s="138"/>
      <c r="K56" s="143"/>
      <c r="L56" s="144"/>
    </row>
    <row r="57" spans="1:16" ht="13.5" customHeight="1" x14ac:dyDescent="0.25">
      <c r="A57" s="134"/>
      <c r="B57" s="132"/>
      <c r="C57" s="56" t="s">
        <v>60</v>
      </c>
      <c r="D57" s="50">
        <v>2</v>
      </c>
      <c r="E57" s="50"/>
      <c r="F57" s="19">
        <v>4.0999999999999996</v>
      </c>
      <c r="G57" s="55">
        <v>3.05</v>
      </c>
      <c r="H57" s="50"/>
      <c r="I57" s="50">
        <f t="shared" si="8"/>
        <v>25.01</v>
      </c>
      <c r="J57" s="138"/>
      <c r="K57" s="143"/>
      <c r="L57" s="144"/>
    </row>
    <row r="58" spans="1:16" ht="13.5" customHeight="1" x14ac:dyDescent="0.25">
      <c r="A58" s="134"/>
      <c r="B58" s="132"/>
      <c r="C58" s="56"/>
      <c r="D58" s="50">
        <v>2</v>
      </c>
      <c r="E58" s="55"/>
      <c r="F58" s="50">
        <v>6.35</v>
      </c>
      <c r="G58" s="19">
        <v>3.05</v>
      </c>
      <c r="H58" s="50"/>
      <c r="I58" s="50">
        <f>G58*F58*D58</f>
        <v>38.734999999999999</v>
      </c>
      <c r="J58" s="138"/>
      <c r="K58" s="143"/>
      <c r="L58" s="144"/>
    </row>
    <row r="59" spans="1:16" ht="13.5" customHeight="1" x14ac:dyDescent="0.25">
      <c r="A59" s="134"/>
      <c r="B59" s="132"/>
      <c r="C59" s="56" t="s">
        <v>61</v>
      </c>
      <c r="D59" s="50">
        <v>2</v>
      </c>
      <c r="E59" s="55"/>
      <c r="F59" s="50">
        <v>4.12</v>
      </c>
      <c r="G59" s="19">
        <v>3.05</v>
      </c>
      <c r="H59" s="50"/>
      <c r="I59" s="50">
        <f t="shared" si="8"/>
        <v>25.132000000000001</v>
      </c>
      <c r="J59" s="138"/>
      <c r="K59" s="143"/>
      <c r="L59" s="144"/>
    </row>
    <row r="60" spans="1:16" ht="13.5" customHeight="1" x14ac:dyDescent="0.25">
      <c r="A60" s="134"/>
      <c r="B60" s="132"/>
      <c r="C60" s="56"/>
      <c r="D60" s="50">
        <v>2</v>
      </c>
      <c r="E60" s="55"/>
      <c r="F60" s="50">
        <v>6.4</v>
      </c>
      <c r="G60" s="19">
        <v>3.05</v>
      </c>
      <c r="H60" s="50"/>
      <c r="I60" s="50">
        <f t="shared" si="8"/>
        <v>39.04</v>
      </c>
      <c r="J60" s="138"/>
      <c r="K60" s="143"/>
      <c r="L60" s="144"/>
    </row>
    <row r="61" spans="1:16" ht="13.5" customHeight="1" x14ac:dyDescent="0.3">
      <c r="A61" s="134"/>
      <c r="B61" s="132"/>
      <c r="C61" s="58"/>
      <c r="D61" s="17"/>
      <c r="E61" s="55"/>
      <c r="F61" s="30"/>
      <c r="G61" s="137" t="s">
        <v>18</v>
      </c>
      <c r="H61" s="138"/>
      <c r="I61" s="98">
        <f>SUM(I43:I60)</f>
        <v>559.89</v>
      </c>
      <c r="J61" s="55" t="s">
        <v>13</v>
      </c>
      <c r="K61" s="24">
        <v>214.3</v>
      </c>
      <c r="L61" s="20">
        <f>K61*I61</f>
        <v>119984.43</v>
      </c>
    </row>
    <row r="62" spans="1:16" ht="102" customHeight="1" x14ac:dyDescent="0.25">
      <c r="A62" s="132">
        <v>10</v>
      </c>
      <c r="B62" s="132" t="s">
        <v>225</v>
      </c>
      <c r="C62" s="121" t="s">
        <v>56</v>
      </c>
      <c r="D62" s="122"/>
      <c r="E62" s="122"/>
      <c r="F62" s="122"/>
      <c r="G62" s="122"/>
      <c r="H62" s="122"/>
      <c r="I62" s="122"/>
      <c r="J62" s="138"/>
      <c r="K62" s="138"/>
      <c r="L62" s="138"/>
    </row>
    <row r="63" spans="1:16" ht="14.25" customHeight="1" x14ac:dyDescent="0.25">
      <c r="A63" s="132"/>
      <c r="B63" s="132"/>
      <c r="C63" s="58" t="s">
        <v>129</v>
      </c>
      <c r="D63" s="18"/>
      <c r="E63" s="17">
        <v>3</v>
      </c>
      <c r="F63" s="19">
        <v>3.6</v>
      </c>
      <c r="G63" s="55">
        <v>2.95</v>
      </c>
      <c r="H63" s="50"/>
      <c r="I63" s="97">
        <f>G63*F63*E63</f>
        <v>31.86</v>
      </c>
      <c r="J63" s="138"/>
      <c r="K63" s="138"/>
      <c r="L63" s="138"/>
    </row>
    <row r="64" spans="1:16" ht="14.25" customHeight="1" x14ac:dyDescent="0.25">
      <c r="A64" s="132"/>
      <c r="B64" s="132"/>
      <c r="C64" s="58"/>
      <c r="D64" s="18"/>
      <c r="E64" s="17">
        <v>4</v>
      </c>
      <c r="F64" s="19">
        <v>6</v>
      </c>
      <c r="G64" s="55">
        <v>2.95</v>
      </c>
      <c r="H64" s="50"/>
      <c r="I64" s="97">
        <f>G64*F64*E64</f>
        <v>70.8</v>
      </c>
      <c r="J64" s="138"/>
      <c r="K64" s="138"/>
      <c r="L64" s="138"/>
      <c r="P64" s="9">
        <f>209.43*214.3</f>
        <v>44880.849000000002</v>
      </c>
    </row>
    <row r="65" spans="1:12" ht="14.25" customHeight="1" x14ac:dyDescent="0.25">
      <c r="A65" s="132"/>
      <c r="B65" s="132"/>
      <c r="C65" s="58" t="s">
        <v>51</v>
      </c>
      <c r="D65" s="18"/>
      <c r="E65" s="17">
        <v>3</v>
      </c>
      <c r="F65" s="19">
        <v>3.6</v>
      </c>
      <c r="G65" s="55">
        <v>2.95</v>
      </c>
      <c r="H65" s="50"/>
      <c r="I65" s="97">
        <f t="shared" ref="I65:I66" si="9">G65*F65*E65</f>
        <v>31.86</v>
      </c>
      <c r="J65" s="138"/>
      <c r="K65" s="138"/>
      <c r="L65" s="138"/>
    </row>
    <row r="66" spans="1:12" ht="14.25" customHeight="1" x14ac:dyDescent="0.25">
      <c r="A66" s="132"/>
      <c r="B66" s="132"/>
      <c r="C66" s="58"/>
      <c r="D66" s="18"/>
      <c r="E66" s="17">
        <v>4</v>
      </c>
      <c r="F66" s="19">
        <v>2.95</v>
      </c>
      <c r="G66" s="55">
        <v>2.95</v>
      </c>
      <c r="H66" s="50"/>
      <c r="I66" s="97">
        <f t="shared" si="9"/>
        <v>34.81</v>
      </c>
      <c r="J66" s="138"/>
      <c r="K66" s="138"/>
      <c r="L66" s="138"/>
    </row>
    <row r="67" spans="1:12" ht="14.25" customHeight="1" x14ac:dyDescent="0.25">
      <c r="A67" s="132"/>
      <c r="B67" s="132"/>
      <c r="C67" s="56" t="s">
        <v>28</v>
      </c>
      <c r="D67" s="50">
        <v>-2</v>
      </c>
      <c r="E67" s="50"/>
      <c r="F67" s="19">
        <v>2.1</v>
      </c>
      <c r="G67" s="55">
        <v>1.3</v>
      </c>
      <c r="H67" s="50"/>
      <c r="I67" s="50">
        <f>G67*F67*D67</f>
        <v>-5.46</v>
      </c>
      <c r="J67" s="138"/>
      <c r="K67" s="138"/>
      <c r="L67" s="138"/>
    </row>
    <row r="68" spans="1:12" ht="14.25" customHeight="1" x14ac:dyDescent="0.25">
      <c r="A68" s="132"/>
      <c r="B68" s="132"/>
      <c r="C68" s="56" t="s">
        <v>55</v>
      </c>
      <c r="D68" s="50">
        <v>-2</v>
      </c>
      <c r="E68" s="50"/>
      <c r="F68" s="19">
        <v>1.1000000000000001</v>
      </c>
      <c r="G68" s="55">
        <v>1.2</v>
      </c>
      <c r="H68" s="50"/>
      <c r="I68" s="50">
        <f>G68*F68*D68</f>
        <v>-2.64</v>
      </c>
      <c r="J68" s="138"/>
      <c r="K68" s="138"/>
      <c r="L68" s="138"/>
    </row>
    <row r="69" spans="1:12" ht="14.25" customHeight="1" x14ac:dyDescent="0.25">
      <c r="A69" s="132"/>
      <c r="B69" s="132"/>
      <c r="C69" s="56" t="s">
        <v>57</v>
      </c>
      <c r="D69" s="17">
        <v>3</v>
      </c>
      <c r="E69" s="55"/>
      <c r="F69" s="19">
        <v>9.1999999999999993</v>
      </c>
      <c r="G69" s="55">
        <v>1.5</v>
      </c>
      <c r="H69" s="55"/>
      <c r="I69" s="54">
        <f t="shared" ref="I69:I70" si="10">G69*F69*D69</f>
        <v>41.4</v>
      </c>
      <c r="J69" s="138"/>
      <c r="K69" s="138"/>
      <c r="L69" s="138"/>
    </row>
    <row r="70" spans="1:12" ht="14.25" customHeight="1" x14ac:dyDescent="0.25">
      <c r="A70" s="132"/>
      <c r="B70" s="132"/>
      <c r="C70" s="56"/>
      <c r="D70" s="17">
        <v>1</v>
      </c>
      <c r="E70" s="55"/>
      <c r="F70" s="19">
        <v>7</v>
      </c>
      <c r="G70" s="55">
        <v>0.95</v>
      </c>
      <c r="H70" s="55"/>
      <c r="I70" s="54">
        <f t="shared" si="10"/>
        <v>6.65</v>
      </c>
      <c r="J70" s="138"/>
      <c r="K70" s="138"/>
      <c r="L70" s="138"/>
    </row>
    <row r="71" spans="1:12" ht="14.25" customHeight="1" x14ac:dyDescent="0.25">
      <c r="A71" s="132"/>
      <c r="B71" s="132"/>
      <c r="C71" s="56" t="s">
        <v>49</v>
      </c>
      <c r="D71" s="17">
        <v>4</v>
      </c>
      <c r="E71" s="55"/>
      <c r="F71" s="19">
        <v>11.2</v>
      </c>
      <c r="G71" s="55">
        <v>0.95</v>
      </c>
      <c r="H71" s="55"/>
      <c r="I71" s="54">
        <f>G71*F71*D71</f>
        <v>42.56</v>
      </c>
      <c r="J71" s="138"/>
      <c r="K71" s="138"/>
      <c r="L71" s="138"/>
    </row>
    <row r="72" spans="1:12" ht="14.25" customHeight="1" x14ac:dyDescent="0.25">
      <c r="A72" s="132"/>
      <c r="B72" s="132"/>
      <c r="C72" s="56" t="s">
        <v>36</v>
      </c>
      <c r="D72" s="50">
        <v>2</v>
      </c>
      <c r="E72" s="55"/>
      <c r="F72" s="19">
        <v>6.4</v>
      </c>
      <c r="G72" s="55">
        <v>3.05</v>
      </c>
      <c r="H72" s="55"/>
      <c r="I72" s="50">
        <f t="shared" ref="I72:I74" si="11">G72*F72*D72</f>
        <v>39.04</v>
      </c>
      <c r="J72" s="138"/>
      <c r="K72" s="138"/>
      <c r="L72" s="138"/>
    </row>
    <row r="73" spans="1:12" ht="14.25" customHeight="1" x14ac:dyDescent="0.25">
      <c r="A73" s="132"/>
      <c r="B73" s="132"/>
      <c r="C73" s="56"/>
      <c r="D73" s="50">
        <v>2</v>
      </c>
      <c r="E73" s="55"/>
      <c r="F73" s="19">
        <v>4.7</v>
      </c>
      <c r="G73" s="55">
        <v>3.05</v>
      </c>
      <c r="H73" s="55"/>
      <c r="I73" s="50">
        <f t="shared" si="11"/>
        <v>28.67</v>
      </c>
      <c r="J73" s="138"/>
      <c r="K73" s="138"/>
      <c r="L73" s="138"/>
    </row>
    <row r="74" spans="1:12" ht="14.25" customHeight="1" x14ac:dyDescent="0.25">
      <c r="A74" s="132"/>
      <c r="B74" s="132"/>
      <c r="C74" s="56"/>
      <c r="D74" s="50">
        <v>1</v>
      </c>
      <c r="E74" s="55"/>
      <c r="F74" s="19">
        <v>9.9600000000000009</v>
      </c>
      <c r="G74" s="55">
        <v>3.05</v>
      </c>
      <c r="H74" s="55"/>
      <c r="I74" s="50">
        <f t="shared" si="11"/>
        <v>30.378</v>
      </c>
      <c r="J74" s="138"/>
      <c r="K74" s="138"/>
      <c r="L74" s="138"/>
    </row>
    <row r="75" spans="1:12" ht="14.25" customHeight="1" x14ac:dyDescent="0.25">
      <c r="A75" s="132"/>
      <c r="B75" s="132"/>
      <c r="C75" s="56" t="s">
        <v>59</v>
      </c>
      <c r="D75" s="50">
        <v>2</v>
      </c>
      <c r="E75" s="50"/>
      <c r="F75" s="19">
        <v>8.25</v>
      </c>
      <c r="G75" s="55">
        <v>3.05</v>
      </c>
      <c r="H75" s="50"/>
      <c r="I75" s="50">
        <f>G75*F75*D75</f>
        <v>50.325000000000003</v>
      </c>
      <c r="J75" s="138"/>
      <c r="K75" s="138"/>
      <c r="L75" s="138"/>
    </row>
    <row r="76" spans="1:12" ht="14.25" customHeight="1" x14ac:dyDescent="0.25">
      <c r="A76" s="132"/>
      <c r="B76" s="132"/>
      <c r="C76" s="56"/>
      <c r="D76" s="50">
        <v>2</v>
      </c>
      <c r="E76" s="50"/>
      <c r="F76" s="19">
        <v>5.2</v>
      </c>
      <c r="G76" s="55">
        <v>3.05</v>
      </c>
      <c r="H76" s="50"/>
      <c r="I76" s="50">
        <f t="shared" ref="I76:I77" si="12">G76*F76*D76</f>
        <v>31.72</v>
      </c>
      <c r="J76" s="138"/>
      <c r="K76" s="138"/>
      <c r="L76" s="138"/>
    </row>
    <row r="77" spans="1:12" ht="14.25" customHeight="1" x14ac:dyDescent="0.25">
      <c r="A77" s="132"/>
      <c r="B77" s="132"/>
      <c r="C77" s="56" t="s">
        <v>60</v>
      </c>
      <c r="D77" s="50">
        <v>2</v>
      </c>
      <c r="E77" s="50"/>
      <c r="F77" s="19">
        <v>4.0999999999999996</v>
      </c>
      <c r="G77" s="55">
        <v>3.05</v>
      </c>
      <c r="H77" s="50"/>
      <c r="I77" s="50">
        <f t="shared" si="12"/>
        <v>25.01</v>
      </c>
      <c r="J77" s="138"/>
      <c r="K77" s="138"/>
      <c r="L77" s="138"/>
    </row>
    <row r="78" spans="1:12" ht="14.25" customHeight="1" x14ac:dyDescent="0.25">
      <c r="A78" s="132"/>
      <c r="B78" s="132"/>
      <c r="C78" s="56"/>
      <c r="D78" s="50">
        <v>2</v>
      </c>
      <c r="E78" s="55"/>
      <c r="F78" s="50">
        <v>6.35</v>
      </c>
      <c r="G78" s="19">
        <v>3.05</v>
      </c>
      <c r="H78" s="50"/>
      <c r="I78" s="50">
        <f>G78*F78*D78</f>
        <v>38.734999999999999</v>
      </c>
      <c r="J78" s="138"/>
      <c r="K78" s="138"/>
      <c r="L78" s="138"/>
    </row>
    <row r="79" spans="1:12" ht="14.25" customHeight="1" x14ac:dyDescent="0.25">
      <c r="A79" s="132"/>
      <c r="B79" s="132"/>
      <c r="C79" s="56" t="s">
        <v>61</v>
      </c>
      <c r="D79" s="50">
        <v>2</v>
      </c>
      <c r="E79" s="55"/>
      <c r="F79" s="50">
        <v>4.12</v>
      </c>
      <c r="G79" s="19">
        <v>3.05</v>
      </c>
      <c r="H79" s="50"/>
      <c r="I79" s="50">
        <f t="shared" ref="I79:I80" si="13">G79*F79*D79</f>
        <v>25.132000000000001</v>
      </c>
      <c r="J79" s="138"/>
      <c r="K79" s="138"/>
      <c r="L79" s="138"/>
    </row>
    <row r="80" spans="1:12" ht="14.25" customHeight="1" x14ac:dyDescent="0.25">
      <c r="A80" s="132"/>
      <c r="B80" s="132"/>
      <c r="C80" s="56"/>
      <c r="D80" s="50">
        <v>2</v>
      </c>
      <c r="E80" s="55"/>
      <c r="F80" s="50">
        <v>6.4</v>
      </c>
      <c r="G80" s="19">
        <v>3.05</v>
      </c>
      <c r="H80" s="50"/>
      <c r="I80" s="50">
        <f t="shared" si="13"/>
        <v>39.04</v>
      </c>
      <c r="J80" s="138"/>
      <c r="K80" s="138"/>
      <c r="L80" s="138"/>
    </row>
    <row r="81" spans="1:12" ht="14.25" customHeight="1" x14ac:dyDescent="0.25">
      <c r="A81" s="132"/>
      <c r="B81" s="132"/>
      <c r="C81" s="58"/>
      <c r="D81" s="17"/>
      <c r="E81" s="55"/>
      <c r="F81" s="30"/>
      <c r="G81" s="137" t="s">
        <v>18</v>
      </c>
      <c r="H81" s="138"/>
      <c r="I81" s="98">
        <f>SUM(I63:I80)</f>
        <v>559.89</v>
      </c>
      <c r="J81" s="18" t="s">
        <v>13</v>
      </c>
      <c r="K81" s="18">
        <v>154.44999999999999</v>
      </c>
      <c r="L81" s="20">
        <f>K81*I81</f>
        <v>86475.01</v>
      </c>
    </row>
    <row r="82" spans="1:12" ht="57" customHeight="1" x14ac:dyDescent="0.25">
      <c r="A82" s="132">
        <v>11</v>
      </c>
      <c r="B82" s="132">
        <v>10.17</v>
      </c>
      <c r="C82" s="121" t="s">
        <v>213</v>
      </c>
      <c r="D82" s="121"/>
      <c r="E82" s="121"/>
      <c r="F82" s="121"/>
      <c r="G82" s="121"/>
      <c r="H82" s="121"/>
      <c r="I82" s="121"/>
      <c r="J82" s="99"/>
      <c r="K82" s="99"/>
      <c r="L82" s="99"/>
    </row>
    <row r="83" spans="1:12" ht="14.25" customHeight="1" x14ac:dyDescent="0.25">
      <c r="A83" s="132"/>
      <c r="B83" s="132"/>
      <c r="C83" s="25"/>
      <c r="D83" s="26"/>
      <c r="E83" s="55">
        <v>2</v>
      </c>
      <c r="F83" s="55"/>
      <c r="G83" s="27"/>
      <c r="H83" s="18"/>
      <c r="I83" s="54">
        <f>E83</f>
        <v>2</v>
      </c>
      <c r="J83" s="18" t="s">
        <v>62</v>
      </c>
      <c r="K83" s="18">
        <v>185.95</v>
      </c>
      <c r="L83" s="20">
        <f>K83*I83</f>
        <v>371.9</v>
      </c>
    </row>
    <row r="84" spans="1:12" ht="144" customHeight="1" x14ac:dyDescent="0.25">
      <c r="A84" s="132">
        <v>12</v>
      </c>
      <c r="B84" s="132">
        <v>10.14</v>
      </c>
      <c r="C84" s="121" t="s">
        <v>86</v>
      </c>
      <c r="D84" s="122"/>
      <c r="E84" s="122"/>
      <c r="F84" s="122"/>
      <c r="G84" s="122"/>
      <c r="H84" s="122"/>
      <c r="I84" s="122"/>
      <c r="J84" s="18"/>
      <c r="K84" s="18"/>
      <c r="L84" s="20"/>
    </row>
    <row r="85" spans="1:12" ht="14.25" customHeight="1" x14ac:dyDescent="0.25">
      <c r="A85" s="132"/>
      <c r="B85" s="132"/>
      <c r="C85" s="25"/>
      <c r="D85" s="26"/>
      <c r="E85" s="55">
        <v>1</v>
      </c>
      <c r="F85" s="55">
        <v>10.5</v>
      </c>
      <c r="G85" s="27"/>
      <c r="H85" s="18"/>
      <c r="I85" s="54">
        <f>F85*E85</f>
        <v>10.5</v>
      </c>
      <c r="J85" s="18" t="s">
        <v>87</v>
      </c>
      <c r="K85" s="28">
        <v>444.5</v>
      </c>
      <c r="L85" s="20">
        <f>K85*I85</f>
        <v>4667.25</v>
      </c>
    </row>
    <row r="86" spans="1:12" ht="88.2" customHeight="1" x14ac:dyDescent="0.25">
      <c r="A86" s="132">
        <v>13</v>
      </c>
      <c r="B86" s="147">
        <v>9.1999999999999993</v>
      </c>
      <c r="C86" s="121" t="s">
        <v>96</v>
      </c>
      <c r="D86" s="122"/>
      <c r="E86" s="122"/>
      <c r="F86" s="122"/>
      <c r="G86" s="122"/>
      <c r="H86" s="122"/>
      <c r="I86" s="122"/>
      <c r="J86" s="18"/>
      <c r="K86" s="18"/>
      <c r="L86" s="20"/>
    </row>
    <row r="87" spans="1:12" ht="13.95" customHeight="1" x14ac:dyDescent="0.3">
      <c r="A87" s="132"/>
      <c r="B87" s="147"/>
      <c r="C87" s="25"/>
      <c r="D87" s="26"/>
      <c r="E87" s="55">
        <v>2</v>
      </c>
      <c r="F87" s="55">
        <v>2.1</v>
      </c>
      <c r="G87" s="27">
        <v>1</v>
      </c>
      <c r="H87" s="18"/>
      <c r="I87" s="54">
        <f>G87*F87*E87</f>
        <v>4.2</v>
      </c>
      <c r="J87" s="18" t="s">
        <v>13</v>
      </c>
      <c r="K87" s="24">
        <v>3086.1</v>
      </c>
      <c r="L87" s="20">
        <f>K87*I87</f>
        <v>12961.62</v>
      </c>
    </row>
    <row r="88" spans="1:12" ht="60" customHeight="1" x14ac:dyDescent="0.25">
      <c r="A88" s="132">
        <v>14</v>
      </c>
      <c r="B88" s="132">
        <v>9.9600000000000009</v>
      </c>
      <c r="C88" s="121" t="s">
        <v>88</v>
      </c>
      <c r="D88" s="122"/>
      <c r="E88" s="122"/>
      <c r="F88" s="122"/>
      <c r="G88" s="122"/>
      <c r="H88" s="122"/>
      <c r="I88" s="122"/>
      <c r="J88" s="18"/>
      <c r="K88" s="18"/>
      <c r="L88" s="20"/>
    </row>
    <row r="89" spans="1:12" ht="14.25" customHeight="1" x14ac:dyDescent="0.3">
      <c r="A89" s="132"/>
      <c r="B89" s="132"/>
      <c r="C89" s="25"/>
      <c r="D89" s="26"/>
      <c r="E89" s="55">
        <v>4</v>
      </c>
      <c r="F89" s="55"/>
      <c r="G89" s="27"/>
      <c r="H89" s="18"/>
      <c r="I89" s="54">
        <v>4</v>
      </c>
      <c r="J89" s="18" t="s">
        <v>62</v>
      </c>
      <c r="K89" s="24">
        <v>260.3</v>
      </c>
      <c r="L89" s="20">
        <f>K89*I89</f>
        <v>1041.2</v>
      </c>
    </row>
    <row r="90" spans="1:12" ht="60" customHeight="1" x14ac:dyDescent="0.25">
      <c r="A90" s="132">
        <v>15</v>
      </c>
      <c r="B90" s="132">
        <v>9.9700000000000006</v>
      </c>
      <c r="C90" s="129" t="s">
        <v>89</v>
      </c>
      <c r="D90" s="130"/>
      <c r="E90" s="130"/>
      <c r="F90" s="130"/>
      <c r="G90" s="130"/>
      <c r="H90" s="130"/>
      <c r="I90" s="130"/>
      <c r="J90" s="18"/>
      <c r="K90" s="18"/>
      <c r="L90" s="20"/>
    </row>
    <row r="91" spans="1:12" ht="14.25" customHeight="1" x14ac:dyDescent="0.3">
      <c r="A91" s="132"/>
      <c r="B91" s="132"/>
      <c r="C91" s="25"/>
      <c r="D91" s="26"/>
      <c r="E91" s="55">
        <v>2</v>
      </c>
      <c r="F91" s="55"/>
      <c r="G91" s="27"/>
      <c r="H91" s="18"/>
      <c r="I91" s="54">
        <v>2</v>
      </c>
      <c r="J91" s="18" t="s">
        <v>62</v>
      </c>
      <c r="K91" s="24">
        <v>117.65</v>
      </c>
      <c r="L91" s="20">
        <f>K91*I91</f>
        <v>235.3</v>
      </c>
    </row>
    <row r="92" spans="1:12" ht="60" customHeight="1" x14ac:dyDescent="0.25">
      <c r="A92" s="132">
        <v>16</v>
      </c>
      <c r="B92" s="135">
        <v>9.1</v>
      </c>
      <c r="C92" s="121" t="s">
        <v>103</v>
      </c>
      <c r="D92" s="122"/>
      <c r="E92" s="122"/>
      <c r="F92" s="122"/>
      <c r="G92" s="122"/>
      <c r="H92" s="122"/>
      <c r="I92" s="122"/>
      <c r="J92" s="18"/>
      <c r="K92" s="18"/>
      <c r="L92" s="20"/>
    </row>
    <row r="93" spans="1:12" ht="16.2" customHeight="1" x14ac:dyDescent="0.3">
      <c r="A93" s="132"/>
      <c r="B93" s="135"/>
      <c r="C93" s="52"/>
      <c r="D93" s="53"/>
      <c r="E93" s="53">
        <v>2</v>
      </c>
      <c r="F93" s="53"/>
      <c r="G93" s="53"/>
      <c r="H93" s="53"/>
      <c r="I93" s="29">
        <v>2</v>
      </c>
      <c r="J93" s="18" t="s">
        <v>62</v>
      </c>
      <c r="K93" s="24">
        <v>60.05</v>
      </c>
      <c r="L93" s="20">
        <f>K93*I93</f>
        <v>120.1</v>
      </c>
    </row>
    <row r="94" spans="1:12" ht="114.6" customHeight="1" x14ac:dyDescent="0.25">
      <c r="A94" s="132">
        <v>17</v>
      </c>
      <c r="B94" s="132">
        <v>9.1189999999999998</v>
      </c>
      <c r="C94" s="121" t="s">
        <v>65</v>
      </c>
      <c r="D94" s="121"/>
      <c r="E94" s="121"/>
      <c r="F94" s="121"/>
      <c r="G94" s="121"/>
      <c r="H94" s="121"/>
      <c r="I94" s="121"/>
      <c r="J94" s="138"/>
      <c r="K94" s="138"/>
      <c r="L94" s="145"/>
    </row>
    <row r="95" spans="1:12" ht="14.25" customHeight="1" x14ac:dyDescent="0.25">
      <c r="A95" s="132"/>
      <c r="B95" s="132"/>
      <c r="C95" s="95" t="s">
        <v>66</v>
      </c>
      <c r="D95" s="55"/>
      <c r="E95" s="17">
        <v>8</v>
      </c>
      <c r="F95" s="54">
        <v>4.95</v>
      </c>
      <c r="G95" s="54"/>
      <c r="H95" s="55"/>
      <c r="I95" s="54">
        <f>F95*E95</f>
        <v>39.6</v>
      </c>
      <c r="J95" s="138"/>
      <c r="K95" s="138"/>
      <c r="L95" s="145"/>
    </row>
    <row r="96" spans="1:12" ht="14.25" customHeight="1" x14ac:dyDescent="0.25">
      <c r="A96" s="132"/>
      <c r="B96" s="132"/>
      <c r="C96" s="56" t="s">
        <v>67</v>
      </c>
      <c r="D96" s="17"/>
      <c r="E96" s="55">
        <v>4</v>
      </c>
      <c r="F96" s="55">
        <v>4.95</v>
      </c>
      <c r="G96" s="27"/>
      <c r="H96" s="18"/>
      <c r="I96" s="54">
        <f>F96*E96</f>
        <v>19.8</v>
      </c>
      <c r="J96" s="138"/>
      <c r="K96" s="138"/>
      <c r="L96" s="145"/>
    </row>
    <row r="97" spans="1:21" ht="14.25" customHeight="1" x14ac:dyDescent="0.25">
      <c r="A97" s="132"/>
      <c r="B97" s="132"/>
      <c r="C97" s="56" t="s">
        <v>68</v>
      </c>
      <c r="D97" s="17"/>
      <c r="E97" s="55">
        <v>2</v>
      </c>
      <c r="F97" s="55">
        <v>4.95</v>
      </c>
      <c r="G97" s="27"/>
      <c r="H97" s="18"/>
      <c r="I97" s="54">
        <f>F97*E97</f>
        <v>9.9</v>
      </c>
      <c r="J97" s="138"/>
      <c r="K97" s="138"/>
      <c r="L97" s="145"/>
    </row>
    <row r="98" spans="1:21" ht="14.25" customHeight="1" x14ac:dyDescent="0.25">
      <c r="A98" s="132"/>
      <c r="B98" s="132"/>
      <c r="C98" s="60"/>
      <c r="D98" s="17"/>
      <c r="E98" s="55"/>
      <c r="F98" s="55"/>
      <c r="G98" s="137" t="s">
        <v>18</v>
      </c>
      <c r="H98" s="138"/>
      <c r="I98" s="54">
        <f>SUM(I95:I97)</f>
        <v>69.3</v>
      </c>
      <c r="J98" s="18" t="s">
        <v>69</v>
      </c>
      <c r="K98" s="18">
        <v>408.25</v>
      </c>
      <c r="L98" s="20">
        <f>K98*I98</f>
        <v>28291.73</v>
      </c>
    </row>
    <row r="99" spans="1:21" ht="297.60000000000002" customHeight="1" x14ac:dyDescent="0.25">
      <c r="A99" s="132">
        <v>18</v>
      </c>
      <c r="B99" s="135">
        <v>9.1199999999999992</v>
      </c>
      <c r="C99" s="121" t="s">
        <v>70</v>
      </c>
      <c r="D99" s="122"/>
      <c r="E99" s="122"/>
      <c r="F99" s="122"/>
      <c r="G99" s="122"/>
      <c r="H99" s="122"/>
      <c r="I99" s="122"/>
      <c r="J99" s="138"/>
      <c r="K99" s="138"/>
      <c r="L99" s="145"/>
    </row>
    <row r="100" spans="1:21" ht="14.25" customHeight="1" x14ac:dyDescent="0.25">
      <c r="A100" s="132"/>
      <c r="B100" s="135"/>
      <c r="C100" s="95" t="s">
        <v>66</v>
      </c>
      <c r="D100" s="17"/>
      <c r="E100" s="17">
        <v>8</v>
      </c>
      <c r="F100" s="54">
        <v>2.1</v>
      </c>
      <c r="G100" s="54">
        <v>0.75</v>
      </c>
      <c r="H100" s="17"/>
      <c r="I100" s="51">
        <f>G100*F100*E100</f>
        <v>12.6</v>
      </c>
      <c r="J100" s="138"/>
      <c r="K100" s="138"/>
      <c r="L100" s="145"/>
    </row>
    <row r="101" spans="1:21" ht="14.25" customHeight="1" x14ac:dyDescent="0.25">
      <c r="A101" s="132"/>
      <c r="B101" s="135"/>
      <c r="C101" s="56" t="s">
        <v>67</v>
      </c>
      <c r="D101" s="17"/>
      <c r="E101" s="55">
        <v>4</v>
      </c>
      <c r="F101" s="54">
        <v>2.1</v>
      </c>
      <c r="G101" s="54">
        <v>0.75</v>
      </c>
      <c r="H101" s="17"/>
      <c r="I101" s="51">
        <f t="shared" ref="I101:I102" si="14">G101*F101*E101</f>
        <v>6.3</v>
      </c>
      <c r="J101" s="138"/>
      <c r="K101" s="138"/>
      <c r="L101" s="145"/>
    </row>
    <row r="102" spans="1:21" ht="14.25" customHeight="1" x14ac:dyDescent="0.25">
      <c r="A102" s="132"/>
      <c r="B102" s="135"/>
      <c r="C102" s="56" t="s">
        <v>68</v>
      </c>
      <c r="D102" s="17"/>
      <c r="E102" s="55">
        <v>2</v>
      </c>
      <c r="F102" s="54">
        <v>2.1</v>
      </c>
      <c r="G102" s="54">
        <v>0.75</v>
      </c>
      <c r="H102" s="17"/>
      <c r="I102" s="51">
        <f t="shared" si="14"/>
        <v>3.15</v>
      </c>
      <c r="J102" s="138"/>
      <c r="K102" s="138"/>
      <c r="L102" s="145"/>
    </row>
    <row r="103" spans="1:21" ht="18.600000000000001" customHeight="1" x14ac:dyDescent="0.25">
      <c r="A103" s="132"/>
      <c r="B103" s="135"/>
      <c r="C103" s="60"/>
      <c r="D103" s="17"/>
      <c r="E103" s="55"/>
      <c r="F103" s="55"/>
      <c r="G103" s="144" t="s">
        <v>18</v>
      </c>
      <c r="H103" s="138"/>
      <c r="I103" s="19">
        <f>SUM(I100:I102)</f>
        <v>22.05</v>
      </c>
      <c r="J103" s="18" t="s">
        <v>13</v>
      </c>
      <c r="K103" s="28">
        <v>2455.1</v>
      </c>
      <c r="L103" s="20">
        <f>K103*I103</f>
        <v>54134.96</v>
      </c>
    </row>
    <row r="104" spans="1:21" ht="73.2" customHeight="1" x14ac:dyDescent="0.25">
      <c r="A104" s="132">
        <v>19</v>
      </c>
      <c r="B104" s="132">
        <v>10.16</v>
      </c>
      <c r="C104" s="121" t="s">
        <v>71</v>
      </c>
      <c r="D104" s="122"/>
      <c r="E104" s="122"/>
      <c r="F104" s="122"/>
      <c r="G104" s="122"/>
      <c r="H104" s="122"/>
      <c r="I104" s="122"/>
      <c r="J104" s="138"/>
      <c r="K104" s="138"/>
      <c r="L104" s="145"/>
    </row>
    <row r="105" spans="1:21" ht="22.2" customHeight="1" x14ac:dyDescent="0.25">
      <c r="A105" s="132"/>
      <c r="B105" s="132"/>
      <c r="C105" s="58"/>
      <c r="D105" s="30" t="s">
        <v>6</v>
      </c>
      <c r="E105" s="17" t="s">
        <v>6</v>
      </c>
      <c r="F105" s="30" t="s">
        <v>7</v>
      </c>
      <c r="G105" s="30" t="s">
        <v>74</v>
      </c>
      <c r="H105" s="30" t="s">
        <v>72</v>
      </c>
      <c r="I105" s="50" t="s">
        <v>10</v>
      </c>
      <c r="J105" s="138"/>
      <c r="K105" s="138"/>
      <c r="L105" s="145"/>
    </row>
    <row r="106" spans="1:21" ht="14.25" customHeight="1" x14ac:dyDescent="0.25">
      <c r="A106" s="132"/>
      <c r="B106" s="132"/>
      <c r="C106" s="31" t="s">
        <v>73</v>
      </c>
      <c r="D106" s="18"/>
      <c r="E106" s="30">
        <v>10</v>
      </c>
      <c r="F106" s="30">
        <v>2.6</v>
      </c>
      <c r="G106" s="30">
        <f>F106*E106</f>
        <v>26</v>
      </c>
      <c r="H106" s="30">
        <v>5.62</v>
      </c>
      <c r="I106" s="50">
        <f>H106*G106</f>
        <v>146.12</v>
      </c>
      <c r="J106" s="138"/>
      <c r="K106" s="138"/>
      <c r="L106" s="145"/>
    </row>
    <row r="107" spans="1:21" ht="14.25" customHeight="1" x14ac:dyDescent="0.25">
      <c r="A107" s="132"/>
      <c r="B107" s="132"/>
      <c r="C107" s="60" t="s">
        <v>75</v>
      </c>
      <c r="D107" s="17"/>
      <c r="E107" s="55">
        <v>3</v>
      </c>
      <c r="F107" s="55">
        <v>8</v>
      </c>
      <c r="G107" s="27">
        <f>F107*E107</f>
        <v>24</v>
      </c>
      <c r="H107" s="30">
        <v>5.62</v>
      </c>
      <c r="I107" s="54">
        <f>H107*G107</f>
        <v>134.88</v>
      </c>
      <c r="J107" s="138"/>
      <c r="K107" s="138"/>
      <c r="L107" s="145"/>
    </row>
    <row r="108" spans="1:21" ht="14.25" customHeight="1" x14ac:dyDescent="0.25">
      <c r="A108" s="132"/>
      <c r="B108" s="132"/>
      <c r="C108" s="60"/>
      <c r="D108" s="17"/>
      <c r="E108" s="55"/>
      <c r="F108" s="55"/>
      <c r="G108" s="144" t="s">
        <v>18</v>
      </c>
      <c r="H108" s="138"/>
      <c r="I108" s="54">
        <f>SUM(I106:I107)</f>
        <v>281</v>
      </c>
      <c r="J108" s="55" t="s">
        <v>76</v>
      </c>
      <c r="K108" s="17">
        <v>168.95</v>
      </c>
      <c r="L108" s="20">
        <f>K108*I108</f>
        <v>47474.95</v>
      </c>
    </row>
    <row r="109" spans="1:21" ht="129.6" customHeight="1" x14ac:dyDescent="0.25">
      <c r="A109" s="132">
        <v>20</v>
      </c>
      <c r="B109" s="133">
        <v>12.1</v>
      </c>
      <c r="C109" s="121" t="s">
        <v>90</v>
      </c>
      <c r="D109" s="122"/>
      <c r="E109" s="122"/>
      <c r="F109" s="122"/>
      <c r="G109" s="122"/>
      <c r="H109" s="122"/>
      <c r="I109" s="122"/>
      <c r="J109" s="146"/>
      <c r="K109" s="146"/>
      <c r="L109" s="146"/>
    </row>
    <row r="110" spans="1:21" ht="13.5" customHeight="1" x14ac:dyDescent="0.25">
      <c r="A110" s="132"/>
      <c r="B110" s="133"/>
      <c r="C110" s="60" t="s">
        <v>14</v>
      </c>
      <c r="D110" s="55">
        <v>1</v>
      </c>
      <c r="E110" s="55"/>
      <c r="F110" s="55">
        <v>8</v>
      </c>
      <c r="G110" s="55">
        <v>3</v>
      </c>
      <c r="H110" s="55"/>
      <c r="I110" s="19">
        <f>G110*F110*D110</f>
        <v>24</v>
      </c>
      <c r="J110" s="146"/>
      <c r="K110" s="146"/>
      <c r="L110" s="146"/>
      <c r="P110" s="21"/>
      <c r="Q110" s="21"/>
      <c r="R110" s="21"/>
      <c r="S110" s="21"/>
      <c r="T110" s="21"/>
      <c r="U110" s="23"/>
    </row>
    <row r="111" spans="1:21" ht="13.5" customHeight="1" x14ac:dyDescent="0.25">
      <c r="A111" s="132"/>
      <c r="B111" s="133"/>
      <c r="C111" s="60" t="s">
        <v>84</v>
      </c>
      <c r="D111" s="55">
        <v>2</v>
      </c>
      <c r="E111" s="55"/>
      <c r="F111" s="55">
        <v>20.5</v>
      </c>
      <c r="G111" s="55">
        <v>5.2</v>
      </c>
      <c r="H111" s="55"/>
      <c r="I111" s="19">
        <f>G111*F111*D111</f>
        <v>213.2</v>
      </c>
      <c r="J111" s="146"/>
      <c r="K111" s="146"/>
      <c r="L111" s="146"/>
      <c r="P111" s="21"/>
      <c r="Q111" s="21"/>
      <c r="R111" s="21"/>
      <c r="S111" s="21"/>
      <c r="T111" s="21"/>
      <c r="U111" s="23"/>
    </row>
    <row r="112" spans="1:21" ht="17.25" customHeight="1" x14ac:dyDescent="0.3">
      <c r="A112" s="132"/>
      <c r="B112" s="133"/>
      <c r="C112" s="95"/>
      <c r="D112" s="55"/>
      <c r="E112" s="55"/>
      <c r="F112" s="55"/>
      <c r="G112" s="137" t="s">
        <v>18</v>
      </c>
      <c r="H112" s="138"/>
      <c r="I112" s="19">
        <f>SUM(I110:I111)</f>
        <v>237.2</v>
      </c>
      <c r="J112" s="17" t="s">
        <v>13</v>
      </c>
      <c r="K112" s="24">
        <v>1135.45</v>
      </c>
      <c r="L112" s="20">
        <f>K112*I112</f>
        <v>269328.74</v>
      </c>
      <c r="P112" s="21"/>
      <c r="Q112" s="21"/>
      <c r="R112" s="21"/>
      <c r="S112" s="141"/>
      <c r="T112" s="142"/>
      <c r="U112" s="32"/>
    </row>
    <row r="113" spans="1:21" ht="58.2" customHeight="1" x14ac:dyDescent="0.25">
      <c r="A113" s="132">
        <v>21</v>
      </c>
      <c r="B113" s="133">
        <v>12.4</v>
      </c>
      <c r="C113" s="121" t="s">
        <v>135</v>
      </c>
      <c r="D113" s="122"/>
      <c r="E113" s="122"/>
      <c r="F113" s="122"/>
      <c r="G113" s="122"/>
      <c r="H113" s="122"/>
      <c r="I113" s="122"/>
      <c r="J113" s="18"/>
      <c r="K113" s="18"/>
      <c r="L113" s="18"/>
      <c r="P113" s="7"/>
      <c r="Q113" s="7"/>
      <c r="R113" s="7"/>
      <c r="S113" s="46"/>
      <c r="T113" s="7"/>
      <c r="U113" s="47"/>
    </row>
    <row r="114" spans="1:21" ht="17.25" customHeight="1" x14ac:dyDescent="0.25">
      <c r="A114" s="132"/>
      <c r="B114" s="133"/>
      <c r="C114" s="60" t="s">
        <v>14</v>
      </c>
      <c r="D114" s="55">
        <v>1</v>
      </c>
      <c r="E114" s="55"/>
      <c r="F114" s="55">
        <v>20.5</v>
      </c>
      <c r="G114" s="54"/>
      <c r="H114" s="55"/>
      <c r="I114" s="19">
        <f>F114*D114</f>
        <v>20.5</v>
      </c>
      <c r="J114" s="18" t="s">
        <v>134</v>
      </c>
      <c r="K114" s="18">
        <v>822.15</v>
      </c>
      <c r="L114" s="20">
        <f>K114*I114</f>
        <v>16854.080000000002</v>
      </c>
      <c r="P114" s="7"/>
      <c r="Q114" s="7"/>
      <c r="R114" s="7"/>
      <c r="S114" s="46"/>
      <c r="T114" s="7"/>
      <c r="U114" s="47"/>
    </row>
    <row r="115" spans="1:21" ht="312.60000000000002" customHeight="1" x14ac:dyDescent="0.25">
      <c r="A115" s="132">
        <v>22</v>
      </c>
      <c r="B115" s="57">
        <v>12.52</v>
      </c>
      <c r="C115" s="121" t="s">
        <v>21</v>
      </c>
      <c r="D115" s="122"/>
      <c r="E115" s="122"/>
      <c r="F115" s="122"/>
      <c r="G115" s="122"/>
      <c r="H115" s="122"/>
      <c r="I115" s="122"/>
      <c r="J115" s="146"/>
      <c r="K115" s="146"/>
      <c r="L115" s="146"/>
    </row>
    <row r="116" spans="1:21" ht="77.25" customHeight="1" x14ac:dyDescent="0.25">
      <c r="A116" s="132"/>
      <c r="B116" s="132"/>
      <c r="C116" s="129" t="s">
        <v>38</v>
      </c>
      <c r="D116" s="136"/>
      <c r="E116" s="136"/>
      <c r="F116" s="136"/>
      <c r="G116" s="136"/>
      <c r="H116" s="136"/>
      <c r="I116" s="136"/>
      <c r="J116" s="146"/>
      <c r="K116" s="146"/>
      <c r="L116" s="146"/>
    </row>
    <row r="117" spans="1:21" ht="16.5" customHeight="1" x14ac:dyDescent="0.25">
      <c r="A117" s="132"/>
      <c r="B117" s="132"/>
      <c r="C117" s="31" t="s">
        <v>54</v>
      </c>
      <c r="D117" s="17">
        <v>1</v>
      </c>
      <c r="E117" s="17"/>
      <c r="F117" s="17">
        <v>6</v>
      </c>
      <c r="G117" s="54">
        <v>3.6</v>
      </c>
      <c r="H117" s="54"/>
      <c r="I117" s="54">
        <f>G117*F117*D117</f>
        <v>21.6</v>
      </c>
      <c r="J117" s="146"/>
      <c r="K117" s="146"/>
      <c r="L117" s="146"/>
    </row>
    <row r="118" spans="1:21" ht="16.5" customHeight="1" x14ac:dyDescent="0.25">
      <c r="A118" s="132"/>
      <c r="B118" s="132"/>
      <c r="C118" s="60" t="s">
        <v>51</v>
      </c>
      <c r="D118" s="17">
        <v>1</v>
      </c>
      <c r="E118" s="17"/>
      <c r="F118" s="17">
        <v>3.6</v>
      </c>
      <c r="G118" s="54">
        <v>2.95</v>
      </c>
      <c r="H118" s="54"/>
      <c r="I118" s="54">
        <f>G118*F118*D118</f>
        <v>10.62</v>
      </c>
      <c r="J118" s="146"/>
      <c r="K118" s="146"/>
      <c r="L118" s="146"/>
    </row>
    <row r="119" spans="1:21" ht="16.5" customHeight="1" x14ac:dyDescent="0.25">
      <c r="A119" s="132"/>
      <c r="B119" s="132"/>
      <c r="C119" s="60" t="s">
        <v>52</v>
      </c>
      <c r="D119" s="17">
        <v>1</v>
      </c>
      <c r="E119" s="17"/>
      <c r="F119" s="17">
        <v>6</v>
      </c>
      <c r="G119" s="54">
        <v>4.25</v>
      </c>
      <c r="H119" s="54"/>
      <c r="I119" s="54">
        <f t="shared" ref="I119:I122" si="15">G119*F119*D119</f>
        <v>25.5</v>
      </c>
      <c r="J119" s="146"/>
      <c r="K119" s="146"/>
      <c r="L119" s="146"/>
    </row>
    <row r="120" spans="1:21" ht="16.5" customHeight="1" x14ac:dyDescent="0.25">
      <c r="A120" s="132"/>
      <c r="B120" s="132"/>
      <c r="C120" s="60" t="s">
        <v>63</v>
      </c>
      <c r="D120" s="17">
        <v>1</v>
      </c>
      <c r="E120" s="17"/>
      <c r="F120" s="17">
        <v>9.16</v>
      </c>
      <c r="G120" s="54">
        <v>6</v>
      </c>
      <c r="H120" s="54"/>
      <c r="I120" s="54">
        <f t="shared" si="15"/>
        <v>54.96</v>
      </c>
      <c r="J120" s="146"/>
      <c r="K120" s="146"/>
      <c r="L120" s="146"/>
    </row>
    <row r="121" spans="1:21" ht="16.5" customHeight="1" x14ac:dyDescent="0.25">
      <c r="A121" s="132"/>
      <c r="B121" s="132"/>
      <c r="C121" s="60"/>
      <c r="D121" s="17">
        <v>1</v>
      </c>
      <c r="E121" s="17"/>
      <c r="F121" s="17">
        <v>6.4</v>
      </c>
      <c r="G121" s="54">
        <v>3.5</v>
      </c>
      <c r="H121" s="54"/>
      <c r="I121" s="54">
        <f t="shared" si="15"/>
        <v>22.4</v>
      </c>
      <c r="J121" s="146"/>
      <c r="K121" s="146"/>
      <c r="L121" s="146"/>
    </row>
    <row r="122" spans="1:21" ht="16.5" customHeight="1" x14ac:dyDescent="0.25">
      <c r="A122" s="132"/>
      <c r="B122" s="132"/>
      <c r="C122" s="60"/>
      <c r="D122" s="17">
        <v>1</v>
      </c>
      <c r="E122" s="17"/>
      <c r="F122" s="17">
        <v>6.4</v>
      </c>
      <c r="G122" s="54">
        <v>1.85</v>
      </c>
      <c r="H122" s="54"/>
      <c r="I122" s="54">
        <f t="shared" si="15"/>
        <v>11.84</v>
      </c>
      <c r="J122" s="146"/>
      <c r="K122" s="146"/>
      <c r="L122" s="146"/>
    </row>
    <row r="123" spans="1:21" ht="16.5" customHeight="1" x14ac:dyDescent="0.25">
      <c r="A123" s="132"/>
      <c r="B123" s="132"/>
      <c r="C123" s="60"/>
      <c r="D123" s="17"/>
      <c r="E123" s="17"/>
      <c r="F123" s="17"/>
      <c r="G123" s="137" t="s">
        <v>27</v>
      </c>
      <c r="H123" s="137"/>
      <c r="I123" s="54">
        <f>SUM(I117:I122)</f>
        <v>146.91999999999999</v>
      </c>
      <c r="J123" s="17" t="s">
        <v>13</v>
      </c>
      <c r="K123" s="17">
        <v>1948.95</v>
      </c>
      <c r="L123" s="20">
        <f>K123*I123</f>
        <v>286339.73</v>
      </c>
    </row>
    <row r="124" spans="1:21" ht="123" customHeight="1" x14ac:dyDescent="0.25">
      <c r="A124" s="134">
        <v>23</v>
      </c>
      <c r="B124" s="134">
        <v>17.3</v>
      </c>
      <c r="C124" s="121" t="s">
        <v>29</v>
      </c>
      <c r="D124" s="122"/>
      <c r="E124" s="122"/>
      <c r="F124" s="122"/>
      <c r="G124" s="122"/>
      <c r="H124" s="122"/>
      <c r="I124" s="122"/>
      <c r="J124" s="18"/>
      <c r="K124" s="28"/>
      <c r="L124" s="28"/>
    </row>
    <row r="125" spans="1:21" ht="14.25" customHeight="1" x14ac:dyDescent="0.3">
      <c r="A125" s="134"/>
      <c r="B125" s="134"/>
      <c r="C125" s="18"/>
      <c r="D125" s="55"/>
      <c r="E125" s="55">
        <v>8</v>
      </c>
      <c r="F125" s="55"/>
      <c r="G125" s="54"/>
      <c r="H125" s="54"/>
      <c r="I125" s="54">
        <f>E125</f>
        <v>8</v>
      </c>
      <c r="J125" s="18" t="s">
        <v>19</v>
      </c>
      <c r="K125" s="24">
        <v>6941.3</v>
      </c>
      <c r="L125" s="20">
        <f>K125*I125</f>
        <v>55530.400000000001</v>
      </c>
    </row>
    <row r="126" spans="1:21" ht="91.5" customHeight="1" x14ac:dyDescent="0.25">
      <c r="A126" s="132">
        <v>24</v>
      </c>
      <c r="B126" s="134" t="s">
        <v>32</v>
      </c>
      <c r="C126" s="121" t="s">
        <v>81</v>
      </c>
      <c r="D126" s="121"/>
      <c r="E126" s="121"/>
      <c r="F126" s="121"/>
      <c r="G126" s="121"/>
      <c r="H126" s="121"/>
      <c r="I126" s="121"/>
      <c r="J126" s="18"/>
      <c r="K126" s="18"/>
      <c r="L126" s="18"/>
    </row>
    <row r="127" spans="1:21" ht="14.25" customHeight="1" x14ac:dyDescent="0.3">
      <c r="A127" s="132"/>
      <c r="B127" s="134"/>
      <c r="C127" s="60"/>
      <c r="D127" s="55"/>
      <c r="E127" s="55">
        <v>11</v>
      </c>
      <c r="F127" s="55"/>
      <c r="G127" s="55"/>
      <c r="H127" s="55"/>
      <c r="I127" s="19">
        <f>E127</f>
        <v>11</v>
      </c>
      <c r="J127" s="17" t="s">
        <v>19</v>
      </c>
      <c r="K127" s="48">
        <v>4542.3999999999996</v>
      </c>
      <c r="L127" s="20">
        <f>K127*I127</f>
        <v>49966.400000000001</v>
      </c>
    </row>
    <row r="128" spans="1:21" ht="44.4" customHeight="1" x14ac:dyDescent="0.25">
      <c r="A128" s="132">
        <v>25</v>
      </c>
      <c r="B128" s="140" t="s">
        <v>30</v>
      </c>
      <c r="C128" s="121" t="s">
        <v>93</v>
      </c>
      <c r="D128" s="122"/>
      <c r="E128" s="122"/>
      <c r="F128" s="122"/>
      <c r="G128" s="122"/>
      <c r="H128" s="122"/>
      <c r="I128" s="122"/>
      <c r="J128" s="18"/>
      <c r="K128" s="18"/>
      <c r="L128" s="18"/>
    </row>
    <row r="129" spans="1:12" ht="14.25" customHeight="1" x14ac:dyDescent="0.3">
      <c r="A129" s="132"/>
      <c r="B129" s="140"/>
      <c r="C129" s="60"/>
      <c r="D129" s="55"/>
      <c r="E129" s="55">
        <v>8</v>
      </c>
      <c r="F129" s="55"/>
      <c r="G129" s="55"/>
      <c r="H129" s="55"/>
      <c r="I129" s="19">
        <f>E129</f>
        <v>8</v>
      </c>
      <c r="J129" s="24" t="s">
        <v>31</v>
      </c>
      <c r="K129" s="28">
        <v>6119.15</v>
      </c>
      <c r="L129" s="20">
        <f>K129*I129</f>
        <v>48953.2</v>
      </c>
    </row>
    <row r="130" spans="1:12" ht="46.95" customHeight="1" x14ac:dyDescent="0.25">
      <c r="A130" s="132">
        <v>26</v>
      </c>
      <c r="B130" s="134">
        <v>17.309999999999999</v>
      </c>
      <c r="C130" s="121" t="s">
        <v>33</v>
      </c>
      <c r="D130" s="122"/>
      <c r="E130" s="122"/>
      <c r="F130" s="122"/>
      <c r="G130" s="122"/>
      <c r="H130" s="122"/>
      <c r="I130" s="122"/>
      <c r="J130" s="18"/>
      <c r="K130" s="18"/>
      <c r="L130" s="18"/>
    </row>
    <row r="131" spans="1:12" ht="14.25" customHeight="1" x14ac:dyDescent="0.3">
      <c r="A131" s="132"/>
      <c r="B131" s="134"/>
      <c r="C131" s="60"/>
      <c r="D131" s="55"/>
      <c r="E131" s="55">
        <v>10</v>
      </c>
      <c r="F131" s="55"/>
      <c r="G131" s="55"/>
      <c r="H131" s="55"/>
      <c r="I131" s="19">
        <f>+E131</f>
        <v>10</v>
      </c>
      <c r="J131" s="24" t="s">
        <v>31</v>
      </c>
      <c r="K131" s="24">
        <v>1411.15</v>
      </c>
      <c r="L131" s="20">
        <f>K131*I131</f>
        <v>14111.5</v>
      </c>
    </row>
    <row r="132" spans="1:12" ht="47.4" customHeight="1" x14ac:dyDescent="0.25">
      <c r="A132" s="132">
        <v>27</v>
      </c>
      <c r="B132" s="134" t="s">
        <v>34</v>
      </c>
      <c r="C132" s="121" t="s">
        <v>80</v>
      </c>
      <c r="D132" s="122"/>
      <c r="E132" s="122"/>
      <c r="F132" s="122"/>
      <c r="G132" s="122"/>
      <c r="H132" s="122"/>
      <c r="I132" s="122"/>
      <c r="J132" s="18"/>
      <c r="K132" s="18"/>
      <c r="L132" s="18"/>
    </row>
    <row r="133" spans="1:12" ht="14.25" customHeight="1" x14ac:dyDescent="0.3">
      <c r="A133" s="132"/>
      <c r="B133" s="134"/>
      <c r="C133" s="60"/>
      <c r="D133" s="55"/>
      <c r="E133" s="55">
        <v>8</v>
      </c>
      <c r="F133" s="55"/>
      <c r="G133" s="55"/>
      <c r="H133" s="55"/>
      <c r="I133" s="19">
        <f>E133</f>
        <v>8</v>
      </c>
      <c r="J133" s="24" t="s">
        <v>31</v>
      </c>
      <c r="K133" s="24">
        <v>299.35000000000002</v>
      </c>
      <c r="L133" s="20">
        <f>K133*I133</f>
        <v>2394.8000000000002</v>
      </c>
    </row>
    <row r="134" spans="1:12" ht="43.2" customHeight="1" x14ac:dyDescent="0.25">
      <c r="A134" s="132">
        <v>28</v>
      </c>
      <c r="B134" s="134">
        <v>18.489999999999998</v>
      </c>
      <c r="C134" s="129" t="s">
        <v>35</v>
      </c>
      <c r="D134" s="130"/>
      <c r="E134" s="130"/>
      <c r="F134" s="130"/>
      <c r="G134" s="130"/>
      <c r="H134" s="130"/>
      <c r="I134" s="130"/>
      <c r="J134" s="18"/>
      <c r="K134" s="18"/>
      <c r="L134" s="18"/>
    </row>
    <row r="135" spans="1:12" ht="14.25" customHeight="1" x14ac:dyDescent="0.3">
      <c r="A135" s="132"/>
      <c r="B135" s="134"/>
      <c r="C135" s="60"/>
      <c r="D135" s="55"/>
      <c r="E135" s="55">
        <v>12</v>
      </c>
      <c r="F135" s="55"/>
      <c r="G135" s="55"/>
      <c r="H135" s="55"/>
      <c r="I135" s="19">
        <f>E135</f>
        <v>12</v>
      </c>
      <c r="J135" s="24" t="s">
        <v>31</v>
      </c>
      <c r="K135" s="24">
        <v>434.2</v>
      </c>
      <c r="L135" s="20">
        <f>K135*I135</f>
        <v>5210.3999999999996</v>
      </c>
    </row>
    <row r="136" spans="1:12" ht="60" customHeight="1" x14ac:dyDescent="0.25">
      <c r="A136" s="132">
        <v>29</v>
      </c>
      <c r="B136" s="134">
        <v>17.71</v>
      </c>
      <c r="C136" s="121" t="s">
        <v>79</v>
      </c>
      <c r="D136" s="122"/>
      <c r="E136" s="122"/>
      <c r="F136" s="122"/>
      <c r="G136" s="122"/>
      <c r="H136" s="122"/>
      <c r="I136" s="122"/>
      <c r="J136" s="18"/>
      <c r="K136" s="18"/>
      <c r="L136" s="20"/>
    </row>
    <row r="137" spans="1:12" ht="14.25" customHeight="1" x14ac:dyDescent="0.3">
      <c r="A137" s="132"/>
      <c r="B137" s="134"/>
      <c r="C137" s="60"/>
      <c r="D137" s="55"/>
      <c r="E137" s="55">
        <v>8</v>
      </c>
      <c r="F137" s="55"/>
      <c r="G137" s="55"/>
      <c r="H137" s="55"/>
      <c r="I137" s="19">
        <f>E137</f>
        <v>8</v>
      </c>
      <c r="J137" s="24" t="s">
        <v>31</v>
      </c>
      <c r="K137" s="24">
        <v>146.30000000000001</v>
      </c>
      <c r="L137" s="20">
        <f>K137*I137</f>
        <v>1170.4000000000001</v>
      </c>
    </row>
    <row r="138" spans="1:12" ht="21" customHeight="1" x14ac:dyDescent="0.3">
      <c r="A138" s="132">
        <v>30</v>
      </c>
      <c r="B138" s="134"/>
      <c r="C138" s="139" t="s">
        <v>85</v>
      </c>
      <c r="D138" s="139"/>
      <c r="E138" s="139"/>
      <c r="F138" s="139"/>
      <c r="G138" s="139"/>
      <c r="H138" s="139"/>
      <c r="I138" s="139"/>
      <c r="J138" s="24"/>
      <c r="K138" s="24"/>
      <c r="L138" s="20"/>
    </row>
    <row r="139" spans="1:12" ht="14.25" customHeight="1" x14ac:dyDescent="0.25">
      <c r="A139" s="132"/>
      <c r="B139" s="134"/>
      <c r="C139" s="139" t="s">
        <v>77</v>
      </c>
      <c r="D139" s="139"/>
      <c r="E139" s="139"/>
      <c r="F139" s="139"/>
      <c r="G139" s="139"/>
      <c r="H139" s="139"/>
      <c r="I139" s="139"/>
      <c r="J139" s="18"/>
      <c r="K139" s="18"/>
      <c r="L139" s="18"/>
    </row>
    <row r="140" spans="1:12" ht="14.25" customHeight="1" x14ac:dyDescent="0.3">
      <c r="A140" s="132"/>
      <c r="B140" s="134"/>
      <c r="C140" s="60"/>
      <c r="D140" s="55"/>
      <c r="E140" s="55">
        <v>1</v>
      </c>
      <c r="F140" s="18">
        <v>5</v>
      </c>
      <c r="G140" s="55">
        <v>3.2</v>
      </c>
      <c r="H140" s="55"/>
      <c r="I140" s="19">
        <f>G140*F140</f>
        <v>16</v>
      </c>
      <c r="J140" s="24" t="s">
        <v>13</v>
      </c>
      <c r="K140" s="24">
        <v>17200</v>
      </c>
      <c r="L140" s="20">
        <f>K140*I140</f>
        <v>275200</v>
      </c>
    </row>
    <row r="141" spans="1:12" ht="128.4" customHeight="1" x14ac:dyDescent="0.25">
      <c r="A141" s="132">
        <v>31</v>
      </c>
      <c r="B141" s="134">
        <v>16.78</v>
      </c>
      <c r="C141" s="121" t="s">
        <v>91</v>
      </c>
      <c r="D141" s="122"/>
      <c r="E141" s="122"/>
      <c r="F141" s="122"/>
      <c r="G141" s="122"/>
      <c r="H141" s="122"/>
      <c r="I141" s="122"/>
      <c r="J141" s="18"/>
      <c r="K141" s="18"/>
      <c r="L141" s="20"/>
    </row>
    <row r="142" spans="1:12" ht="18" customHeight="1" x14ac:dyDescent="0.3">
      <c r="A142" s="132"/>
      <c r="B142" s="134"/>
      <c r="C142" s="60"/>
      <c r="D142" s="55"/>
      <c r="E142" s="55"/>
      <c r="F142" s="28">
        <v>14.45</v>
      </c>
      <c r="G142" s="55">
        <v>20</v>
      </c>
      <c r="H142" s="55">
        <v>0.1</v>
      </c>
      <c r="I142" s="19">
        <f>H142*G142*F142</f>
        <v>28.9</v>
      </c>
      <c r="J142" s="24" t="s">
        <v>2</v>
      </c>
      <c r="K142" s="24">
        <v>2658.1</v>
      </c>
      <c r="L142" s="20">
        <f>K142*I142</f>
        <v>76819.09</v>
      </c>
    </row>
    <row r="143" spans="1:12" ht="87.6" customHeight="1" x14ac:dyDescent="0.25">
      <c r="A143" s="132">
        <v>32</v>
      </c>
      <c r="B143" s="134">
        <v>16.68</v>
      </c>
      <c r="C143" s="121" t="s">
        <v>92</v>
      </c>
      <c r="D143" s="122"/>
      <c r="E143" s="122"/>
      <c r="F143" s="122"/>
      <c r="G143" s="122"/>
      <c r="H143" s="122"/>
      <c r="I143" s="122"/>
      <c r="J143" s="18"/>
      <c r="K143" s="18"/>
      <c r="L143" s="20"/>
    </row>
    <row r="144" spans="1:12" ht="14.25" customHeight="1" x14ac:dyDescent="0.3">
      <c r="A144" s="132"/>
      <c r="B144" s="134"/>
      <c r="C144" s="60"/>
      <c r="D144" s="55"/>
      <c r="E144" s="55"/>
      <c r="F144" s="28">
        <v>14.45</v>
      </c>
      <c r="G144" s="55">
        <v>20</v>
      </c>
      <c r="H144" s="55"/>
      <c r="I144" s="19">
        <f>G144*F144</f>
        <v>289</v>
      </c>
      <c r="J144" s="24" t="s">
        <v>13</v>
      </c>
      <c r="K144" s="24">
        <v>951</v>
      </c>
      <c r="L144" s="20">
        <f>I144*K144</f>
        <v>274839</v>
      </c>
    </row>
    <row r="145" spans="1:14" ht="31.2" customHeight="1" x14ac:dyDescent="0.3">
      <c r="A145" s="51">
        <v>33</v>
      </c>
      <c r="B145" s="50"/>
      <c r="C145" s="129" t="s">
        <v>41</v>
      </c>
      <c r="D145" s="129"/>
      <c r="E145" s="129"/>
      <c r="F145" s="129"/>
      <c r="G145" s="129"/>
      <c r="H145" s="129"/>
      <c r="I145" s="129"/>
      <c r="J145" s="30" t="s">
        <v>42</v>
      </c>
      <c r="K145" s="24"/>
      <c r="L145" s="20">
        <v>20100</v>
      </c>
    </row>
    <row r="146" spans="1:14" ht="13.5" customHeight="1" x14ac:dyDescent="0.25">
      <c r="A146" s="33"/>
      <c r="B146" s="18"/>
      <c r="C146" s="138"/>
      <c r="D146" s="138"/>
      <c r="E146" s="138"/>
      <c r="F146" s="138"/>
      <c r="G146" s="138"/>
      <c r="H146" s="138"/>
      <c r="I146" s="138"/>
      <c r="J146" s="138"/>
      <c r="K146" s="138"/>
      <c r="L146" s="20">
        <f>SUM(L3:L145)</f>
        <v>2297170.2599999998</v>
      </c>
      <c r="M146" s="5"/>
      <c r="N146" s="5"/>
    </row>
  </sheetData>
  <mergeCells count="143">
    <mergeCell ref="C146:K146"/>
    <mergeCell ref="A3:A6"/>
    <mergeCell ref="A36:A41"/>
    <mergeCell ref="B36:B41"/>
    <mergeCell ref="B42:B61"/>
    <mergeCell ref="A1:L1"/>
    <mergeCell ref="A23:A35"/>
    <mergeCell ref="B23:B35"/>
    <mergeCell ref="C15:I15"/>
    <mergeCell ref="C23:I23"/>
    <mergeCell ref="B19:B20"/>
    <mergeCell ref="B21:B22"/>
    <mergeCell ref="G6:H6"/>
    <mergeCell ref="C17:I17"/>
    <mergeCell ref="L7:L13"/>
    <mergeCell ref="K7:K13"/>
    <mergeCell ref="J7:J13"/>
    <mergeCell ref="G35:H35"/>
    <mergeCell ref="A7:A14"/>
    <mergeCell ref="A15:A16"/>
    <mergeCell ref="A19:A20"/>
    <mergeCell ref="A21:A22"/>
    <mergeCell ref="A17:A18"/>
    <mergeCell ref="K23:K34"/>
    <mergeCell ref="L23:L34"/>
    <mergeCell ref="J23:J34"/>
    <mergeCell ref="J115:J122"/>
    <mergeCell ref="K115:K122"/>
    <mergeCell ref="L115:L122"/>
    <mergeCell ref="A42:A61"/>
    <mergeCell ref="A62:A81"/>
    <mergeCell ref="A82:A83"/>
    <mergeCell ref="B62:B81"/>
    <mergeCell ref="C82:I82"/>
    <mergeCell ref="B82:B83"/>
    <mergeCell ref="B84:B85"/>
    <mergeCell ref="B86:B87"/>
    <mergeCell ref="B90:B91"/>
    <mergeCell ref="B92:B93"/>
    <mergeCell ref="K109:K111"/>
    <mergeCell ref="L109:L111"/>
    <mergeCell ref="L36:L39"/>
    <mergeCell ref="L94:L97"/>
    <mergeCell ref="K104:K107"/>
    <mergeCell ref="L104:L107"/>
    <mergeCell ref="K62:K80"/>
    <mergeCell ref="L62:L80"/>
    <mergeCell ref="K36:K39"/>
    <mergeCell ref="S112:T112"/>
    <mergeCell ref="C42:I42"/>
    <mergeCell ref="G61:H61"/>
    <mergeCell ref="C62:I62"/>
    <mergeCell ref="G81:H81"/>
    <mergeCell ref="K42:K60"/>
    <mergeCell ref="L42:L60"/>
    <mergeCell ref="J42:J60"/>
    <mergeCell ref="G98:H98"/>
    <mergeCell ref="C99:I99"/>
    <mergeCell ref="G103:H103"/>
    <mergeCell ref="J99:J102"/>
    <mergeCell ref="K99:K102"/>
    <mergeCell ref="L99:L102"/>
    <mergeCell ref="J94:J97"/>
    <mergeCell ref="K94:K97"/>
    <mergeCell ref="C104:I104"/>
    <mergeCell ref="G108:H108"/>
    <mergeCell ref="J104:J107"/>
    <mergeCell ref="C94:I94"/>
    <mergeCell ref="C88:I88"/>
    <mergeCell ref="C90:I90"/>
    <mergeCell ref="C92:I92"/>
    <mergeCell ref="J109:J111"/>
    <mergeCell ref="B17:B18"/>
    <mergeCell ref="B3:B6"/>
    <mergeCell ref="B88:B89"/>
    <mergeCell ref="C36:I36"/>
    <mergeCell ref="G41:H41"/>
    <mergeCell ref="C7:I7"/>
    <mergeCell ref="C3:I3"/>
    <mergeCell ref="C21:I21"/>
    <mergeCell ref="B7:B14"/>
    <mergeCell ref="G14:H14"/>
    <mergeCell ref="B15:B16"/>
    <mergeCell ref="C19:I19"/>
    <mergeCell ref="C84:I84"/>
    <mergeCell ref="C86:I86"/>
    <mergeCell ref="J36:J39"/>
    <mergeCell ref="C145:I145"/>
    <mergeCell ref="C136:I136"/>
    <mergeCell ref="A136:A137"/>
    <mergeCell ref="C138:I138"/>
    <mergeCell ref="C139:I139"/>
    <mergeCell ref="A138:A140"/>
    <mergeCell ref="B138:B140"/>
    <mergeCell ref="B136:B137"/>
    <mergeCell ref="J62:J80"/>
    <mergeCell ref="A109:A112"/>
    <mergeCell ref="A99:A103"/>
    <mergeCell ref="A94:A98"/>
    <mergeCell ref="A104:A108"/>
    <mergeCell ref="C128:I128"/>
    <mergeCell ref="A126:A127"/>
    <mergeCell ref="A128:A129"/>
    <mergeCell ref="B116:B123"/>
    <mergeCell ref="B124:B125"/>
    <mergeCell ref="B128:B129"/>
    <mergeCell ref="A115:A123"/>
    <mergeCell ref="A124:A125"/>
    <mergeCell ref="A134:A135"/>
    <mergeCell ref="C130:I130"/>
    <mergeCell ref="C143:I143"/>
    <mergeCell ref="C134:I134"/>
    <mergeCell ref="A130:A131"/>
    <mergeCell ref="A132:A133"/>
    <mergeCell ref="B130:B131"/>
    <mergeCell ref="B132:B133"/>
    <mergeCell ref="B134:B135"/>
    <mergeCell ref="B94:B98"/>
    <mergeCell ref="B99:B103"/>
    <mergeCell ref="C126:I126"/>
    <mergeCell ref="B109:B112"/>
    <mergeCell ref="C109:I109"/>
    <mergeCell ref="C116:I116"/>
    <mergeCell ref="B126:B127"/>
    <mergeCell ref="C124:I124"/>
    <mergeCell ref="G123:H123"/>
    <mergeCell ref="G112:H112"/>
    <mergeCell ref="B104:B108"/>
    <mergeCell ref="C115:I115"/>
    <mergeCell ref="B141:B142"/>
    <mergeCell ref="B143:B144"/>
    <mergeCell ref="A141:A142"/>
    <mergeCell ref="A143:A144"/>
    <mergeCell ref="A84:A85"/>
    <mergeCell ref="A86:A87"/>
    <mergeCell ref="A88:A89"/>
    <mergeCell ref="A90:A91"/>
    <mergeCell ref="A92:A93"/>
    <mergeCell ref="C113:I113"/>
    <mergeCell ref="B113:B114"/>
    <mergeCell ref="A113:A114"/>
    <mergeCell ref="C141:I141"/>
    <mergeCell ref="C132:I132"/>
  </mergeCells>
  <pageMargins left="0.39" right="0.14000000000000001" top="0.51" bottom="0.55000000000000004" header="0.3" footer="0.3"/>
  <pageSetup paperSize="9" scale="97" orientation="portrait" horizontalDpi="4294967294" r:id="rId1"/>
  <ignoredErrors>
    <ignoredError sqref="I4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workbookViewId="0">
      <selection activeCell="N7" sqref="N7"/>
    </sheetView>
  </sheetViews>
  <sheetFormatPr defaultColWidth="9.109375" defaultRowHeight="13.8" x14ac:dyDescent="0.25"/>
  <cols>
    <col min="1" max="1" width="4.44140625" style="34" customWidth="1"/>
    <col min="2" max="2" width="18.44140625" style="34" customWidth="1"/>
    <col min="3" max="3" width="5.5546875" style="34" customWidth="1"/>
    <col min="4" max="4" width="13.109375" style="34" customWidth="1"/>
    <col min="5" max="5" width="12.44140625" style="34" customWidth="1"/>
    <col min="6" max="6" width="13.33203125" style="34" customWidth="1"/>
    <col min="7" max="7" width="5.44140625" style="34" customWidth="1"/>
    <col min="8" max="8" width="12.44140625" style="34" customWidth="1"/>
    <col min="9" max="9" width="11.5546875" style="34" customWidth="1"/>
    <col min="10" max="10" width="12.44140625" style="34" customWidth="1"/>
    <col min="11" max="11" width="6" style="34" customWidth="1"/>
    <col min="12" max="13" width="12.5546875" style="34" customWidth="1"/>
    <col min="14" max="14" width="12.77734375" style="34" customWidth="1"/>
    <col min="15" max="15" width="12.44140625" style="34" customWidth="1"/>
    <col min="16" max="256" width="9.109375" style="34"/>
    <col min="257" max="257" width="4.44140625" style="34" customWidth="1"/>
    <col min="258" max="258" width="18.44140625" style="34" customWidth="1"/>
    <col min="259" max="259" width="5.5546875" style="34" customWidth="1"/>
    <col min="260" max="260" width="13.109375" style="34" customWidth="1"/>
    <col min="261" max="261" width="12.44140625" style="34" customWidth="1"/>
    <col min="262" max="262" width="13.33203125" style="34" customWidth="1"/>
    <col min="263" max="263" width="5.44140625" style="34" customWidth="1"/>
    <col min="264" max="264" width="12.44140625" style="34" customWidth="1"/>
    <col min="265" max="265" width="11.5546875" style="34" customWidth="1"/>
    <col min="266" max="266" width="12.44140625" style="34" customWidth="1"/>
    <col min="267" max="267" width="6" style="34" customWidth="1"/>
    <col min="268" max="268" width="12.5546875" style="34" customWidth="1"/>
    <col min="269" max="270" width="11.88671875" style="34" customWidth="1"/>
    <col min="271" max="271" width="15" style="34" customWidth="1"/>
    <col min="272" max="512" width="9.109375" style="34"/>
    <col min="513" max="513" width="4.44140625" style="34" customWidth="1"/>
    <col min="514" max="514" width="18.44140625" style="34" customWidth="1"/>
    <col min="515" max="515" width="5.5546875" style="34" customWidth="1"/>
    <col min="516" max="516" width="13.109375" style="34" customWidth="1"/>
    <col min="517" max="517" width="12.44140625" style="34" customWidth="1"/>
    <col min="518" max="518" width="13.33203125" style="34" customWidth="1"/>
    <col min="519" max="519" width="5.44140625" style="34" customWidth="1"/>
    <col min="520" max="520" width="12.44140625" style="34" customWidth="1"/>
    <col min="521" max="521" width="11.5546875" style="34" customWidth="1"/>
    <col min="522" max="522" width="12.44140625" style="34" customWidth="1"/>
    <col min="523" max="523" width="6" style="34" customWidth="1"/>
    <col min="524" max="524" width="12.5546875" style="34" customWidth="1"/>
    <col min="525" max="526" width="11.88671875" style="34" customWidth="1"/>
    <col min="527" max="527" width="15" style="34" customWidth="1"/>
    <col min="528" max="768" width="9.109375" style="34"/>
    <col min="769" max="769" width="4.44140625" style="34" customWidth="1"/>
    <col min="770" max="770" width="18.44140625" style="34" customWidth="1"/>
    <col min="771" max="771" width="5.5546875" style="34" customWidth="1"/>
    <col min="772" max="772" width="13.109375" style="34" customWidth="1"/>
    <col min="773" max="773" width="12.44140625" style="34" customWidth="1"/>
    <col min="774" max="774" width="13.33203125" style="34" customWidth="1"/>
    <col min="775" max="775" width="5.44140625" style="34" customWidth="1"/>
    <col min="776" max="776" width="12.44140625" style="34" customWidth="1"/>
    <col min="777" max="777" width="11.5546875" style="34" customWidth="1"/>
    <col min="778" max="778" width="12.44140625" style="34" customWidth="1"/>
    <col min="779" max="779" width="6" style="34" customWidth="1"/>
    <col min="780" max="780" width="12.5546875" style="34" customWidth="1"/>
    <col min="781" max="782" width="11.88671875" style="34" customWidth="1"/>
    <col min="783" max="783" width="15" style="34" customWidth="1"/>
    <col min="784" max="1024" width="9.109375" style="34"/>
    <col min="1025" max="1025" width="4.44140625" style="34" customWidth="1"/>
    <col min="1026" max="1026" width="18.44140625" style="34" customWidth="1"/>
    <col min="1027" max="1027" width="5.5546875" style="34" customWidth="1"/>
    <col min="1028" max="1028" width="13.109375" style="34" customWidth="1"/>
    <col min="1029" max="1029" width="12.44140625" style="34" customWidth="1"/>
    <col min="1030" max="1030" width="13.33203125" style="34" customWidth="1"/>
    <col min="1031" max="1031" width="5.44140625" style="34" customWidth="1"/>
    <col min="1032" max="1032" width="12.44140625" style="34" customWidth="1"/>
    <col min="1033" max="1033" width="11.5546875" style="34" customWidth="1"/>
    <col min="1034" max="1034" width="12.44140625" style="34" customWidth="1"/>
    <col min="1035" max="1035" width="6" style="34" customWidth="1"/>
    <col min="1036" max="1036" width="12.5546875" style="34" customWidth="1"/>
    <col min="1037" max="1038" width="11.88671875" style="34" customWidth="1"/>
    <col min="1039" max="1039" width="15" style="34" customWidth="1"/>
    <col min="1040" max="1280" width="9.109375" style="34"/>
    <col min="1281" max="1281" width="4.44140625" style="34" customWidth="1"/>
    <col min="1282" max="1282" width="18.44140625" style="34" customWidth="1"/>
    <col min="1283" max="1283" width="5.5546875" style="34" customWidth="1"/>
    <col min="1284" max="1284" width="13.109375" style="34" customWidth="1"/>
    <col min="1285" max="1285" width="12.44140625" style="34" customWidth="1"/>
    <col min="1286" max="1286" width="13.33203125" style="34" customWidth="1"/>
    <col min="1287" max="1287" width="5.44140625" style="34" customWidth="1"/>
    <col min="1288" max="1288" width="12.44140625" style="34" customWidth="1"/>
    <col min="1289" max="1289" width="11.5546875" style="34" customWidth="1"/>
    <col min="1290" max="1290" width="12.44140625" style="34" customWidth="1"/>
    <col min="1291" max="1291" width="6" style="34" customWidth="1"/>
    <col min="1292" max="1292" width="12.5546875" style="34" customWidth="1"/>
    <col min="1293" max="1294" width="11.88671875" style="34" customWidth="1"/>
    <col min="1295" max="1295" width="15" style="34" customWidth="1"/>
    <col min="1296" max="1536" width="9.109375" style="34"/>
    <col min="1537" max="1537" width="4.44140625" style="34" customWidth="1"/>
    <col min="1538" max="1538" width="18.44140625" style="34" customWidth="1"/>
    <col min="1539" max="1539" width="5.5546875" style="34" customWidth="1"/>
    <col min="1540" max="1540" width="13.109375" style="34" customWidth="1"/>
    <col min="1541" max="1541" width="12.44140625" style="34" customWidth="1"/>
    <col min="1542" max="1542" width="13.33203125" style="34" customWidth="1"/>
    <col min="1543" max="1543" width="5.44140625" style="34" customWidth="1"/>
    <col min="1544" max="1544" width="12.44140625" style="34" customWidth="1"/>
    <col min="1545" max="1545" width="11.5546875" style="34" customWidth="1"/>
    <col min="1546" max="1546" width="12.44140625" style="34" customWidth="1"/>
    <col min="1547" max="1547" width="6" style="34" customWidth="1"/>
    <col min="1548" max="1548" width="12.5546875" style="34" customWidth="1"/>
    <col min="1549" max="1550" width="11.88671875" style="34" customWidth="1"/>
    <col min="1551" max="1551" width="15" style="34" customWidth="1"/>
    <col min="1552" max="1792" width="9.109375" style="34"/>
    <col min="1793" max="1793" width="4.44140625" style="34" customWidth="1"/>
    <col min="1794" max="1794" width="18.44140625" style="34" customWidth="1"/>
    <col min="1795" max="1795" width="5.5546875" style="34" customWidth="1"/>
    <col min="1796" max="1796" width="13.109375" style="34" customWidth="1"/>
    <col min="1797" max="1797" width="12.44140625" style="34" customWidth="1"/>
    <col min="1798" max="1798" width="13.33203125" style="34" customWidth="1"/>
    <col min="1799" max="1799" width="5.44140625" style="34" customWidth="1"/>
    <col min="1800" max="1800" width="12.44140625" style="34" customWidth="1"/>
    <col min="1801" max="1801" width="11.5546875" style="34" customWidth="1"/>
    <col min="1802" max="1802" width="12.44140625" style="34" customWidth="1"/>
    <col min="1803" max="1803" width="6" style="34" customWidth="1"/>
    <col min="1804" max="1804" width="12.5546875" style="34" customWidth="1"/>
    <col min="1805" max="1806" width="11.88671875" style="34" customWidth="1"/>
    <col min="1807" max="1807" width="15" style="34" customWidth="1"/>
    <col min="1808" max="2048" width="9.109375" style="34"/>
    <col min="2049" max="2049" width="4.44140625" style="34" customWidth="1"/>
    <col min="2050" max="2050" width="18.44140625" style="34" customWidth="1"/>
    <col min="2051" max="2051" width="5.5546875" style="34" customWidth="1"/>
    <col min="2052" max="2052" width="13.109375" style="34" customWidth="1"/>
    <col min="2053" max="2053" width="12.44140625" style="34" customWidth="1"/>
    <col min="2054" max="2054" width="13.33203125" style="34" customWidth="1"/>
    <col min="2055" max="2055" width="5.44140625" style="34" customWidth="1"/>
    <col min="2056" max="2056" width="12.44140625" style="34" customWidth="1"/>
    <col min="2057" max="2057" width="11.5546875" style="34" customWidth="1"/>
    <col min="2058" max="2058" width="12.44140625" style="34" customWidth="1"/>
    <col min="2059" max="2059" width="6" style="34" customWidth="1"/>
    <col min="2060" max="2060" width="12.5546875" style="34" customWidth="1"/>
    <col min="2061" max="2062" width="11.88671875" style="34" customWidth="1"/>
    <col min="2063" max="2063" width="15" style="34" customWidth="1"/>
    <col min="2064" max="2304" width="9.109375" style="34"/>
    <col min="2305" max="2305" width="4.44140625" style="34" customWidth="1"/>
    <col min="2306" max="2306" width="18.44140625" style="34" customWidth="1"/>
    <col min="2307" max="2307" width="5.5546875" style="34" customWidth="1"/>
    <col min="2308" max="2308" width="13.109375" style="34" customWidth="1"/>
    <col min="2309" max="2309" width="12.44140625" style="34" customWidth="1"/>
    <col min="2310" max="2310" width="13.33203125" style="34" customWidth="1"/>
    <col min="2311" max="2311" width="5.44140625" style="34" customWidth="1"/>
    <col min="2312" max="2312" width="12.44140625" style="34" customWidth="1"/>
    <col min="2313" max="2313" width="11.5546875" style="34" customWidth="1"/>
    <col min="2314" max="2314" width="12.44140625" style="34" customWidth="1"/>
    <col min="2315" max="2315" width="6" style="34" customWidth="1"/>
    <col min="2316" max="2316" width="12.5546875" style="34" customWidth="1"/>
    <col min="2317" max="2318" width="11.88671875" style="34" customWidth="1"/>
    <col min="2319" max="2319" width="15" style="34" customWidth="1"/>
    <col min="2320" max="2560" width="9.109375" style="34"/>
    <col min="2561" max="2561" width="4.44140625" style="34" customWidth="1"/>
    <col min="2562" max="2562" width="18.44140625" style="34" customWidth="1"/>
    <col min="2563" max="2563" width="5.5546875" style="34" customWidth="1"/>
    <col min="2564" max="2564" width="13.109375" style="34" customWidth="1"/>
    <col min="2565" max="2565" width="12.44140625" style="34" customWidth="1"/>
    <col min="2566" max="2566" width="13.33203125" style="34" customWidth="1"/>
    <col min="2567" max="2567" width="5.44140625" style="34" customWidth="1"/>
    <col min="2568" max="2568" width="12.44140625" style="34" customWidth="1"/>
    <col min="2569" max="2569" width="11.5546875" style="34" customWidth="1"/>
    <col min="2570" max="2570" width="12.44140625" style="34" customWidth="1"/>
    <col min="2571" max="2571" width="6" style="34" customWidth="1"/>
    <col min="2572" max="2572" width="12.5546875" style="34" customWidth="1"/>
    <col min="2573" max="2574" width="11.88671875" style="34" customWidth="1"/>
    <col min="2575" max="2575" width="15" style="34" customWidth="1"/>
    <col min="2576" max="2816" width="9.109375" style="34"/>
    <col min="2817" max="2817" width="4.44140625" style="34" customWidth="1"/>
    <col min="2818" max="2818" width="18.44140625" style="34" customWidth="1"/>
    <col min="2819" max="2819" width="5.5546875" style="34" customWidth="1"/>
    <col min="2820" max="2820" width="13.109375" style="34" customWidth="1"/>
    <col min="2821" max="2821" width="12.44140625" style="34" customWidth="1"/>
    <col min="2822" max="2822" width="13.33203125" style="34" customWidth="1"/>
    <col min="2823" max="2823" width="5.44140625" style="34" customWidth="1"/>
    <col min="2824" max="2824" width="12.44140625" style="34" customWidth="1"/>
    <col min="2825" max="2825" width="11.5546875" style="34" customWidth="1"/>
    <col min="2826" max="2826" width="12.44140625" style="34" customWidth="1"/>
    <col min="2827" max="2827" width="6" style="34" customWidth="1"/>
    <col min="2828" max="2828" width="12.5546875" style="34" customWidth="1"/>
    <col min="2829" max="2830" width="11.88671875" style="34" customWidth="1"/>
    <col min="2831" max="2831" width="15" style="34" customWidth="1"/>
    <col min="2832" max="3072" width="9.109375" style="34"/>
    <col min="3073" max="3073" width="4.44140625" style="34" customWidth="1"/>
    <col min="3074" max="3074" width="18.44140625" style="34" customWidth="1"/>
    <col min="3075" max="3075" width="5.5546875" style="34" customWidth="1"/>
    <col min="3076" max="3076" width="13.109375" style="34" customWidth="1"/>
    <col min="3077" max="3077" width="12.44140625" style="34" customWidth="1"/>
    <col min="3078" max="3078" width="13.33203125" style="34" customWidth="1"/>
    <col min="3079" max="3079" width="5.44140625" style="34" customWidth="1"/>
    <col min="3080" max="3080" width="12.44140625" style="34" customWidth="1"/>
    <col min="3081" max="3081" width="11.5546875" style="34" customWidth="1"/>
    <col min="3082" max="3082" width="12.44140625" style="34" customWidth="1"/>
    <col min="3083" max="3083" width="6" style="34" customWidth="1"/>
    <col min="3084" max="3084" width="12.5546875" style="34" customWidth="1"/>
    <col min="3085" max="3086" width="11.88671875" style="34" customWidth="1"/>
    <col min="3087" max="3087" width="15" style="34" customWidth="1"/>
    <col min="3088" max="3328" width="9.109375" style="34"/>
    <col min="3329" max="3329" width="4.44140625" style="34" customWidth="1"/>
    <col min="3330" max="3330" width="18.44140625" style="34" customWidth="1"/>
    <col min="3331" max="3331" width="5.5546875" style="34" customWidth="1"/>
    <col min="3332" max="3332" width="13.109375" style="34" customWidth="1"/>
    <col min="3333" max="3333" width="12.44140625" style="34" customWidth="1"/>
    <col min="3334" max="3334" width="13.33203125" style="34" customWidth="1"/>
    <col min="3335" max="3335" width="5.44140625" style="34" customWidth="1"/>
    <col min="3336" max="3336" width="12.44140625" style="34" customWidth="1"/>
    <col min="3337" max="3337" width="11.5546875" style="34" customWidth="1"/>
    <col min="3338" max="3338" width="12.44140625" style="34" customWidth="1"/>
    <col min="3339" max="3339" width="6" style="34" customWidth="1"/>
    <col min="3340" max="3340" width="12.5546875" style="34" customWidth="1"/>
    <col min="3341" max="3342" width="11.88671875" style="34" customWidth="1"/>
    <col min="3343" max="3343" width="15" style="34" customWidth="1"/>
    <col min="3344" max="3584" width="9.109375" style="34"/>
    <col min="3585" max="3585" width="4.44140625" style="34" customWidth="1"/>
    <col min="3586" max="3586" width="18.44140625" style="34" customWidth="1"/>
    <col min="3587" max="3587" width="5.5546875" style="34" customWidth="1"/>
    <col min="3588" max="3588" width="13.109375" style="34" customWidth="1"/>
    <col min="3589" max="3589" width="12.44140625" style="34" customWidth="1"/>
    <col min="3590" max="3590" width="13.33203125" style="34" customWidth="1"/>
    <col min="3591" max="3591" width="5.44140625" style="34" customWidth="1"/>
    <col min="3592" max="3592" width="12.44140625" style="34" customWidth="1"/>
    <col min="3593" max="3593" width="11.5546875" style="34" customWidth="1"/>
    <col min="3594" max="3594" width="12.44140625" style="34" customWidth="1"/>
    <col min="3595" max="3595" width="6" style="34" customWidth="1"/>
    <col min="3596" max="3596" width="12.5546875" style="34" customWidth="1"/>
    <col min="3597" max="3598" width="11.88671875" style="34" customWidth="1"/>
    <col min="3599" max="3599" width="15" style="34" customWidth="1"/>
    <col min="3600" max="3840" width="9.109375" style="34"/>
    <col min="3841" max="3841" width="4.44140625" style="34" customWidth="1"/>
    <col min="3842" max="3842" width="18.44140625" style="34" customWidth="1"/>
    <col min="3843" max="3843" width="5.5546875" style="34" customWidth="1"/>
    <col min="3844" max="3844" width="13.109375" style="34" customWidth="1"/>
    <col min="3845" max="3845" width="12.44140625" style="34" customWidth="1"/>
    <col min="3846" max="3846" width="13.33203125" style="34" customWidth="1"/>
    <col min="3847" max="3847" width="5.44140625" style="34" customWidth="1"/>
    <col min="3848" max="3848" width="12.44140625" style="34" customWidth="1"/>
    <col min="3849" max="3849" width="11.5546875" style="34" customWidth="1"/>
    <col min="3850" max="3850" width="12.44140625" style="34" customWidth="1"/>
    <col min="3851" max="3851" width="6" style="34" customWidth="1"/>
    <col min="3852" max="3852" width="12.5546875" style="34" customWidth="1"/>
    <col min="3853" max="3854" width="11.88671875" style="34" customWidth="1"/>
    <col min="3855" max="3855" width="15" style="34" customWidth="1"/>
    <col min="3856" max="4096" width="9.109375" style="34"/>
    <col min="4097" max="4097" width="4.44140625" style="34" customWidth="1"/>
    <col min="4098" max="4098" width="18.44140625" style="34" customWidth="1"/>
    <col min="4099" max="4099" width="5.5546875" style="34" customWidth="1"/>
    <col min="4100" max="4100" width="13.109375" style="34" customWidth="1"/>
    <col min="4101" max="4101" width="12.44140625" style="34" customWidth="1"/>
    <col min="4102" max="4102" width="13.33203125" style="34" customWidth="1"/>
    <col min="4103" max="4103" width="5.44140625" style="34" customWidth="1"/>
    <col min="4104" max="4104" width="12.44140625" style="34" customWidth="1"/>
    <col min="4105" max="4105" width="11.5546875" style="34" customWidth="1"/>
    <col min="4106" max="4106" width="12.44140625" style="34" customWidth="1"/>
    <col min="4107" max="4107" width="6" style="34" customWidth="1"/>
    <col min="4108" max="4108" width="12.5546875" style="34" customWidth="1"/>
    <col min="4109" max="4110" width="11.88671875" style="34" customWidth="1"/>
    <col min="4111" max="4111" width="15" style="34" customWidth="1"/>
    <col min="4112" max="4352" width="9.109375" style="34"/>
    <col min="4353" max="4353" width="4.44140625" style="34" customWidth="1"/>
    <col min="4354" max="4354" width="18.44140625" style="34" customWidth="1"/>
    <col min="4355" max="4355" width="5.5546875" style="34" customWidth="1"/>
    <col min="4356" max="4356" width="13.109375" style="34" customWidth="1"/>
    <col min="4357" max="4357" width="12.44140625" style="34" customWidth="1"/>
    <col min="4358" max="4358" width="13.33203125" style="34" customWidth="1"/>
    <col min="4359" max="4359" width="5.44140625" style="34" customWidth="1"/>
    <col min="4360" max="4360" width="12.44140625" style="34" customWidth="1"/>
    <col min="4361" max="4361" width="11.5546875" style="34" customWidth="1"/>
    <col min="4362" max="4362" width="12.44140625" style="34" customWidth="1"/>
    <col min="4363" max="4363" width="6" style="34" customWidth="1"/>
    <col min="4364" max="4364" width="12.5546875" style="34" customWidth="1"/>
    <col min="4365" max="4366" width="11.88671875" style="34" customWidth="1"/>
    <col min="4367" max="4367" width="15" style="34" customWidth="1"/>
    <col min="4368" max="4608" width="9.109375" style="34"/>
    <col min="4609" max="4609" width="4.44140625" style="34" customWidth="1"/>
    <col min="4610" max="4610" width="18.44140625" style="34" customWidth="1"/>
    <col min="4611" max="4611" width="5.5546875" style="34" customWidth="1"/>
    <col min="4612" max="4612" width="13.109375" style="34" customWidth="1"/>
    <col min="4613" max="4613" width="12.44140625" style="34" customWidth="1"/>
    <col min="4614" max="4614" width="13.33203125" style="34" customWidth="1"/>
    <col min="4615" max="4615" width="5.44140625" style="34" customWidth="1"/>
    <col min="4616" max="4616" width="12.44140625" style="34" customWidth="1"/>
    <col min="4617" max="4617" width="11.5546875" style="34" customWidth="1"/>
    <col min="4618" max="4618" width="12.44140625" style="34" customWidth="1"/>
    <col min="4619" max="4619" width="6" style="34" customWidth="1"/>
    <col min="4620" max="4620" width="12.5546875" style="34" customWidth="1"/>
    <col min="4621" max="4622" width="11.88671875" style="34" customWidth="1"/>
    <col min="4623" max="4623" width="15" style="34" customWidth="1"/>
    <col min="4624" max="4864" width="9.109375" style="34"/>
    <col min="4865" max="4865" width="4.44140625" style="34" customWidth="1"/>
    <col min="4866" max="4866" width="18.44140625" style="34" customWidth="1"/>
    <col min="4867" max="4867" width="5.5546875" style="34" customWidth="1"/>
    <col min="4868" max="4868" width="13.109375" style="34" customWidth="1"/>
    <col min="4869" max="4869" width="12.44140625" style="34" customWidth="1"/>
    <col min="4870" max="4870" width="13.33203125" style="34" customWidth="1"/>
    <col min="4871" max="4871" width="5.44140625" style="34" customWidth="1"/>
    <col min="4872" max="4872" width="12.44140625" style="34" customWidth="1"/>
    <col min="4873" max="4873" width="11.5546875" style="34" customWidth="1"/>
    <col min="4874" max="4874" width="12.44140625" style="34" customWidth="1"/>
    <col min="4875" max="4875" width="6" style="34" customWidth="1"/>
    <col min="4876" max="4876" width="12.5546875" style="34" customWidth="1"/>
    <col min="4877" max="4878" width="11.88671875" style="34" customWidth="1"/>
    <col min="4879" max="4879" width="15" style="34" customWidth="1"/>
    <col min="4880" max="5120" width="9.109375" style="34"/>
    <col min="5121" max="5121" width="4.44140625" style="34" customWidth="1"/>
    <col min="5122" max="5122" width="18.44140625" style="34" customWidth="1"/>
    <col min="5123" max="5123" width="5.5546875" style="34" customWidth="1"/>
    <col min="5124" max="5124" width="13.109375" style="34" customWidth="1"/>
    <col min="5125" max="5125" width="12.44140625" style="34" customWidth="1"/>
    <col min="5126" max="5126" width="13.33203125" style="34" customWidth="1"/>
    <col min="5127" max="5127" width="5.44140625" style="34" customWidth="1"/>
    <col min="5128" max="5128" width="12.44140625" style="34" customWidth="1"/>
    <col min="5129" max="5129" width="11.5546875" style="34" customWidth="1"/>
    <col min="5130" max="5130" width="12.44140625" style="34" customWidth="1"/>
    <col min="5131" max="5131" width="6" style="34" customWidth="1"/>
    <col min="5132" max="5132" width="12.5546875" style="34" customWidth="1"/>
    <col min="5133" max="5134" width="11.88671875" style="34" customWidth="1"/>
    <col min="5135" max="5135" width="15" style="34" customWidth="1"/>
    <col min="5136" max="5376" width="9.109375" style="34"/>
    <col min="5377" max="5377" width="4.44140625" style="34" customWidth="1"/>
    <col min="5378" max="5378" width="18.44140625" style="34" customWidth="1"/>
    <col min="5379" max="5379" width="5.5546875" style="34" customWidth="1"/>
    <col min="5380" max="5380" width="13.109375" style="34" customWidth="1"/>
    <col min="5381" max="5381" width="12.44140625" style="34" customWidth="1"/>
    <col min="5382" max="5382" width="13.33203125" style="34" customWidth="1"/>
    <col min="5383" max="5383" width="5.44140625" style="34" customWidth="1"/>
    <col min="5384" max="5384" width="12.44140625" style="34" customWidth="1"/>
    <col min="5385" max="5385" width="11.5546875" style="34" customWidth="1"/>
    <col min="5386" max="5386" width="12.44140625" style="34" customWidth="1"/>
    <col min="5387" max="5387" width="6" style="34" customWidth="1"/>
    <col min="5388" max="5388" width="12.5546875" style="34" customWidth="1"/>
    <col min="5389" max="5390" width="11.88671875" style="34" customWidth="1"/>
    <col min="5391" max="5391" width="15" style="34" customWidth="1"/>
    <col min="5392" max="5632" width="9.109375" style="34"/>
    <col min="5633" max="5633" width="4.44140625" style="34" customWidth="1"/>
    <col min="5634" max="5634" width="18.44140625" style="34" customWidth="1"/>
    <col min="5635" max="5635" width="5.5546875" style="34" customWidth="1"/>
    <col min="5636" max="5636" width="13.109375" style="34" customWidth="1"/>
    <col min="5637" max="5637" width="12.44140625" style="34" customWidth="1"/>
    <col min="5638" max="5638" width="13.33203125" style="34" customWidth="1"/>
    <col min="5639" max="5639" width="5.44140625" style="34" customWidth="1"/>
    <col min="5640" max="5640" width="12.44140625" style="34" customWidth="1"/>
    <col min="5641" max="5641" width="11.5546875" style="34" customWidth="1"/>
    <col min="5642" max="5642" width="12.44140625" style="34" customWidth="1"/>
    <col min="5643" max="5643" width="6" style="34" customWidth="1"/>
    <col min="5644" max="5644" width="12.5546875" style="34" customWidth="1"/>
    <col min="5645" max="5646" width="11.88671875" style="34" customWidth="1"/>
    <col min="5647" max="5647" width="15" style="34" customWidth="1"/>
    <col min="5648" max="5888" width="9.109375" style="34"/>
    <col min="5889" max="5889" width="4.44140625" style="34" customWidth="1"/>
    <col min="5890" max="5890" width="18.44140625" style="34" customWidth="1"/>
    <col min="5891" max="5891" width="5.5546875" style="34" customWidth="1"/>
    <col min="5892" max="5892" width="13.109375" style="34" customWidth="1"/>
    <col min="5893" max="5893" width="12.44140625" style="34" customWidth="1"/>
    <col min="5894" max="5894" width="13.33203125" style="34" customWidth="1"/>
    <col min="5895" max="5895" width="5.44140625" style="34" customWidth="1"/>
    <col min="5896" max="5896" width="12.44140625" style="34" customWidth="1"/>
    <col min="5897" max="5897" width="11.5546875" style="34" customWidth="1"/>
    <col min="5898" max="5898" width="12.44140625" style="34" customWidth="1"/>
    <col min="5899" max="5899" width="6" style="34" customWidth="1"/>
    <col min="5900" max="5900" width="12.5546875" style="34" customWidth="1"/>
    <col min="5901" max="5902" width="11.88671875" style="34" customWidth="1"/>
    <col min="5903" max="5903" width="15" style="34" customWidth="1"/>
    <col min="5904" max="6144" width="9.109375" style="34"/>
    <col min="6145" max="6145" width="4.44140625" style="34" customWidth="1"/>
    <col min="6146" max="6146" width="18.44140625" style="34" customWidth="1"/>
    <col min="6147" max="6147" width="5.5546875" style="34" customWidth="1"/>
    <col min="6148" max="6148" width="13.109375" style="34" customWidth="1"/>
    <col min="6149" max="6149" width="12.44140625" style="34" customWidth="1"/>
    <col min="6150" max="6150" width="13.33203125" style="34" customWidth="1"/>
    <col min="6151" max="6151" width="5.44140625" style="34" customWidth="1"/>
    <col min="6152" max="6152" width="12.44140625" style="34" customWidth="1"/>
    <col min="6153" max="6153" width="11.5546875" style="34" customWidth="1"/>
    <col min="6154" max="6154" width="12.44140625" style="34" customWidth="1"/>
    <col min="6155" max="6155" width="6" style="34" customWidth="1"/>
    <col min="6156" max="6156" width="12.5546875" style="34" customWidth="1"/>
    <col min="6157" max="6158" width="11.88671875" style="34" customWidth="1"/>
    <col min="6159" max="6159" width="15" style="34" customWidth="1"/>
    <col min="6160" max="6400" width="9.109375" style="34"/>
    <col min="6401" max="6401" width="4.44140625" style="34" customWidth="1"/>
    <col min="6402" max="6402" width="18.44140625" style="34" customWidth="1"/>
    <col min="6403" max="6403" width="5.5546875" style="34" customWidth="1"/>
    <col min="6404" max="6404" width="13.109375" style="34" customWidth="1"/>
    <col min="6405" max="6405" width="12.44140625" style="34" customWidth="1"/>
    <col min="6406" max="6406" width="13.33203125" style="34" customWidth="1"/>
    <col min="6407" max="6407" width="5.44140625" style="34" customWidth="1"/>
    <col min="6408" max="6408" width="12.44140625" style="34" customWidth="1"/>
    <col min="6409" max="6409" width="11.5546875" style="34" customWidth="1"/>
    <col min="6410" max="6410" width="12.44140625" style="34" customWidth="1"/>
    <col min="6411" max="6411" width="6" style="34" customWidth="1"/>
    <col min="6412" max="6412" width="12.5546875" style="34" customWidth="1"/>
    <col min="6413" max="6414" width="11.88671875" style="34" customWidth="1"/>
    <col min="6415" max="6415" width="15" style="34" customWidth="1"/>
    <col min="6416" max="6656" width="9.109375" style="34"/>
    <col min="6657" max="6657" width="4.44140625" style="34" customWidth="1"/>
    <col min="6658" max="6658" width="18.44140625" style="34" customWidth="1"/>
    <col min="6659" max="6659" width="5.5546875" style="34" customWidth="1"/>
    <col min="6660" max="6660" width="13.109375" style="34" customWidth="1"/>
    <col min="6661" max="6661" width="12.44140625" style="34" customWidth="1"/>
    <col min="6662" max="6662" width="13.33203125" style="34" customWidth="1"/>
    <col min="6663" max="6663" width="5.44140625" style="34" customWidth="1"/>
    <col min="6664" max="6664" width="12.44140625" style="34" customWidth="1"/>
    <col min="6665" max="6665" width="11.5546875" style="34" customWidth="1"/>
    <col min="6666" max="6666" width="12.44140625" style="34" customWidth="1"/>
    <col min="6667" max="6667" width="6" style="34" customWidth="1"/>
    <col min="6668" max="6668" width="12.5546875" style="34" customWidth="1"/>
    <col min="6669" max="6670" width="11.88671875" style="34" customWidth="1"/>
    <col min="6671" max="6671" width="15" style="34" customWidth="1"/>
    <col min="6672" max="6912" width="9.109375" style="34"/>
    <col min="6913" max="6913" width="4.44140625" style="34" customWidth="1"/>
    <col min="6914" max="6914" width="18.44140625" style="34" customWidth="1"/>
    <col min="6915" max="6915" width="5.5546875" style="34" customWidth="1"/>
    <col min="6916" max="6916" width="13.109375" style="34" customWidth="1"/>
    <col min="6917" max="6917" width="12.44140625" style="34" customWidth="1"/>
    <col min="6918" max="6918" width="13.33203125" style="34" customWidth="1"/>
    <col min="6919" max="6919" width="5.44140625" style="34" customWidth="1"/>
    <col min="6920" max="6920" width="12.44140625" style="34" customWidth="1"/>
    <col min="6921" max="6921" width="11.5546875" style="34" customWidth="1"/>
    <col min="6922" max="6922" width="12.44140625" style="34" customWidth="1"/>
    <col min="6923" max="6923" width="6" style="34" customWidth="1"/>
    <col min="6924" max="6924" width="12.5546875" style="34" customWidth="1"/>
    <col min="6925" max="6926" width="11.88671875" style="34" customWidth="1"/>
    <col min="6927" max="6927" width="15" style="34" customWidth="1"/>
    <col min="6928" max="7168" width="9.109375" style="34"/>
    <col min="7169" max="7169" width="4.44140625" style="34" customWidth="1"/>
    <col min="7170" max="7170" width="18.44140625" style="34" customWidth="1"/>
    <col min="7171" max="7171" width="5.5546875" style="34" customWidth="1"/>
    <col min="7172" max="7172" width="13.109375" style="34" customWidth="1"/>
    <col min="7173" max="7173" width="12.44140625" style="34" customWidth="1"/>
    <col min="7174" max="7174" width="13.33203125" style="34" customWidth="1"/>
    <col min="7175" max="7175" width="5.44140625" style="34" customWidth="1"/>
    <col min="7176" max="7176" width="12.44140625" style="34" customWidth="1"/>
    <col min="7177" max="7177" width="11.5546875" style="34" customWidth="1"/>
    <col min="7178" max="7178" width="12.44140625" style="34" customWidth="1"/>
    <col min="7179" max="7179" width="6" style="34" customWidth="1"/>
    <col min="7180" max="7180" width="12.5546875" style="34" customWidth="1"/>
    <col min="7181" max="7182" width="11.88671875" style="34" customWidth="1"/>
    <col min="7183" max="7183" width="15" style="34" customWidth="1"/>
    <col min="7184" max="7424" width="9.109375" style="34"/>
    <col min="7425" max="7425" width="4.44140625" style="34" customWidth="1"/>
    <col min="7426" max="7426" width="18.44140625" style="34" customWidth="1"/>
    <col min="7427" max="7427" width="5.5546875" style="34" customWidth="1"/>
    <col min="7428" max="7428" width="13.109375" style="34" customWidth="1"/>
    <col min="7429" max="7429" width="12.44140625" style="34" customWidth="1"/>
    <col min="7430" max="7430" width="13.33203125" style="34" customWidth="1"/>
    <col min="7431" max="7431" width="5.44140625" style="34" customWidth="1"/>
    <col min="7432" max="7432" width="12.44140625" style="34" customWidth="1"/>
    <col min="7433" max="7433" width="11.5546875" style="34" customWidth="1"/>
    <col min="7434" max="7434" width="12.44140625" style="34" customWidth="1"/>
    <col min="7435" max="7435" width="6" style="34" customWidth="1"/>
    <col min="7436" max="7436" width="12.5546875" style="34" customWidth="1"/>
    <col min="7437" max="7438" width="11.88671875" style="34" customWidth="1"/>
    <col min="7439" max="7439" width="15" style="34" customWidth="1"/>
    <col min="7440" max="7680" width="9.109375" style="34"/>
    <col min="7681" max="7681" width="4.44140625" style="34" customWidth="1"/>
    <col min="7682" max="7682" width="18.44140625" style="34" customWidth="1"/>
    <col min="7683" max="7683" width="5.5546875" style="34" customWidth="1"/>
    <col min="7684" max="7684" width="13.109375" style="34" customWidth="1"/>
    <col min="7685" max="7685" width="12.44140625" style="34" customWidth="1"/>
    <col min="7686" max="7686" width="13.33203125" style="34" customWidth="1"/>
    <col min="7687" max="7687" width="5.44140625" style="34" customWidth="1"/>
    <col min="7688" max="7688" width="12.44140625" style="34" customWidth="1"/>
    <col min="7689" max="7689" width="11.5546875" style="34" customWidth="1"/>
    <col min="7690" max="7690" width="12.44140625" style="34" customWidth="1"/>
    <col min="7691" max="7691" width="6" style="34" customWidth="1"/>
    <col min="7692" max="7692" width="12.5546875" style="34" customWidth="1"/>
    <col min="7693" max="7694" width="11.88671875" style="34" customWidth="1"/>
    <col min="7695" max="7695" width="15" style="34" customWidth="1"/>
    <col min="7696" max="7936" width="9.109375" style="34"/>
    <col min="7937" max="7937" width="4.44140625" style="34" customWidth="1"/>
    <col min="7938" max="7938" width="18.44140625" style="34" customWidth="1"/>
    <col min="7939" max="7939" width="5.5546875" style="34" customWidth="1"/>
    <col min="7940" max="7940" width="13.109375" style="34" customWidth="1"/>
    <col min="7941" max="7941" width="12.44140625" style="34" customWidth="1"/>
    <col min="7942" max="7942" width="13.33203125" style="34" customWidth="1"/>
    <col min="7943" max="7943" width="5.44140625" style="34" customWidth="1"/>
    <col min="7944" max="7944" width="12.44140625" style="34" customWidth="1"/>
    <col min="7945" max="7945" width="11.5546875" style="34" customWidth="1"/>
    <col min="7946" max="7946" width="12.44140625" style="34" customWidth="1"/>
    <col min="7947" max="7947" width="6" style="34" customWidth="1"/>
    <col min="7948" max="7948" width="12.5546875" style="34" customWidth="1"/>
    <col min="7949" max="7950" width="11.88671875" style="34" customWidth="1"/>
    <col min="7951" max="7951" width="15" style="34" customWidth="1"/>
    <col min="7952" max="8192" width="9.109375" style="34"/>
    <col min="8193" max="8193" width="4.44140625" style="34" customWidth="1"/>
    <col min="8194" max="8194" width="18.44140625" style="34" customWidth="1"/>
    <col min="8195" max="8195" width="5.5546875" style="34" customWidth="1"/>
    <col min="8196" max="8196" width="13.109375" style="34" customWidth="1"/>
    <col min="8197" max="8197" width="12.44140625" style="34" customWidth="1"/>
    <col min="8198" max="8198" width="13.33203125" style="34" customWidth="1"/>
    <col min="8199" max="8199" width="5.44140625" style="34" customWidth="1"/>
    <col min="8200" max="8200" width="12.44140625" style="34" customWidth="1"/>
    <col min="8201" max="8201" width="11.5546875" style="34" customWidth="1"/>
    <col min="8202" max="8202" width="12.44140625" style="34" customWidth="1"/>
    <col min="8203" max="8203" width="6" style="34" customWidth="1"/>
    <col min="8204" max="8204" width="12.5546875" style="34" customWidth="1"/>
    <col min="8205" max="8206" width="11.88671875" style="34" customWidth="1"/>
    <col min="8207" max="8207" width="15" style="34" customWidth="1"/>
    <col min="8208" max="8448" width="9.109375" style="34"/>
    <col min="8449" max="8449" width="4.44140625" style="34" customWidth="1"/>
    <col min="8450" max="8450" width="18.44140625" style="34" customWidth="1"/>
    <col min="8451" max="8451" width="5.5546875" style="34" customWidth="1"/>
    <col min="8452" max="8452" width="13.109375" style="34" customWidth="1"/>
    <col min="8453" max="8453" width="12.44140625" style="34" customWidth="1"/>
    <col min="8454" max="8454" width="13.33203125" style="34" customWidth="1"/>
    <col min="8455" max="8455" width="5.44140625" style="34" customWidth="1"/>
    <col min="8456" max="8456" width="12.44140625" style="34" customWidth="1"/>
    <col min="8457" max="8457" width="11.5546875" style="34" customWidth="1"/>
    <col min="8458" max="8458" width="12.44140625" style="34" customWidth="1"/>
    <col min="8459" max="8459" width="6" style="34" customWidth="1"/>
    <col min="8460" max="8460" width="12.5546875" style="34" customWidth="1"/>
    <col min="8461" max="8462" width="11.88671875" style="34" customWidth="1"/>
    <col min="8463" max="8463" width="15" style="34" customWidth="1"/>
    <col min="8464" max="8704" width="9.109375" style="34"/>
    <col min="8705" max="8705" width="4.44140625" style="34" customWidth="1"/>
    <col min="8706" max="8706" width="18.44140625" style="34" customWidth="1"/>
    <col min="8707" max="8707" width="5.5546875" style="34" customWidth="1"/>
    <col min="8708" max="8708" width="13.109375" style="34" customWidth="1"/>
    <col min="8709" max="8709" width="12.44140625" style="34" customWidth="1"/>
    <col min="8710" max="8710" width="13.33203125" style="34" customWidth="1"/>
    <col min="8711" max="8711" width="5.44140625" style="34" customWidth="1"/>
    <col min="8712" max="8712" width="12.44140625" style="34" customWidth="1"/>
    <col min="8713" max="8713" width="11.5546875" style="34" customWidth="1"/>
    <col min="8714" max="8714" width="12.44140625" style="34" customWidth="1"/>
    <col min="8715" max="8715" width="6" style="34" customWidth="1"/>
    <col min="8716" max="8716" width="12.5546875" style="34" customWidth="1"/>
    <col min="8717" max="8718" width="11.88671875" style="34" customWidth="1"/>
    <col min="8719" max="8719" width="15" style="34" customWidth="1"/>
    <col min="8720" max="8960" width="9.109375" style="34"/>
    <col min="8961" max="8961" width="4.44140625" style="34" customWidth="1"/>
    <col min="8962" max="8962" width="18.44140625" style="34" customWidth="1"/>
    <col min="8963" max="8963" width="5.5546875" style="34" customWidth="1"/>
    <col min="8964" max="8964" width="13.109375" style="34" customWidth="1"/>
    <col min="8965" max="8965" width="12.44140625" style="34" customWidth="1"/>
    <col min="8966" max="8966" width="13.33203125" style="34" customWidth="1"/>
    <col min="8967" max="8967" width="5.44140625" style="34" customWidth="1"/>
    <col min="8968" max="8968" width="12.44140625" style="34" customWidth="1"/>
    <col min="8969" max="8969" width="11.5546875" style="34" customWidth="1"/>
    <col min="8970" max="8970" width="12.44140625" style="34" customWidth="1"/>
    <col min="8971" max="8971" width="6" style="34" customWidth="1"/>
    <col min="8972" max="8972" width="12.5546875" style="34" customWidth="1"/>
    <col min="8973" max="8974" width="11.88671875" style="34" customWidth="1"/>
    <col min="8975" max="8975" width="15" style="34" customWidth="1"/>
    <col min="8976" max="9216" width="9.109375" style="34"/>
    <col min="9217" max="9217" width="4.44140625" style="34" customWidth="1"/>
    <col min="9218" max="9218" width="18.44140625" style="34" customWidth="1"/>
    <col min="9219" max="9219" width="5.5546875" style="34" customWidth="1"/>
    <col min="9220" max="9220" width="13.109375" style="34" customWidth="1"/>
    <col min="9221" max="9221" width="12.44140625" style="34" customWidth="1"/>
    <col min="9222" max="9222" width="13.33203125" style="34" customWidth="1"/>
    <col min="9223" max="9223" width="5.44140625" style="34" customWidth="1"/>
    <col min="9224" max="9224" width="12.44140625" style="34" customWidth="1"/>
    <col min="9225" max="9225" width="11.5546875" style="34" customWidth="1"/>
    <col min="9226" max="9226" width="12.44140625" style="34" customWidth="1"/>
    <col min="9227" max="9227" width="6" style="34" customWidth="1"/>
    <col min="9228" max="9228" width="12.5546875" style="34" customWidth="1"/>
    <col min="9229" max="9230" width="11.88671875" style="34" customWidth="1"/>
    <col min="9231" max="9231" width="15" style="34" customWidth="1"/>
    <col min="9232" max="9472" width="9.109375" style="34"/>
    <col min="9473" max="9473" width="4.44140625" style="34" customWidth="1"/>
    <col min="9474" max="9474" width="18.44140625" style="34" customWidth="1"/>
    <col min="9475" max="9475" width="5.5546875" style="34" customWidth="1"/>
    <col min="9476" max="9476" width="13.109375" style="34" customWidth="1"/>
    <col min="9477" max="9477" width="12.44140625" style="34" customWidth="1"/>
    <col min="9478" max="9478" width="13.33203125" style="34" customWidth="1"/>
    <col min="9479" max="9479" width="5.44140625" style="34" customWidth="1"/>
    <col min="9480" max="9480" width="12.44140625" style="34" customWidth="1"/>
    <col min="9481" max="9481" width="11.5546875" style="34" customWidth="1"/>
    <col min="9482" max="9482" width="12.44140625" style="34" customWidth="1"/>
    <col min="9483" max="9483" width="6" style="34" customWidth="1"/>
    <col min="9484" max="9484" width="12.5546875" style="34" customWidth="1"/>
    <col min="9485" max="9486" width="11.88671875" style="34" customWidth="1"/>
    <col min="9487" max="9487" width="15" style="34" customWidth="1"/>
    <col min="9488" max="9728" width="9.109375" style="34"/>
    <col min="9729" max="9729" width="4.44140625" style="34" customWidth="1"/>
    <col min="9730" max="9730" width="18.44140625" style="34" customWidth="1"/>
    <col min="9731" max="9731" width="5.5546875" style="34" customWidth="1"/>
    <col min="9732" max="9732" width="13.109375" style="34" customWidth="1"/>
    <col min="9733" max="9733" width="12.44140625" style="34" customWidth="1"/>
    <col min="9734" max="9734" width="13.33203125" style="34" customWidth="1"/>
    <col min="9735" max="9735" width="5.44140625" style="34" customWidth="1"/>
    <col min="9736" max="9736" width="12.44140625" style="34" customWidth="1"/>
    <col min="9737" max="9737" width="11.5546875" style="34" customWidth="1"/>
    <col min="9738" max="9738" width="12.44140625" style="34" customWidth="1"/>
    <col min="9739" max="9739" width="6" style="34" customWidth="1"/>
    <col min="9740" max="9740" width="12.5546875" style="34" customWidth="1"/>
    <col min="9741" max="9742" width="11.88671875" style="34" customWidth="1"/>
    <col min="9743" max="9743" width="15" style="34" customWidth="1"/>
    <col min="9744" max="9984" width="9.109375" style="34"/>
    <col min="9985" max="9985" width="4.44140625" style="34" customWidth="1"/>
    <col min="9986" max="9986" width="18.44140625" style="34" customWidth="1"/>
    <col min="9987" max="9987" width="5.5546875" style="34" customWidth="1"/>
    <col min="9988" max="9988" width="13.109375" style="34" customWidth="1"/>
    <col min="9989" max="9989" width="12.44140625" style="34" customWidth="1"/>
    <col min="9990" max="9990" width="13.33203125" style="34" customWidth="1"/>
    <col min="9991" max="9991" width="5.44140625" style="34" customWidth="1"/>
    <col min="9992" max="9992" width="12.44140625" style="34" customWidth="1"/>
    <col min="9993" max="9993" width="11.5546875" style="34" customWidth="1"/>
    <col min="9994" max="9994" width="12.44140625" style="34" customWidth="1"/>
    <col min="9995" max="9995" width="6" style="34" customWidth="1"/>
    <col min="9996" max="9996" width="12.5546875" style="34" customWidth="1"/>
    <col min="9997" max="9998" width="11.88671875" style="34" customWidth="1"/>
    <col min="9999" max="9999" width="15" style="34" customWidth="1"/>
    <col min="10000" max="10240" width="9.109375" style="34"/>
    <col min="10241" max="10241" width="4.44140625" style="34" customWidth="1"/>
    <col min="10242" max="10242" width="18.44140625" style="34" customWidth="1"/>
    <col min="10243" max="10243" width="5.5546875" style="34" customWidth="1"/>
    <col min="10244" max="10244" width="13.109375" style="34" customWidth="1"/>
    <col min="10245" max="10245" width="12.44140625" style="34" customWidth="1"/>
    <col min="10246" max="10246" width="13.33203125" style="34" customWidth="1"/>
    <col min="10247" max="10247" width="5.44140625" style="34" customWidth="1"/>
    <col min="10248" max="10248" width="12.44140625" style="34" customWidth="1"/>
    <col min="10249" max="10249" width="11.5546875" style="34" customWidth="1"/>
    <col min="10250" max="10250" width="12.44140625" style="34" customWidth="1"/>
    <col min="10251" max="10251" width="6" style="34" customWidth="1"/>
    <col min="10252" max="10252" width="12.5546875" style="34" customWidth="1"/>
    <col min="10253" max="10254" width="11.88671875" style="34" customWidth="1"/>
    <col min="10255" max="10255" width="15" style="34" customWidth="1"/>
    <col min="10256" max="10496" width="9.109375" style="34"/>
    <col min="10497" max="10497" width="4.44140625" style="34" customWidth="1"/>
    <col min="10498" max="10498" width="18.44140625" style="34" customWidth="1"/>
    <col min="10499" max="10499" width="5.5546875" style="34" customWidth="1"/>
    <col min="10500" max="10500" width="13.109375" style="34" customWidth="1"/>
    <col min="10501" max="10501" width="12.44140625" style="34" customWidth="1"/>
    <col min="10502" max="10502" width="13.33203125" style="34" customWidth="1"/>
    <col min="10503" max="10503" width="5.44140625" style="34" customWidth="1"/>
    <col min="10504" max="10504" width="12.44140625" style="34" customWidth="1"/>
    <col min="10505" max="10505" width="11.5546875" style="34" customWidth="1"/>
    <col min="10506" max="10506" width="12.44140625" style="34" customWidth="1"/>
    <col min="10507" max="10507" width="6" style="34" customWidth="1"/>
    <col min="10508" max="10508" width="12.5546875" style="34" customWidth="1"/>
    <col min="10509" max="10510" width="11.88671875" style="34" customWidth="1"/>
    <col min="10511" max="10511" width="15" style="34" customWidth="1"/>
    <col min="10512" max="10752" width="9.109375" style="34"/>
    <col min="10753" max="10753" width="4.44140625" style="34" customWidth="1"/>
    <col min="10754" max="10754" width="18.44140625" style="34" customWidth="1"/>
    <col min="10755" max="10755" width="5.5546875" style="34" customWidth="1"/>
    <col min="10756" max="10756" width="13.109375" style="34" customWidth="1"/>
    <col min="10757" max="10757" width="12.44140625" style="34" customWidth="1"/>
    <col min="10758" max="10758" width="13.33203125" style="34" customWidth="1"/>
    <col min="10759" max="10759" width="5.44140625" style="34" customWidth="1"/>
    <col min="10760" max="10760" width="12.44140625" style="34" customWidth="1"/>
    <col min="10761" max="10761" width="11.5546875" style="34" customWidth="1"/>
    <col min="10762" max="10762" width="12.44140625" style="34" customWidth="1"/>
    <col min="10763" max="10763" width="6" style="34" customWidth="1"/>
    <col min="10764" max="10764" width="12.5546875" style="34" customWidth="1"/>
    <col min="10765" max="10766" width="11.88671875" style="34" customWidth="1"/>
    <col min="10767" max="10767" width="15" style="34" customWidth="1"/>
    <col min="10768" max="11008" width="9.109375" style="34"/>
    <col min="11009" max="11009" width="4.44140625" style="34" customWidth="1"/>
    <col min="11010" max="11010" width="18.44140625" style="34" customWidth="1"/>
    <col min="11011" max="11011" width="5.5546875" style="34" customWidth="1"/>
    <col min="11012" max="11012" width="13.109375" style="34" customWidth="1"/>
    <col min="11013" max="11013" width="12.44140625" style="34" customWidth="1"/>
    <col min="11014" max="11014" width="13.33203125" style="34" customWidth="1"/>
    <col min="11015" max="11015" width="5.44140625" style="34" customWidth="1"/>
    <col min="11016" max="11016" width="12.44140625" style="34" customWidth="1"/>
    <col min="11017" max="11017" width="11.5546875" style="34" customWidth="1"/>
    <col min="11018" max="11018" width="12.44140625" style="34" customWidth="1"/>
    <col min="11019" max="11019" width="6" style="34" customWidth="1"/>
    <col min="11020" max="11020" width="12.5546875" style="34" customWidth="1"/>
    <col min="11021" max="11022" width="11.88671875" style="34" customWidth="1"/>
    <col min="11023" max="11023" width="15" style="34" customWidth="1"/>
    <col min="11024" max="11264" width="9.109375" style="34"/>
    <col min="11265" max="11265" width="4.44140625" style="34" customWidth="1"/>
    <col min="11266" max="11266" width="18.44140625" style="34" customWidth="1"/>
    <col min="11267" max="11267" width="5.5546875" style="34" customWidth="1"/>
    <col min="11268" max="11268" width="13.109375" style="34" customWidth="1"/>
    <col min="11269" max="11269" width="12.44140625" style="34" customWidth="1"/>
    <col min="11270" max="11270" width="13.33203125" style="34" customWidth="1"/>
    <col min="11271" max="11271" width="5.44140625" style="34" customWidth="1"/>
    <col min="11272" max="11272" width="12.44140625" style="34" customWidth="1"/>
    <col min="11273" max="11273" width="11.5546875" style="34" customWidth="1"/>
    <col min="11274" max="11274" width="12.44140625" style="34" customWidth="1"/>
    <col min="11275" max="11275" width="6" style="34" customWidth="1"/>
    <col min="11276" max="11276" width="12.5546875" style="34" customWidth="1"/>
    <col min="11277" max="11278" width="11.88671875" style="34" customWidth="1"/>
    <col min="11279" max="11279" width="15" style="34" customWidth="1"/>
    <col min="11280" max="11520" width="9.109375" style="34"/>
    <col min="11521" max="11521" width="4.44140625" style="34" customWidth="1"/>
    <col min="11522" max="11522" width="18.44140625" style="34" customWidth="1"/>
    <col min="11523" max="11523" width="5.5546875" style="34" customWidth="1"/>
    <col min="11524" max="11524" width="13.109375" style="34" customWidth="1"/>
    <col min="11525" max="11525" width="12.44140625" style="34" customWidth="1"/>
    <col min="11526" max="11526" width="13.33203125" style="34" customWidth="1"/>
    <col min="11527" max="11527" width="5.44140625" style="34" customWidth="1"/>
    <col min="11528" max="11528" width="12.44140625" style="34" customWidth="1"/>
    <col min="11529" max="11529" width="11.5546875" style="34" customWidth="1"/>
    <col min="11530" max="11530" width="12.44140625" style="34" customWidth="1"/>
    <col min="11531" max="11531" width="6" style="34" customWidth="1"/>
    <col min="11532" max="11532" width="12.5546875" style="34" customWidth="1"/>
    <col min="11533" max="11534" width="11.88671875" style="34" customWidth="1"/>
    <col min="11535" max="11535" width="15" style="34" customWidth="1"/>
    <col min="11536" max="11776" width="9.109375" style="34"/>
    <col min="11777" max="11777" width="4.44140625" style="34" customWidth="1"/>
    <col min="11778" max="11778" width="18.44140625" style="34" customWidth="1"/>
    <col min="11779" max="11779" width="5.5546875" style="34" customWidth="1"/>
    <col min="11780" max="11780" width="13.109375" style="34" customWidth="1"/>
    <col min="11781" max="11781" width="12.44140625" style="34" customWidth="1"/>
    <col min="11782" max="11782" width="13.33203125" style="34" customWidth="1"/>
    <col min="11783" max="11783" width="5.44140625" style="34" customWidth="1"/>
    <col min="11784" max="11784" width="12.44140625" style="34" customWidth="1"/>
    <col min="11785" max="11785" width="11.5546875" style="34" customWidth="1"/>
    <col min="11786" max="11786" width="12.44140625" style="34" customWidth="1"/>
    <col min="11787" max="11787" width="6" style="34" customWidth="1"/>
    <col min="11788" max="11788" width="12.5546875" style="34" customWidth="1"/>
    <col min="11789" max="11790" width="11.88671875" style="34" customWidth="1"/>
    <col min="11791" max="11791" width="15" style="34" customWidth="1"/>
    <col min="11792" max="12032" width="9.109375" style="34"/>
    <col min="12033" max="12033" width="4.44140625" style="34" customWidth="1"/>
    <col min="12034" max="12034" width="18.44140625" style="34" customWidth="1"/>
    <col min="12035" max="12035" width="5.5546875" style="34" customWidth="1"/>
    <col min="12036" max="12036" width="13.109375" style="34" customWidth="1"/>
    <col min="12037" max="12037" width="12.44140625" style="34" customWidth="1"/>
    <col min="12038" max="12038" width="13.33203125" style="34" customWidth="1"/>
    <col min="12039" max="12039" width="5.44140625" style="34" customWidth="1"/>
    <col min="12040" max="12040" width="12.44140625" style="34" customWidth="1"/>
    <col min="12041" max="12041" width="11.5546875" style="34" customWidth="1"/>
    <col min="12042" max="12042" width="12.44140625" style="34" customWidth="1"/>
    <col min="12043" max="12043" width="6" style="34" customWidth="1"/>
    <col min="12044" max="12044" width="12.5546875" style="34" customWidth="1"/>
    <col min="12045" max="12046" width="11.88671875" style="34" customWidth="1"/>
    <col min="12047" max="12047" width="15" style="34" customWidth="1"/>
    <col min="12048" max="12288" width="9.109375" style="34"/>
    <col min="12289" max="12289" width="4.44140625" style="34" customWidth="1"/>
    <col min="12290" max="12290" width="18.44140625" style="34" customWidth="1"/>
    <col min="12291" max="12291" width="5.5546875" style="34" customWidth="1"/>
    <col min="12292" max="12292" width="13.109375" style="34" customWidth="1"/>
    <col min="12293" max="12293" width="12.44140625" style="34" customWidth="1"/>
    <col min="12294" max="12294" width="13.33203125" style="34" customWidth="1"/>
    <col min="12295" max="12295" width="5.44140625" style="34" customWidth="1"/>
    <col min="12296" max="12296" width="12.44140625" style="34" customWidth="1"/>
    <col min="12297" max="12297" width="11.5546875" style="34" customWidth="1"/>
    <col min="12298" max="12298" width="12.44140625" style="34" customWidth="1"/>
    <col min="12299" max="12299" width="6" style="34" customWidth="1"/>
    <col min="12300" max="12300" width="12.5546875" style="34" customWidth="1"/>
    <col min="12301" max="12302" width="11.88671875" style="34" customWidth="1"/>
    <col min="12303" max="12303" width="15" style="34" customWidth="1"/>
    <col min="12304" max="12544" width="9.109375" style="34"/>
    <col min="12545" max="12545" width="4.44140625" style="34" customWidth="1"/>
    <col min="12546" max="12546" width="18.44140625" style="34" customWidth="1"/>
    <col min="12547" max="12547" width="5.5546875" style="34" customWidth="1"/>
    <col min="12548" max="12548" width="13.109375" style="34" customWidth="1"/>
    <col min="12549" max="12549" width="12.44140625" style="34" customWidth="1"/>
    <col min="12550" max="12550" width="13.33203125" style="34" customWidth="1"/>
    <col min="12551" max="12551" width="5.44140625" style="34" customWidth="1"/>
    <col min="12552" max="12552" width="12.44140625" style="34" customWidth="1"/>
    <col min="12553" max="12553" width="11.5546875" style="34" customWidth="1"/>
    <col min="12554" max="12554" width="12.44140625" style="34" customWidth="1"/>
    <col min="12555" max="12555" width="6" style="34" customWidth="1"/>
    <col min="12556" max="12556" width="12.5546875" style="34" customWidth="1"/>
    <col min="12557" max="12558" width="11.88671875" style="34" customWidth="1"/>
    <col min="12559" max="12559" width="15" style="34" customWidth="1"/>
    <col min="12560" max="12800" width="9.109375" style="34"/>
    <col min="12801" max="12801" width="4.44140625" style="34" customWidth="1"/>
    <col min="12802" max="12802" width="18.44140625" style="34" customWidth="1"/>
    <col min="12803" max="12803" width="5.5546875" style="34" customWidth="1"/>
    <col min="12804" max="12804" width="13.109375" style="34" customWidth="1"/>
    <col min="12805" max="12805" width="12.44140625" style="34" customWidth="1"/>
    <col min="12806" max="12806" width="13.33203125" style="34" customWidth="1"/>
    <col min="12807" max="12807" width="5.44140625" style="34" customWidth="1"/>
    <col min="12808" max="12808" width="12.44140625" style="34" customWidth="1"/>
    <col min="12809" max="12809" width="11.5546875" style="34" customWidth="1"/>
    <col min="12810" max="12810" width="12.44140625" style="34" customWidth="1"/>
    <col min="12811" max="12811" width="6" style="34" customWidth="1"/>
    <col min="12812" max="12812" width="12.5546875" style="34" customWidth="1"/>
    <col min="12813" max="12814" width="11.88671875" style="34" customWidth="1"/>
    <col min="12815" max="12815" width="15" style="34" customWidth="1"/>
    <col min="12816" max="13056" width="9.109375" style="34"/>
    <col min="13057" max="13057" width="4.44140625" style="34" customWidth="1"/>
    <col min="13058" max="13058" width="18.44140625" style="34" customWidth="1"/>
    <col min="13059" max="13059" width="5.5546875" style="34" customWidth="1"/>
    <col min="13060" max="13060" width="13.109375" style="34" customWidth="1"/>
    <col min="13061" max="13061" width="12.44140625" style="34" customWidth="1"/>
    <col min="13062" max="13062" width="13.33203125" style="34" customWidth="1"/>
    <col min="13063" max="13063" width="5.44140625" style="34" customWidth="1"/>
    <col min="13064" max="13064" width="12.44140625" style="34" customWidth="1"/>
    <col min="13065" max="13065" width="11.5546875" style="34" customWidth="1"/>
    <col min="13066" max="13066" width="12.44140625" style="34" customWidth="1"/>
    <col min="13067" max="13067" width="6" style="34" customWidth="1"/>
    <col min="13068" max="13068" width="12.5546875" style="34" customWidth="1"/>
    <col min="13069" max="13070" width="11.88671875" style="34" customWidth="1"/>
    <col min="13071" max="13071" width="15" style="34" customWidth="1"/>
    <col min="13072" max="13312" width="9.109375" style="34"/>
    <col min="13313" max="13313" width="4.44140625" style="34" customWidth="1"/>
    <col min="13314" max="13314" width="18.44140625" style="34" customWidth="1"/>
    <col min="13315" max="13315" width="5.5546875" style="34" customWidth="1"/>
    <col min="13316" max="13316" width="13.109375" style="34" customWidth="1"/>
    <col min="13317" max="13317" width="12.44140625" style="34" customWidth="1"/>
    <col min="13318" max="13318" width="13.33203125" style="34" customWidth="1"/>
    <col min="13319" max="13319" width="5.44140625" style="34" customWidth="1"/>
    <col min="13320" max="13320" width="12.44140625" style="34" customWidth="1"/>
    <col min="13321" max="13321" width="11.5546875" style="34" customWidth="1"/>
    <col min="13322" max="13322" width="12.44140625" style="34" customWidth="1"/>
    <col min="13323" max="13323" width="6" style="34" customWidth="1"/>
    <col min="13324" max="13324" width="12.5546875" style="34" customWidth="1"/>
    <col min="13325" max="13326" width="11.88671875" style="34" customWidth="1"/>
    <col min="13327" max="13327" width="15" style="34" customWidth="1"/>
    <col min="13328" max="13568" width="9.109375" style="34"/>
    <col min="13569" max="13569" width="4.44140625" style="34" customWidth="1"/>
    <col min="13570" max="13570" width="18.44140625" style="34" customWidth="1"/>
    <col min="13571" max="13571" width="5.5546875" style="34" customWidth="1"/>
    <col min="13572" max="13572" width="13.109375" style="34" customWidth="1"/>
    <col min="13573" max="13573" width="12.44140625" style="34" customWidth="1"/>
    <col min="13574" max="13574" width="13.33203125" style="34" customWidth="1"/>
    <col min="13575" max="13575" width="5.44140625" style="34" customWidth="1"/>
    <col min="13576" max="13576" width="12.44140625" style="34" customWidth="1"/>
    <col min="13577" max="13577" width="11.5546875" style="34" customWidth="1"/>
    <col min="13578" max="13578" width="12.44140625" style="34" customWidth="1"/>
    <col min="13579" max="13579" width="6" style="34" customWidth="1"/>
    <col min="13580" max="13580" width="12.5546875" style="34" customWidth="1"/>
    <col min="13581" max="13582" width="11.88671875" style="34" customWidth="1"/>
    <col min="13583" max="13583" width="15" style="34" customWidth="1"/>
    <col min="13584" max="13824" width="9.109375" style="34"/>
    <col min="13825" max="13825" width="4.44140625" style="34" customWidth="1"/>
    <col min="13826" max="13826" width="18.44140625" style="34" customWidth="1"/>
    <col min="13827" max="13827" width="5.5546875" style="34" customWidth="1"/>
    <col min="13828" max="13828" width="13.109375" style="34" customWidth="1"/>
    <col min="13829" max="13829" width="12.44140625" style="34" customWidth="1"/>
    <col min="13830" max="13830" width="13.33203125" style="34" customWidth="1"/>
    <col min="13831" max="13831" width="5.44140625" style="34" customWidth="1"/>
    <col min="13832" max="13832" width="12.44140625" style="34" customWidth="1"/>
    <col min="13833" max="13833" width="11.5546875" style="34" customWidth="1"/>
    <col min="13834" max="13834" width="12.44140625" style="34" customWidth="1"/>
    <col min="13835" max="13835" width="6" style="34" customWidth="1"/>
    <col min="13836" max="13836" width="12.5546875" style="34" customWidth="1"/>
    <col min="13837" max="13838" width="11.88671875" style="34" customWidth="1"/>
    <col min="13839" max="13839" width="15" style="34" customWidth="1"/>
    <col min="13840" max="14080" width="9.109375" style="34"/>
    <col min="14081" max="14081" width="4.44140625" style="34" customWidth="1"/>
    <col min="14082" max="14082" width="18.44140625" style="34" customWidth="1"/>
    <col min="14083" max="14083" width="5.5546875" style="34" customWidth="1"/>
    <col min="14084" max="14084" width="13.109375" style="34" customWidth="1"/>
    <col min="14085" max="14085" width="12.44140625" style="34" customWidth="1"/>
    <col min="14086" max="14086" width="13.33203125" style="34" customWidth="1"/>
    <col min="14087" max="14087" width="5.44140625" style="34" customWidth="1"/>
    <col min="14088" max="14088" width="12.44140625" style="34" customWidth="1"/>
    <col min="14089" max="14089" width="11.5546875" style="34" customWidth="1"/>
    <col min="14090" max="14090" width="12.44140625" style="34" customWidth="1"/>
    <col min="14091" max="14091" width="6" style="34" customWidth="1"/>
    <col min="14092" max="14092" width="12.5546875" style="34" customWidth="1"/>
    <col min="14093" max="14094" width="11.88671875" style="34" customWidth="1"/>
    <col min="14095" max="14095" width="15" style="34" customWidth="1"/>
    <col min="14096" max="14336" width="9.109375" style="34"/>
    <col min="14337" max="14337" width="4.44140625" style="34" customWidth="1"/>
    <col min="14338" max="14338" width="18.44140625" style="34" customWidth="1"/>
    <col min="14339" max="14339" width="5.5546875" style="34" customWidth="1"/>
    <col min="14340" max="14340" width="13.109375" style="34" customWidth="1"/>
    <col min="14341" max="14341" width="12.44140625" style="34" customWidth="1"/>
    <col min="14342" max="14342" width="13.33203125" style="34" customWidth="1"/>
    <col min="14343" max="14343" width="5.44140625" style="34" customWidth="1"/>
    <col min="14344" max="14344" width="12.44140625" style="34" customWidth="1"/>
    <col min="14345" max="14345" width="11.5546875" style="34" customWidth="1"/>
    <col min="14346" max="14346" width="12.44140625" style="34" customWidth="1"/>
    <col min="14347" max="14347" width="6" style="34" customWidth="1"/>
    <col min="14348" max="14348" width="12.5546875" style="34" customWidth="1"/>
    <col min="14349" max="14350" width="11.88671875" style="34" customWidth="1"/>
    <col min="14351" max="14351" width="15" style="34" customWidth="1"/>
    <col min="14352" max="14592" width="9.109375" style="34"/>
    <col min="14593" max="14593" width="4.44140625" style="34" customWidth="1"/>
    <col min="14594" max="14594" width="18.44140625" style="34" customWidth="1"/>
    <col min="14595" max="14595" width="5.5546875" style="34" customWidth="1"/>
    <col min="14596" max="14596" width="13.109375" style="34" customWidth="1"/>
    <col min="14597" max="14597" width="12.44140625" style="34" customWidth="1"/>
    <col min="14598" max="14598" width="13.33203125" style="34" customWidth="1"/>
    <col min="14599" max="14599" width="5.44140625" style="34" customWidth="1"/>
    <col min="14600" max="14600" width="12.44140625" style="34" customWidth="1"/>
    <col min="14601" max="14601" width="11.5546875" style="34" customWidth="1"/>
    <col min="14602" max="14602" width="12.44140625" style="34" customWidth="1"/>
    <col min="14603" max="14603" width="6" style="34" customWidth="1"/>
    <col min="14604" max="14604" width="12.5546875" style="34" customWidth="1"/>
    <col min="14605" max="14606" width="11.88671875" style="34" customWidth="1"/>
    <col min="14607" max="14607" width="15" style="34" customWidth="1"/>
    <col min="14608" max="14848" width="9.109375" style="34"/>
    <col min="14849" max="14849" width="4.44140625" style="34" customWidth="1"/>
    <col min="14850" max="14850" width="18.44140625" style="34" customWidth="1"/>
    <col min="14851" max="14851" width="5.5546875" style="34" customWidth="1"/>
    <col min="14852" max="14852" width="13.109375" style="34" customWidth="1"/>
    <col min="14853" max="14853" width="12.44140625" style="34" customWidth="1"/>
    <col min="14854" max="14854" width="13.33203125" style="34" customWidth="1"/>
    <col min="14855" max="14855" width="5.44140625" style="34" customWidth="1"/>
    <col min="14856" max="14856" width="12.44140625" style="34" customWidth="1"/>
    <col min="14857" max="14857" width="11.5546875" style="34" customWidth="1"/>
    <col min="14858" max="14858" width="12.44140625" style="34" customWidth="1"/>
    <col min="14859" max="14859" width="6" style="34" customWidth="1"/>
    <col min="14860" max="14860" width="12.5546875" style="34" customWidth="1"/>
    <col min="14861" max="14862" width="11.88671875" style="34" customWidth="1"/>
    <col min="14863" max="14863" width="15" style="34" customWidth="1"/>
    <col min="14864" max="15104" width="9.109375" style="34"/>
    <col min="15105" max="15105" width="4.44140625" style="34" customWidth="1"/>
    <col min="15106" max="15106" width="18.44140625" style="34" customWidth="1"/>
    <col min="15107" max="15107" width="5.5546875" style="34" customWidth="1"/>
    <col min="15108" max="15108" width="13.109375" style="34" customWidth="1"/>
    <col min="15109" max="15109" width="12.44140625" style="34" customWidth="1"/>
    <col min="15110" max="15110" width="13.33203125" style="34" customWidth="1"/>
    <col min="15111" max="15111" width="5.44140625" style="34" customWidth="1"/>
    <col min="15112" max="15112" width="12.44140625" style="34" customWidth="1"/>
    <col min="15113" max="15113" width="11.5546875" style="34" customWidth="1"/>
    <col min="15114" max="15114" width="12.44140625" style="34" customWidth="1"/>
    <col min="15115" max="15115" width="6" style="34" customWidth="1"/>
    <col min="15116" max="15116" width="12.5546875" style="34" customWidth="1"/>
    <col min="15117" max="15118" width="11.88671875" style="34" customWidth="1"/>
    <col min="15119" max="15119" width="15" style="34" customWidth="1"/>
    <col min="15120" max="15360" width="9.109375" style="34"/>
    <col min="15361" max="15361" width="4.44140625" style="34" customWidth="1"/>
    <col min="15362" max="15362" width="18.44140625" style="34" customWidth="1"/>
    <col min="15363" max="15363" width="5.5546875" style="34" customWidth="1"/>
    <col min="15364" max="15364" width="13.109375" style="34" customWidth="1"/>
    <col min="15365" max="15365" width="12.44140625" style="34" customWidth="1"/>
    <col min="15366" max="15366" width="13.33203125" style="34" customWidth="1"/>
    <col min="15367" max="15367" width="5.44140625" style="34" customWidth="1"/>
    <col min="15368" max="15368" width="12.44140625" style="34" customWidth="1"/>
    <col min="15369" max="15369" width="11.5546875" style="34" customWidth="1"/>
    <col min="15370" max="15370" width="12.44140625" style="34" customWidth="1"/>
    <col min="15371" max="15371" width="6" style="34" customWidth="1"/>
    <col min="15372" max="15372" width="12.5546875" style="34" customWidth="1"/>
    <col min="15373" max="15374" width="11.88671875" style="34" customWidth="1"/>
    <col min="15375" max="15375" width="15" style="34" customWidth="1"/>
    <col min="15376" max="15616" width="9.109375" style="34"/>
    <col min="15617" max="15617" width="4.44140625" style="34" customWidth="1"/>
    <col min="15618" max="15618" width="18.44140625" style="34" customWidth="1"/>
    <col min="15619" max="15619" width="5.5546875" style="34" customWidth="1"/>
    <col min="15620" max="15620" width="13.109375" style="34" customWidth="1"/>
    <col min="15621" max="15621" width="12.44140625" style="34" customWidth="1"/>
    <col min="15622" max="15622" width="13.33203125" style="34" customWidth="1"/>
    <col min="15623" max="15623" width="5.44140625" style="34" customWidth="1"/>
    <col min="15624" max="15624" width="12.44140625" style="34" customWidth="1"/>
    <col min="15625" max="15625" width="11.5546875" style="34" customWidth="1"/>
    <col min="15626" max="15626" width="12.44140625" style="34" customWidth="1"/>
    <col min="15627" max="15627" width="6" style="34" customWidth="1"/>
    <col min="15628" max="15628" width="12.5546875" style="34" customWidth="1"/>
    <col min="15629" max="15630" width="11.88671875" style="34" customWidth="1"/>
    <col min="15631" max="15631" width="15" style="34" customWidth="1"/>
    <col min="15632" max="15872" width="9.109375" style="34"/>
    <col min="15873" max="15873" width="4.44140625" style="34" customWidth="1"/>
    <col min="15874" max="15874" width="18.44140625" style="34" customWidth="1"/>
    <col min="15875" max="15875" width="5.5546875" style="34" customWidth="1"/>
    <col min="15876" max="15876" width="13.109375" style="34" customWidth="1"/>
    <col min="15877" max="15877" width="12.44140625" style="34" customWidth="1"/>
    <col min="15878" max="15878" width="13.33203125" style="34" customWidth="1"/>
    <col min="15879" max="15879" width="5.44140625" style="34" customWidth="1"/>
    <col min="15880" max="15880" width="12.44140625" style="34" customWidth="1"/>
    <col min="15881" max="15881" width="11.5546875" style="34" customWidth="1"/>
    <col min="15882" max="15882" width="12.44140625" style="34" customWidth="1"/>
    <col min="15883" max="15883" width="6" style="34" customWidth="1"/>
    <col min="15884" max="15884" width="12.5546875" style="34" customWidth="1"/>
    <col min="15885" max="15886" width="11.88671875" style="34" customWidth="1"/>
    <col min="15887" max="15887" width="15" style="34" customWidth="1"/>
    <col min="15888" max="16128" width="9.109375" style="34"/>
    <col min="16129" max="16129" width="4.44140625" style="34" customWidth="1"/>
    <col min="16130" max="16130" width="18.44140625" style="34" customWidth="1"/>
    <col min="16131" max="16131" width="5.5546875" style="34" customWidth="1"/>
    <col min="16132" max="16132" width="13.109375" style="34" customWidth="1"/>
    <col min="16133" max="16133" width="12.44140625" style="34" customWidth="1"/>
    <col min="16134" max="16134" width="13.33203125" style="34" customWidth="1"/>
    <col min="16135" max="16135" width="5.44140625" style="34" customWidth="1"/>
    <col min="16136" max="16136" width="12.44140625" style="34" customWidth="1"/>
    <col min="16137" max="16137" width="11.5546875" style="34" customWidth="1"/>
    <col min="16138" max="16138" width="12.44140625" style="34" customWidth="1"/>
    <col min="16139" max="16139" width="6" style="34" customWidth="1"/>
    <col min="16140" max="16140" width="12.5546875" style="34" customWidth="1"/>
    <col min="16141" max="16142" width="11.88671875" style="34" customWidth="1"/>
    <col min="16143" max="16143" width="15" style="34" customWidth="1"/>
    <col min="16144" max="16384" width="9.109375" style="34"/>
  </cols>
  <sheetData>
    <row r="1" spans="1:15" ht="17.399999999999999" x14ac:dyDescent="0.25">
      <c r="A1" s="154" t="s">
        <v>104</v>
      </c>
      <c r="B1" s="154"/>
      <c r="C1" s="154"/>
      <c r="D1" s="154"/>
      <c r="E1" s="154"/>
      <c r="F1" s="154"/>
      <c r="G1" s="154"/>
      <c r="H1" s="154"/>
      <c r="I1" s="154"/>
      <c r="J1" s="154"/>
      <c r="K1" s="154"/>
      <c r="L1" s="154"/>
      <c r="M1" s="154"/>
      <c r="N1" s="154"/>
    </row>
    <row r="2" spans="1:15" ht="24.6" customHeight="1" x14ac:dyDescent="0.25">
      <c r="A2" s="155" t="s">
        <v>211</v>
      </c>
      <c r="B2" s="156"/>
      <c r="C2" s="156"/>
      <c r="D2" s="156"/>
      <c r="E2" s="156"/>
      <c r="F2" s="156"/>
      <c r="G2" s="156"/>
      <c r="H2" s="156"/>
      <c r="I2" s="156"/>
      <c r="J2" s="156"/>
      <c r="K2" s="156"/>
      <c r="L2" s="156"/>
      <c r="M2" s="156"/>
      <c r="N2" s="157"/>
      <c r="O2" s="35"/>
    </row>
    <row r="3" spans="1:15" x14ac:dyDescent="0.25">
      <c r="A3" s="158" t="s">
        <v>0</v>
      </c>
      <c r="B3" s="159"/>
      <c r="C3" s="160" t="s">
        <v>105</v>
      </c>
      <c r="D3" s="160"/>
      <c r="E3" s="160"/>
      <c r="F3" s="160"/>
      <c r="G3" s="161" t="s">
        <v>106</v>
      </c>
      <c r="H3" s="162"/>
      <c r="I3" s="162"/>
      <c r="J3" s="163"/>
      <c r="K3" s="161" t="s">
        <v>107</v>
      </c>
      <c r="L3" s="162"/>
      <c r="M3" s="162"/>
      <c r="N3" s="163"/>
      <c r="O3" s="164" t="s">
        <v>108</v>
      </c>
    </row>
    <row r="4" spans="1:15" ht="36.6" customHeight="1" x14ac:dyDescent="0.25">
      <c r="A4" s="167" t="s">
        <v>109</v>
      </c>
      <c r="B4" s="168"/>
      <c r="C4" s="169" t="s">
        <v>126</v>
      </c>
      <c r="D4" s="169"/>
      <c r="E4" s="169"/>
      <c r="F4" s="169"/>
      <c r="G4" s="170" t="s">
        <v>128</v>
      </c>
      <c r="H4" s="171"/>
      <c r="I4" s="171"/>
      <c r="J4" s="172"/>
      <c r="K4" s="170" t="s">
        <v>127</v>
      </c>
      <c r="L4" s="171"/>
      <c r="M4" s="171"/>
      <c r="N4" s="172"/>
      <c r="O4" s="165"/>
    </row>
    <row r="5" spans="1:15" ht="55.2" x14ac:dyDescent="0.25">
      <c r="A5" s="37" t="s">
        <v>0</v>
      </c>
      <c r="B5" s="37" t="s">
        <v>110</v>
      </c>
      <c r="C5" s="38" t="s">
        <v>111</v>
      </c>
      <c r="D5" s="36" t="s">
        <v>112</v>
      </c>
      <c r="E5" s="36" t="s">
        <v>124</v>
      </c>
      <c r="F5" s="36" t="s">
        <v>113</v>
      </c>
      <c r="G5" s="38" t="s">
        <v>111</v>
      </c>
      <c r="H5" s="36" t="s">
        <v>112</v>
      </c>
      <c r="I5" s="36" t="s">
        <v>124</v>
      </c>
      <c r="J5" s="36" t="s">
        <v>113</v>
      </c>
      <c r="K5" s="38" t="s">
        <v>111</v>
      </c>
      <c r="L5" s="36" t="s">
        <v>112</v>
      </c>
      <c r="M5" s="36" t="s">
        <v>124</v>
      </c>
      <c r="N5" s="36" t="s">
        <v>113</v>
      </c>
      <c r="O5" s="166"/>
    </row>
    <row r="6" spans="1:15" ht="30.6" customHeight="1" x14ac:dyDescent="0.25">
      <c r="A6" s="39">
        <v>1</v>
      </c>
      <c r="B6" s="39" t="s">
        <v>123</v>
      </c>
      <c r="C6" s="39">
        <v>1</v>
      </c>
      <c r="D6" s="40">
        <v>474534</v>
      </c>
      <c r="E6" s="40">
        <f>D6*0.18</f>
        <v>85416.12</v>
      </c>
      <c r="F6" s="40">
        <f>ROUND(E6+D6,0)</f>
        <v>559950</v>
      </c>
      <c r="G6" s="39">
        <v>1</v>
      </c>
      <c r="H6" s="40">
        <v>503814</v>
      </c>
      <c r="I6" s="40">
        <f>H6*0.18</f>
        <v>90686.52</v>
      </c>
      <c r="J6" s="40">
        <f>ROUND(I6+H6,-2)</f>
        <v>594500</v>
      </c>
      <c r="K6" s="39">
        <v>1</v>
      </c>
      <c r="L6" s="40">
        <v>693898</v>
      </c>
      <c r="M6" s="40">
        <f>L6*0.18</f>
        <v>124901.64</v>
      </c>
      <c r="N6" s="40">
        <f>ROUND(M6+L6,-2)</f>
        <v>818800</v>
      </c>
      <c r="O6" s="149" t="s">
        <v>125</v>
      </c>
    </row>
    <row r="7" spans="1:15" ht="30.6" customHeight="1" x14ac:dyDescent="0.25">
      <c r="A7" s="35"/>
      <c r="B7" s="41" t="s">
        <v>114</v>
      </c>
      <c r="C7" s="35"/>
      <c r="D7" s="42"/>
      <c r="E7" s="42"/>
      <c r="F7" s="45">
        <f>F6</f>
        <v>559950</v>
      </c>
      <c r="G7" s="42"/>
      <c r="H7" s="42"/>
      <c r="I7" s="42"/>
      <c r="J7" s="43">
        <f>J6</f>
        <v>594500</v>
      </c>
      <c r="K7" s="42"/>
      <c r="L7" s="42"/>
      <c r="M7" s="42"/>
      <c r="N7" s="43">
        <f>N6</f>
        <v>818800</v>
      </c>
      <c r="O7" s="150"/>
    </row>
    <row r="8" spans="1:15" ht="30.6" customHeight="1" x14ac:dyDescent="0.25">
      <c r="A8" s="152" t="s">
        <v>115</v>
      </c>
      <c r="B8" s="153"/>
      <c r="C8" s="35"/>
      <c r="D8" s="42"/>
      <c r="E8" s="42"/>
      <c r="F8" s="44" t="s">
        <v>116</v>
      </c>
      <c r="G8" s="44"/>
      <c r="H8" s="44"/>
      <c r="I8" s="44"/>
      <c r="J8" s="44" t="s">
        <v>117</v>
      </c>
      <c r="K8" s="44"/>
      <c r="L8" s="44"/>
      <c r="M8" s="44"/>
      <c r="N8" s="44" t="s">
        <v>118</v>
      </c>
      <c r="O8" s="151"/>
    </row>
    <row r="13" spans="1:15" x14ac:dyDescent="0.25">
      <c r="B13" s="148" t="s">
        <v>119</v>
      </c>
      <c r="C13" s="148"/>
      <c r="D13" s="148"/>
      <c r="E13" s="148"/>
      <c r="G13" s="148" t="s">
        <v>120</v>
      </c>
      <c r="H13" s="148"/>
      <c r="I13" s="148"/>
      <c r="J13" s="148"/>
    </row>
    <row r="14" spans="1:15" x14ac:dyDescent="0.25">
      <c r="B14" s="148" t="s">
        <v>121</v>
      </c>
      <c r="C14" s="148"/>
      <c r="D14" s="148"/>
      <c r="E14" s="148"/>
      <c r="G14" s="148" t="s">
        <v>121</v>
      </c>
      <c r="H14" s="148"/>
      <c r="I14" s="148"/>
      <c r="J14" s="148"/>
    </row>
    <row r="15" spans="1:15" x14ac:dyDescent="0.25">
      <c r="B15" s="148" t="s">
        <v>122</v>
      </c>
      <c r="C15" s="148"/>
      <c r="D15" s="148"/>
      <c r="E15" s="148"/>
      <c r="G15" s="148" t="s">
        <v>122</v>
      </c>
      <c r="H15" s="148"/>
      <c r="I15" s="148"/>
      <c r="J15" s="148"/>
    </row>
  </sheetData>
  <mergeCells count="19">
    <mergeCell ref="O6:O8"/>
    <mergeCell ref="A8:B8"/>
    <mergeCell ref="A1:N1"/>
    <mergeCell ref="A2:N2"/>
    <mergeCell ref="A3:B3"/>
    <mergeCell ref="C3:F3"/>
    <mergeCell ref="G3:J3"/>
    <mergeCell ref="K3:N3"/>
    <mergeCell ref="O3:O5"/>
    <mergeCell ref="A4:B4"/>
    <mergeCell ref="C4:F4"/>
    <mergeCell ref="G4:J4"/>
    <mergeCell ref="K4:N4"/>
    <mergeCell ref="B13:E13"/>
    <mergeCell ref="G13:J13"/>
    <mergeCell ref="B14:E14"/>
    <mergeCell ref="G14:J14"/>
    <mergeCell ref="B15:E15"/>
    <mergeCell ref="G15:J15"/>
  </mergeCells>
  <pageMargins left="0.59055118110236227" right="0.19685039370078741" top="0.74803149606299213" bottom="0.74803149606299213" header="0.31496062992125984" footer="0.31496062992125984"/>
  <pageSetup paperSize="5" orientation="landscape" r:id="rId1"/>
  <ignoredErrors>
    <ignoredError sqref="C3:N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9"/>
  <sheetViews>
    <sheetView topLeftCell="A34" zoomScale="90" zoomScaleNormal="90" zoomScaleSheetLayoutView="80" workbookViewId="0">
      <selection activeCell="B34" sqref="B34"/>
    </sheetView>
  </sheetViews>
  <sheetFormatPr defaultColWidth="12.6640625" defaultRowHeight="15" customHeight="1" x14ac:dyDescent="0.25"/>
  <cols>
    <col min="1" max="1" width="5.44140625" style="11" customWidth="1"/>
    <col min="2" max="2" width="6.77734375" style="9" customWidth="1"/>
    <col min="3" max="3" width="14.21875" style="9" customWidth="1"/>
    <col min="4" max="4" width="6.5546875" style="12" customWidth="1"/>
    <col min="5" max="5" width="5.5546875" style="12" customWidth="1"/>
    <col min="6" max="6" width="5.6640625" style="12" customWidth="1"/>
    <col min="7" max="7" width="6.5546875" style="12" customWidth="1"/>
    <col min="8" max="8" width="5.88671875" style="12" customWidth="1"/>
    <col min="9" max="9" width="7" style="12" customWidth="1"/>
    <col min="10" max="10" width="6.88671875" style="12" customWidth="1"/>
    <col min="11" max="11" width="5.33203125" style="9" customWidth="1"/>
    <col min="12" max="12" width="9.44140625" style="9" customWidth="1"/>
    <col min="13" max="13" width="14.33203125" style="9" customWidth="1"/>
    <col min="14" max="15" width="7.6640625" style="9" customWidth="1"/>
    <col min="16" max="16" width="13.6640625" style="9" bestFit="1" customWidth="1"/>
    <col min="17" max="16384" width="12.6640625" style="9"/>
  </cols>
  <sheetData>
    <row r="1" spans="1:16" ht="25.2" customHeight="1" x14ac:dyDescent="0.25">
      <c r="A1" s="128" t="s">
        <v>211</v>
      </c>
      <c r="B1" s="128"/>
      <c r="C1" s="128"/>
      <c r="D1" s="128"/>
      <c r="E1" s="128"/>
      <c r="F1" s="128"/>
      <c r="G1" s="128"/>
      <c r="H1" s="128"/>
      <c r="I1" s="128"/>
      <c r="J1" s="128"/>
      <c r="K1" s="128"/>
      <c r="L1" s="128"/>
      <c r="M1" s="128"/>
    </row>
    <row r="2" spans="1:16" ht="18.600000000000001" customHeight="1" x14ac:dyDescent="0.25">
      <c r="A2" s="125" t="s">
        <v>214</v>
      </c>
      <c r="B2" s="126"/>
      <c r="C2" s="126"/>
      <c r="D2" s="126"/>
      <c r="E2" s="126"/>
      <c r="F2" s="126"/>
      <c r="G2" s="126"/>
      <c r="H2" s="126"/>
      <c r="I2" s="126"/>
      <c r="J2" s="126"/>
      <c r="K2" s="126"/>
      <c r="L2" s="126"/>
      <c r="M2" s="127"/>
    </row>
    <row r="3" spans="1:16" ht="42.6" customHeight="1" x14ac:dyDescent="0.25">
      <c r="A3" s="49" t="s">
        <v>3</v>
      </c>
      <c r="B3" s="59" t="s">
        <v>4</v>
      </c>
      <c r="C3" s="131" t="s">
        <v>5</v>
      </c>
      <c r="D3" s="131"/>
      <c r="E3" s="131"/>
      <c r="F3" s="131"/>
      <c r="G3" s="131"/>
      <c r="H3" s="131"/>
      <c r="I3" s="131"/>
      <c r="J3" s="59" t="s">
        <v>10</v>
      </c>
      <c r="K3" s="49" t="s">
        <v>11</v>
      </c>
      <c r="L3" s="59" t="s">
        <v>22</v>
      </c>
      <c r="M3" s="59" t="s">
        <v>12</v>
      </c>
      <c r="N3" s="10"/>
      <c r="O3" s="10"/>
    </row>
    <row r="4" spans="1:16" ht="58.8" customHeight="1" x14ac:dyDescent="0.25">
      <c r="A4" s="50">
        <v>1</v>
      </c>
      <c r="B4" s="51">
        <v>15.7</v>
      </c>
      <c r="C4" s="121" t="s">
        <v>224</v>
      </c>
      <c r="D4" s="122"/>
      <c r="E4" s="122"/>
      <c r="F4" s="122"/>
      <c r="G4" s="122"/>
      <c r="H4" s="122"/>
      <c r="I4" s="122"/>
      <c r="J4" s="113">
        <f>'Measurement sheet'!I6</f>
        <v>1.58</v>
      </c>
      <c r="K4" s="113" t="str">
        <f>'Measurement sheet'!J6</f>
        <v>Cum</v>
      </c>
      <c r="L4" s="113">
        <f>'Measurement sheet'!K6</f>
        <v>1698.45</v>
      </c>
      <c r="M4" s="114">
        <f>'Measurement sheet'!L6</f>
        <v>2683.55</v>
      </c>
      <c r="P4" s="115">
        <f>+J4*L4</f>
        <v>2683.55</v>
      </c>
    </row>
    <row r="5" spans="1:16" ht="46.8" customHeight="1" x14ac:dyDescent="0.25">
      <c r="A5" s="50">
        <v>2</v>
      </c>
      <c r="B5" s="50" t="s">
        <v>26</v>
      </c>
      <c r="C5" s="121" t="s">
        <v>58</v>
      </c>
      <c r="D5" s="122"/>
      <c r="E5" s="122"/>
      <c r="F5" s="122"/>
      <c r="G5" s="122"/>
      <c r="H5" s="122"/>
      <c r="I5" s="122"/>
      <c r="J5" s="113">
        <f>'Measurement sheet'!I14</f>
        <v>194.21</v>
      </c>
      <c r="K5" s="113" t="str">
        <f>'Measurement sheet'!J14</f>
        <v>Sqm</v>
      </c>
      <c r="L5" s="113">
        <f>'Measurement sheet'!K14</f>
        <v>60.5</v>
      </c>
      <c r="M5" s="114">
        <f>'Measurement sheet'!L14</f>
        <v>11749.71</v>
      </c>
      <c r="O5" s="9">
        <f>5.95+3.1</f>
        <v>9.0500000000000007</v>
      </c>
    </row>
    <row r="6" spans="1:16" ht="45.6" customHeight="1" x14ac:dyDescent="0.25">
      <c r="A6" s="50">
        <v>3</v>
      </c>
      <c r="B6" s="51">
        <v>15.28</v>
      </c>
      <c r="C6" s="129" t="s">
        <v>40</v>
      </c>
      <c r="D6" s="130"/>
      <c r="E6" s="130"/>
      <c r="F6" s="130"/>
      <c r="G6" s="130"/>
      <c r="H6" s="130"/>
      <c r="I6" s="130"/>
      <c r="J6" s="113">
        <f>'Measurement sheet'!I16</f>
        <v>3.57</v>
      </c>
      <c r="K6" s="113" t="str">
        <f>'Measurement sheet'!J16</f>
        <v>Sqm</v>
      </c>
      <c r="L6" s="113">
        <f>'Measurement sheet'!K16</f>
        <v>136</v>
      </c>
      <c r="M6" s="114">
        <f>'Measurement sheet'!L16</f>
        <v>485.52</v>
      </c>
    </row>
    <row r="7" spans="1:16" ht="59.4" customHeight="1" x14ac:dyDescent="0.25">
      <c r="A7" s="50">
        <v>4</v>
      </c>
      <c r="B7" s="51">
        <v>2.25</v>
      </c>
      <c r="C7" s="121" t="s">
        <v>45</v>
      </c>
      <c r="D7" s="122"/>
      <c r="E7" s="122"/>
      <c r="F7" s="122"/>
      <c r="G7" s="122"/>
      <c r="H7" s="122"/>
      <c r="I7" s="122"/>
      <c r="J7" s="113">
        <f>'Measurement sheet'!I18</f>
        <v>13.01</v>
      </c>
      <c r="K7" s="113" t="str">
        <f>'Measurement sheet'!J18</f>
        <v>Cum</v>
      </c>
      <c r="L7" s="113">
        <f>'Measurement sheet'!K18</f>
        <v>253.95</v>
      </c>
      <c r="M7" s="114">
        <f>'Measurement sheet'!L18</f>
        <v>3303.89</v>
      </c>
    </row>
    <row r="8" spans="1:16" ht="57" customHeight="1" x14ac:dyDescent="0.25">
      <c r="A8" s="50">
        <v>5</v>
      </c>
      <c r="B8" s="51">
        <v>11.2</v>
      </c>
      <c r="C8" s="121" t="s">
        <v>15</v>
      </c>
      <c r="D8" s="122"/>
      <c r="E8" s="122"/>
      <c r="F8" s="122"/>
      <c r="G8" s="122"/>
      <c r="H8" s="122"/>
      <c r="I8" s="122"/>
      <c r="J8" s="113">
        <f>'Measurement sheet'!I20</f>
        <v>9.9</v>
      </c>
      <c r="K8" s="113" t="str">
        <f>'Measurement sheet'!J20</f>
        <v>Sqm</v>
      </c>
      <c r="L8" s="113">
        <f>'Measurement sheet'!K20</f>
        <v>733.3</v>
      </c>
      <c r="M8" s="114">
        <f>'Measurement sheet'!L20</f>
        <v>7259.67</v>
      </c>
    </row>
    <row r="9" spans="1:16" ht="130.19999999999999" customHeight="1" x14ac:dyDescent="0.25">
      <c r="A9" s="50">
        <v>6</v>
      </c>
      <c r="B9" s="51">
        <v>11.5</v>
      </c>
      <c r="C9" s="121" t="s">
        <v>16</v>
      </c>
      <c r="D9" s="121"/>
      <c r="E9" s="121"/>
      <c r="F9" s="121"/>
      <c r="G9" s="121"/>
      <c r="H9" s="121"/>
      <c r="I9" s="121"/>
      <c r="J9" s="113">
        <f>'Measurement sheet'!I22</f>
        <v>9.9</v>
      </c>
      <c r="K9" s="113" t="str">
        <f>'Measurement sheet'!J22</f>
        <v>Sqm</v>
      </c>
      <c r="L9" s="113">
        <f>'Measurement sheet'!K22</f>
        <v>928.65</v>
      </c>
      <c r="M9" s="114">
        <f>'Measurement sheet'!L22</f>
        <v>9193.64</v>
      </c>
    </row>
    <row r="10" spans="1:16" ht="116.4" customHeight="1" x14ac:dyDescent="0.25">
      <c r="A10" s="50">
        <v>7</v>
      </c>
      <c r="B10" s="29">
        <v>11.41</v>
      </c>
      <c r="C10" s="121" t="s">
        <v>94</v>
      </c>
      <c r="D10" s="122"/>
      <c r="E10" s="122"/>
      <c r="F10" s="122"/>
      <c r="G10" s="122"/>
      <c r="H10" s="122"/>
      <c r="I10" s="122"/>
      <c r="J10" s="113">
        <f>'Measurement sheet'!I35</f>
        <v>203.7</v>
      </c>
      <c r="K10" s="113" t="str">
        <f>'Measurement sheet'!J35</f>
        <v>Sqm</v>
      </c>
      <c r="L10" s="113">
        <f>'Measurement sheet'!K35</f>
        <v>1416.65</v>
      </c>
      <c r="M10" s="114">
        <f>'Measurement sheet'!L35</f>
        <v>288571.61</v>
      </c>
    </row>
    <row r="11" spans="1:16" ht="130.19999999999999" customHeight="1" x14ac:dyDescent="0.3">
      <c r="A11" s="50">
        <v>8</v>
      </c>
      <c r="B11" s="51">
        <v>8.31</v>
      </c>
      <c r="C11" s="121" t="s">
        <v>136</v>
      </c>
      <c r="D11" s="122"/>
      <c r="E11" s="122"/>
      <c r="F11" s="122"/>
      <c r="G11" s="122"/>
      <c r="H11" s="122"/>
      <c r="I11" s="122"/>
      <c r="J11" s="113">
        <f>'Measurement sheet'!I41</f>
        <v>208.14</v>
      </c>
      <c r="K11" s="113" t="str">
        <f>'Measurement sheet'!J41</f>
        <v>Sqm</v>
      </c>
      <c r="L11" s="116">
        <f>'Measurement sheet'!K41</f>
        <v>1063.45</v>
      </c>
      <c r="M11" s="114">
        <f>'Measurement sheet'!L41</f>
        <v>221346.48</v>
      </c>
    </row>
    <row r="12" spans="1:16" ht="43.2" customHeight="1" x14ac:dyDescent="0.3">
      <c r="A12" s="50">
        <v>9</v>
      </c>
      <c r="B12" s="51">
        <v>13.26</v>
      </c>
      <c r="C12" s="121" t="s">
        <v>53</v>
      </c>
      <c r="D12" s="122"/>
      <c r="E12" s="122"/>
      <c r="F12" s="122"/>
      <c r="G12" s="122"/>
      <c r="H12" s="122"/>
      <c r="I12" s="122"/>
      <c r="J12" s="113">
        <f>'Measurement sheet'!I61</f>
        <v>559.89</v>
      </c>
      <c r="K12" s="113" t="str">
        <f>'Measurement sheet'!J61</f>
        <v>Sqm</v>
      </c>
      <c r="L12" s="116">
        <f>'Measurement sheet'!K61</f>
        <v>214.3</v>
      </c>
      <c r="M12" s="114">
        <f>'Measurement sheet'!L61</f>
        <v>119984.43</v>
      </c>
    </row>
    <row r="13" spans="1:16" ht="117.6" customHeight="1" x14ac:dyDescent="0.25">
      <c r="A13" s="50">
        <v>10</v>
      </c>
      <c r="B13" s="51" t="s">
        <v>225</v>
      </c>
      <c r="C13" s="121" t="s">
        <v>56</v>
      </c>
      <c r="D13" s="122"/>
      <c r="E13" s="122"/>
      <c r="F13" s="122"/>
      <c r="G13" s="122"/>
      <c r="H13" s="122"/>
      <c r="I13" s="122"/>
      <c r="J13" s="113">
        <f>'Measurement sheet'!I81</f>
        <v>559.89</v>
      </c>
      <c r="K13" s="113" t="str">
        <f>'Measurement sheet'!J81</f>
        <v>Sqm</v>
      </c>
      <c r="L13" s="113">
        <f>'Measurement sheet'!K81</f>
        <v>154.44999999999999</v>
      </c>
      <c r="M13" s="114">
        <f>'Measurement sheet'!L81</f>
        <v>86475.01</v>
      </c>
    </row>
    <row r="14" spans="1:16" ht="59.4" customHeight="1" x14ac:dyDescent="0.25">
      <c r="A14" s="50">
        <v>11</v>
      </c>
      <c r="B14" s="29">
        <v>10.17</v>
      </c>
      <c r="C14" s="121" t="s">
        <v>137</v>
      </c>
      <c r="D14" s="121"/>
      <c r="E14" s="121"/>
      <c r="F14" s="121"/>
      <c r="G14" s="121"/>
      <c r="H14" s="121"/>
      <c r="I14" s="121"/>
      <c r="J14" s="117">
        <f>'Measurement sheet'!I83</f>
        <v>2</v>
      </c>
      <c r="K14" s="113" t="str">
        <f>'Measurement sheet'!J83</f>
        <v>Each</v>
      </c>
      <c r="L14" s="113">
        <f>'Measurement sheet'!K83</f>
        <v>185.95</v>
      </c>
      <c r="M14" s="114">
        <f>'Measurement sheet'!L83</f>
        <v>371.9</v>
      </c>
    </row>
    <row r="15" spans="1:16" ht="168" customHeight="1" x14ac:dyDescent="0.25">
      <c r="A15" s="50">
        <v>12</v>
      </c>
      <c r="B15" s="29">
        <v>10.14</v>
      </c>
      <c r="C15" s="121" t="s">
        <v>95</v>
      </c>
      <c r="D15" s="122"/>
      <c r="E15" s="122"/>
      <c r="F15" s="122"/>
      <c r="G15" s="122"/>
      <c r="H15" s="122"/>
      <c r="I15" s="122"/>
      <c r="J15" s="113">
        <f>'Measurement sheet'!I85</f>
        <v>10.5</v>
      </c>
      <c r="K15" s="113" t="str">
        <f>'Measurement sheet'!J85</f>
        <v>Rm</v>
      </c>
      <c r="L15" s="113">
        <f>'Measurement sheet'!K85</f>
        <v>444.5</v>
      </c>
      <c r="M15" s="114">
        <f>'Measurement sheet'!L85</f>
        <v>4667.25</v>
      </c>
    </row>
    <row r="16" spans="1:16" ht="99.6" customHeight="1" x14ac:dyDescent="0.25">
      <c r="A16" s="50">
        <v>13</v>
      </c>
      <c r="B16" s="29">
        <v>9.1999999999999993</v>
      </c>
      <c r="C16" s="121" t="s">
        <v>96</v>
      </c>
      <c r="D16" s="122"/>
      <c r="E16" s="122"/>
      <c r="F16" s="122"/>
      <c r="G16" s="122"/>
      <c r="H16" s="122"/>
      <c r="I16" s="122"/>
      <c r="J16" s="113">
        <f>'Measurement sheet'!I87</f>
        <v>4.2</v>
      </c>
      <c r="K16" s="113" t="str">
        <f>'Measurement sheet'!J87</f>
        <v>Sqm</v>
      </c>
      <c r="L16" s="113">
        <f>'Measurement sheet'!K87</f>
        <v>3086.1</v>
      </c>
      <c r="M16" s="114">
        <f>'Measurement sheet'!L87</f>
        <v>12961.62</v>
      </c>
    </row>
    <row r="17" spans="1:13" ht="64.8" customHeight="1" x14ac:dyDescent="0.3">
      <c r="A17" s="50">
        <v>14</v>
      </c>
      <c r="B17" s="51">
        <v>9.9600000000000009</v>
      </c>
      <c r="C17" s="121" t="s">
        <v>97</v>
      </c>
      <c r="D17" s="121"/>
      <c r="E17" s="121"/>
      <c r="F17" s="121"/>
      <c r="G17" s="121"/>
      <c r="H17" s="121"/>
      <c r="I17" s="121"/>
      <c r="J17" s="19">
        <f>'Measurement sheet'!I89</f>
        <v>4</v>
      </c>
      <c r="K17" s="28" t="str">
        <f>'Measurement sheet'!J89</f>
        <v>Each</v>
      </c>
      <c r="L17" s="48">
        <f>'Measurement sheet'!K89</f>
        <v>260.3</v>
      </c>
      <c r="M17" s="20">
        <f>'Measurement sheet'!L89</f>
        <v>1041.2</v>
      </c>
    </row>
    <row r="18" spans="1:13" ht="75" customHeight="1" x14ac:dyDescent="0.25">
      <c r="A18" s="50">
        <v>15</v>
      </c>
      <c r="B18" s="51">
        <v>9.9700000000000006</v>
      </c>
      <c r="C18" s="121" t="s">
        <v>98</v>
      </c>
      <c r="D18" s="121"/>
      <c r="E18" s="121"/>
      <c r="F18" s="121"/>
      <c r="G18" s="121"/>
      <c r="H18" s="121"/>
      <c r="I18" s="121"/>
      <c r="J18" s="113">
        <f>'Measurement sheet'!I91</f>
        <v>2</v>
      </c>
      <c r="K18" s="113" t="str">
        <f>'Measurement sheet'!J91</f>
        <v>Each</v>
      </c>
      <c r="L18" s="113">
        <f>'Measurement sheet'!K91</f>
        <v>117.65</v>
      </c>
      <c r="M18" s="114">
        <f>'Measurement sheet'!L91</f>
        <v>235.3</v>
      </c>
    </row>
    <row r="19" spans="1:13" ht="69.599999999999994" customHeight="1" x14ac:dyDescent="0.25">
      <c r="A19" s="50">
        <v>16</v>
      </c>
      <c r="B19" s="118">
        <v>9.1</v>
      </c>
      <c r="C19" s="121" t="s">
        <v>99</v>
      </c>
      <c r="D19" s="121"/>
      <c r="E19" s="121"/>
      <c r="F19" s="121"/>
      <c r="G19" s="121"/>
      <c r="H19" s="121"/>
      <c r="I19" s="121"/>
      <c r="J19" s="113">
        <f>'Measurement sheet'!I93</f>
        <v>2</v>
      </c>
      <c r="K19" s="113" t="str">
        <f>'Measurement sheet'!J93</f>
        <v>Each</v>
      </c>
      <c r="L19" s="113">
        <f>'Measurement sheet'!K93</f>
        <v>60.05</v>
      </c>
      <c r="M19" s="114">
        <f>'Measurement sheet'!L93</f>
        <v>120.1</v>
      </c>
    </row>
    <row r="20" spans="1:13" ht="140.4" customHeight="1" x14ac:dyDescent="0.25">
      <c r="A20" s="50">
        <v>17</v>
      </c>
      <c r="B20" s="118">
        <v>9.1189999999999998</v>
      </c>
      <c r="C20" s="121" t="s">
        <v>65</v>
      </c>
      <c r="D20" s="121"/>
      <c r="E20" s="121"/>
      <c r="F20" s="121"/>
      <c r="G20" s="121"/>
      <c r="H20" s="121"/>
      <c r="I20" s="121"/>
      <c r="J20" s="113">
        <f>'Measurement sheet'!I98</f>
        <v>69.3</v>
      </c>
      <c r="K20" s="113" t="str">
        <f>'Measurement sheet'!J98</f>
        <v>R.M</v>
      </c>
      <c r="L20" s="113">
        <f>'Measurement sheet'!K98</f>
        <v>408.25</v>
      </c>
      <c r="M20" s="114">
        <f>'Measurement sheet'!L98</f>
        <v>28291.73</v>
      </c>
    </row>
    <row r="21" spans="1:13" ht="355.8" customHeight="1" x14ac:dyDescent="0.25">
      <c r="A21" s="50">
        <v>18</v>
      </c>
      <c r="B21" s="118">
        <v>9.1199999999999992</v>
      </c>
      <c r="C21" s="121" t="s">
        <v>138</v>
      </c>
      <c r="D21" s="121"/>
      <c r="E21" s="121"/>
      <c r="F21" s="121"/>
      <c r="G21" s="121"/>
      <c r="H21" s="121"/>
      <c r="I21" s="121"/>
      <c r="J21" s="113">
        <f>'Measurement sheet'!I103</f>
        <v>22.05</v>
      </c>
      <c r="K21" s="113" t="str">
        <f>'Measurement sheet'!J103</f>
        <v>Sqm</v>
      </c>
      <c r="L21" s="113">
        <f>'Measurement sheet'!K103</f>
        <v>2455.1</v>
      </c>
      <c r="M21" s="114">
        <f>'Measurement sheet'!L103</f>
        <v>54134.96</v>
      </c>
    </row>
    <row r="22" spans="1:13" ht="107.4" customHeight="1" x14ac:dyDescent="0.25">
      <c r="A22" s="50">
        <v>19</v>
      </c>
      <c r="B22" s="51">
        <v>10.16</v>
      </c>
      <c r="C22" s="121" t="s">
        <v>71</v>
      </c>
      <c r="D22" s="121"/>
      <c r="E22" s="121"/>
      <c r="F22" s="121"/>
      <c r="G22" s="121"/>
      <c r="H22" s="121"/>
      <c r="I22" s="121"/>
      <c r="J22" s="113">
        <f>'Measurement sheet'!I108</f>
        <v>281</v>
      </c>
      <c r="K22" s="113" t="str">
        <f>'Measurement sheet'!J108</f>
        <v>Kg</v>
      </c>
      <c r="L22" s="113">
        <f>'Measurement sheet'!K108</f>
        <v>168.95</v>
      </c>
      <c r="M22" s="114">
        <f>'Measurement sheet'!L108</f>
        <v>47474.95</v>
      </c>
    </row>
    <row r="23" spans="1:13" ht="167.4" customHeight="1" x14ac:dyDescent="0.25">
      <c r="A23" s="50">
        <v>20</v>
      </c>
      <c r="B23" s="51">
        <v>12.1</v>
      </c>
      <c r="C23" s="121" t="s">
        <v>90</v>
      </c>
      <c r="D23" s="121"/>
      <c r="E23" s="121"/>
      <c r="F23" s="121"/>
      <c r="G23" s="121"/>
      <c r="H23" s="121"/>
      <c r="I23" s="121"/>
      <c r="J23" s="113">
        <f>'Measurement sheet'!I112</f>
        <v>237.2</v>
      </c>
      <c r="K23" s="113" t="str">
        <f>'Measurement sheet'!J112</f>
        <v>Sqm</v>
      </c>
      <c r="L23" s="113">
        <f>'Measurement sheet'!K112</f>
        <v>1135.45</v>
      </c>
      <c r="M23" s="114">
        <f>'Measurement sheet'!L112</f>
        <v>269328.74</v>
      </c>
    </row>
    <row r="24" spans="1:13" ht="104.4" customHeight="1" x14ac:dyDescent="0.25">
      <c r="A24" s="50">
        <v>21</v>
      </c>
      <c r="B24" s="51">
        <v>12.4</v>
      </c>
      <c r="C24" s="121" t="s">
        <v>139</v>
      </c>
      <c r="D24" s="121"/>
      <c r="E24" s="121"/>
      <c r="F24" s="121"/>
      <c r="G24" s="121"/>
      <c r="H24" s="121"/>
      <c r="I24" s="121"/>
      <c r="J24" s="113">
        <f>'Measurement sheet'!I114</f>
        <v>20.5</v>
      </c>
      <c r="K24" s="113" t="str">
        <f>'Measurement sheet'!J114</f>
        <v>Mtr</v>
      </c>
      <c r="L24" s="113">
        <f>'Measurement sheet'!K114</f>
        <v>822.15</v>
      </c>
      <c r="M24" s="114">
        <f>'Measurement sheet'!L114</f>
        <v>16854.080000000002</v>
      </c>
    </row>
    <row r="25" spans="1:13" ht="409.6" customHeight="1" x14ac:dyDescent="0.25">
      <c r="A25" s="50">
        <v>22</v>
      </c>
      <c r="B25" s="51">
        <v>12.52</v>
      </c>
      <c r="C25" s="121" t="s">
        <v>39</v>
      </c>
      <c r="D25" s="122"/>
      <c r="E25" s="122"/>
      <c r="F25" s="122"/>
      <c r="G25" s="122"/>
      <c r="H25" s="122"/>
      <c r="I25" s="122"/>
      <c r="J25" s="113">
        <f>'Measurement sheet'!I123</f>
        <v>146.91999999999999</v>
      </c>
      <c r="K25" s="113" t="str">
        <f>'Measurement sheet'!J123</f>
        <v>Sqm</v>
      </c>
      <c r="L25" s="113">
        <f>'Measurement sheet'!K123</f>
        <v>1948.95</v>
      </c>
      <c r="M25" s="114">
        <f>'Measurement sheet'!L123</f>
        <v>286339.73</v>
      </c>
    </row>
    <row r="26" spans="1:13" ht="148.19999999999999" customHeight="1" x14ac:dyDescent="0.25">
      <c r="A26" s="50">
        <v>23</v>
      </c>
      <c r="B26" s="50">
        <v>17.3</v>
      </c>
      <c r="C26" s="121" t="s">
        <v>29</v>
      </c>
      <c r="D26" s="122"/>
      <c r="E26" s="122"/>
      <c r="F26" s="122"/>
      <c r="G26" s="122"/>
      <c r="H26" s="122"/>
      <c r="I26" s="122"/>
      <c r="J26" s="113">
        <f>'Measurement sheet'!I125</f>
        <v>8</v>
      </c>
      <c r="K26" s="113" t="str">
        <f>'Measurement sheet'!J125</f>
        <v>each</v>
      </c>
      <c r="L26" s="113">
        <f>'Measurement sheet'!K125</f>
        <v>6941.3</v>
      </c>
      <c r="M26" s="114">
        <f>'Measurement sheet'!L125</f>
        <v>55530.400000000001</v>
      </c>
    </row>
    <row r="27" spans="1:13" ht="93.6" customHeight="1" x14ac:dyDescent="0.25">
      <c r="A27" s="50">
        <v>24</v>
      </c>
      <c r="B27" s="50" t="s">
        <v>32</v>
      </c>
      <c r="C27" s="121" t="s">
        <v>81</v>
      </c>
      <c r="D27" s="122"/>
      <c r="E27" s="122"/>
      <c r="F27" s="122"/>
      <c r="G27" s="122"/>
      <c r="H27" s="122"/>
      <c r="I27" s="122"/>
      <c r="J27" s="113">
        <f>'Measurement sheet'!I127</f>
        <v>11</v>
      </c>
      <c r="K27" s="113" t="str">
        <f>'Measurement sheet'!J127</f>
        <v>each</v>
      </c>
      <c r="L27" s="113">
        <f>'Measurement sheet'!K127</f>
        <v>4542.3999999999996</v>
      </c>
      <c r="M27" s="114">
        <f>'Measurement sheet'!L127</f>
        <v>49966.400000000001</v>
      </c>
    </row>
    <row r="28" spans="1:13" ht="66.599999999999994" customHeight="1" x14ac:dyDescent="0.25">
      <c r="A28" s="50">
        <v>25</v>
      </c>
      <c r="B28" s="50" t="s">
        <v>30</v>
      </c>
      <c r="C28" s="121" t="s">
        <v>93</v>
      </c>
      <c r="D28" s="122"/>
      <c r="E28" s="122"/>
      <c r="F28" s="122"/>
      <c r="G28" s="122"/>
      <c r="H28" s="122"/>
      <c r="I28" s="122"/>
      <c r="J28" s="113">
        <f>'Measurement sheet'!I129</f>
        <v>8</v>
      </c>
      <c r="K28" s="113" t="str">
        <f>'Measurement sheet'!J129</f>
        <v xml:space="preserve">each </v>
      </c>
      <c r="L28" s="113">
        <f>'Measurement sheet'!K129</f>
        <v>6119.15</v>
      </c>
      <c r="M28" s="114">
        <f>'Measurement sheet'!L129</f>
        <v>48953.2</v>
      </c>
    </row>
    <row r="29" spans="1:13" ht="64.8" customHeight="1" x14ac:dyDescent="0.25">
      <c r="A29" s="50">
        <v>26</v>
      </c>
      <c r="B29" s="97">
        <v>17.309999999999999</v>
      </c>
      <c r="C29" s="121" t="s">
        <v>33</v>
      </c>
      <c r="D29" s="122"/>
      <c r="E29" s="122"/>
      <c r="F29" s="122"/>
      <c r="G29" s="122"/>
      <c r="H29" s="122"/>
      <c r="I29" s="122"/>
      <c r="J29" s="113">
        <f>'Measurement sheet'!I131</f>
        <v>10</v>
      </c>
      <c r="K29" s="113" t="str">
        <f>'Measurement sheet'!J131</f>
        <v xml:space="preserve">each </v>
      </c>
      <c r="L29" s="113">
        <f>'Measurement sheet'!K131</f>
        <v>1411.15</v>
      </c>
      <c r="M29" s="114">
        <f>'Measurement sheet'!L131</f>
        <v>14111.5</v>
      </c>
    </row>
    <row r="30" spans="1:13" ht="58.2" customHeight="1" x14ac:dyDescent="0.25">
      <c r="A30" s="50">
        <v>27</v>
      </c>
      <c r="B30" s="50" t="s">
        <v>34</v>
      </c>
      <c r="C30" s="121" t="s">
        <v>80</v>
      </c>
      <c r="D30" s="121"/>
      <c r="E30" s="121"/>
      <c r="F30" s="121"/>
      <c r="G30" s="121"/>
      <c r="H30" s="121"/>
      <c r="I30" s="121"/>
      <c r="J30" s="117">
        <f>'Measurement sheet'!I133</f>
        <v>8</v>
      </c>
      <c r="K30" s="113" t="str">
        <f>'Measurement sheet'!J133</f>
        <v xml:space="preserve">each </v>
      </c>
      <c r="L30" s="113">
        <f>'Measurement sheet'!K133</f>
        <v>299.35000000000002</v>
      </c>
      <c r="M30" s="114">
        <f>'Measurement sheet'!L133</f>
        <v>2394.8000000000002</v>
      </c>
    </row>
    <row r="31" spans="1:13" ht="55.8" customHeight="1" x14ac:dyDescent="0.25">
      <c r="A31" s="50">
        <v>28</v>
      </c>
      <c r="B31" s="119">
        <v>18.489999999999998</v>
      </c>
      <c r="C31" s="121" t="s">
        <v>130</v>
      </c>
      <c r="D31" s="122"/>
      <c r="E31" s="122"/>
      <c r="F31" s="122"/>
      <c r="G31" s="122"/>
      <c r="H31" s="122"/>
      <c r="I31" s="122"/>
      <c r="J31" s="113">
        <f>'Measurement sheet'!I135</f>
        <v>12</v>
      </c>
      <c r="K31" s="113" t="str">
        <f>'Measurement sheet'!J135</f>
        <v xml:space="preserve">each </v>
      </c>
      <c r="L31" s="113">
        <f>'Measurement sheet'!K135</f>
        <v>434.2</v>
      </c>
      <c r="M31" s="114">
        <f>'Measurement sheet'!L135</f>
        <v>5210.3999999999996</v>
      </c>
    </row>
    <row r="32" spans="1:13" ht="70.2" customHeight="1" x14ac:dyDescent="0.25">
      <c r="A32" s="50">
        <v>29</v>
      </c>
      <c r="B32" s="97">
        <v>17.71</v>
      </c>
      <c r="C32" s="121" t="s">
        <v>79</v>
      </c>
      <c r="D32" s="122"/>
      <c r="E32" s="122"/>
      <c r="F32" s="122"/>
      <c r="G32" s="122"/>
      <c r="H32" s="122"/>
      <c r="I32" s="122"/>
      <c r="J32" s="113">
        <f>'Measurement sheet'!I137</f>
        <v>8</v>
      </c>
      <c r="K32" s="113" t="str">
        <f>'Measurement sheet'!J137</f>
        <v xml:space="preserve">each </v>
      </c>
      <c r="L32" s="113">
        <f>'Measurement sheet'!K137</f>
        <v>146.30000000000001</v>
      </c>
      <c r="M32" s="114">
        <f>'Measurement sheet'!L137</f>
        <v>1170.4000000000001</v>
      </c>
    </row>
    <row r="33" spans="1:15" ht="36" customHeight="1" x14ac:dyDescent="0.25">
      <c r="A33" s="50">
        <v>30</v>
      </c>
      <c r="B33" s="50"/>
      <c r="C33" s="121" t="s">
        <v>226</v>
      </c>
      <c r="D33" s="122"/>
      <c r="E33" s="122"/>
      <c r="F33" s="122"/>
      <c r="G33" s="122"/>
      <c r="H33" s="122"/>
      <c r="I33" s="122"/>
      <c r="J33" s="113">
        <f>'Measurement sheet'!I140</f>
        <v>16</v>
      </c>
      <c r="K33" s="113" t="str">
        <f>'Measurement sheet'!J140</f>
        <v>Sqm</v>
      </c>
      <c r="L33" s="113">
        <f>'Measurement sheet'!K140</f>
        <v>17200</v>
      </c>
      <c r="M33" s="114">
        <f>'Measurement sheet'!L140</f>
        <v>275200</v>
      </c>
    </row>
    <row r="34" spans="1:15" ht="135.6" customHeight="1" x14ac:dyDescent="0.25">
      <c r="A34" s="50">
        <v>31</v>
      </c>
      <c r="B34" s="97">
        <v>16.78</v>
      </c>
      <c r="C34" s="121" t="s">
        <v>91</v>
      </c>
      <c r="D34" s="122"/>
      <c r="E34" s="122"/>
      <c r="F34" s="122"/>
      <c r="G34" s="122"/>
      <c r="H34" s="122"/>
      <c r="I34" s="122"/>
      <c r="J34" s="113">
        <f>'Measurement sheet'!I142</f>
        <v>28.9</v>
      </c>
      <c r="K34" s="113" t="str">
        <f>'Measurement sheet'!J142</f>
        <v>Cum</v>
      </c>
      <c r="L34" s="113">
        <f>'Measurement sheet'!K142</f>
        <v>2658.1</v>
      </c>
      <c r="M34" s="114">
        <f>'Measurement sheet'!L142</f>
        <v>76819.09</v>
      </c>
    </row>
    <row r="35" spans="1:15" ht="99" customHeight="1" x14ac:dyDescent="0.25">
      <c r="A35" s="50">
        <v>32</v>
      </c>
      <c r="B35" s="97">
        <v>16.68</v>
      </c>
      <c r="C35" s="121" t="s">
        <v>92</v>
      </c>
      <c r="D35" s="122"/>
      <c r="E35" s="122"/>
      <c r="F35" s="122"/>
      <c r="G35" s="122"/>
      <c r="H35" s="122"/>
      <c r="I35" s="122"/>
      <c r="J35" s="113">
        <f>'Measurement sheet'!I144</f>
        <v>289</v>
      </c>
      <c r="K35" s="113" t="str">
        <f>'Measurement sheet'!J144</f>
        <v>Sqm</v>
      </c>
      <c r="L35" s="113">
        <f>'Measurement sheet'!K144</f>
        <v>951</v>
      </c>
      <c r="M35" s="28">
        <f>'Measurement sheet'!L144</f>
        <v>274839</v>
      </c>
    </row>
    <row r="36" spans="1:15" ht="30.6" customHeight="1" x14ac:dyDescent="0.25">
      <c r="A36" s="50">
        <v>33</v>
      </c>
      <c r="B36" s="50"/>
      <c r="C36" s="121" t="s">
        <v>41</v>
      </c>
      <c r="D36" s="121"/>
      <c r="E36" s="121"/>
      <c r="F36" s="121"/>
      <c r="G36" s="121"/>
      <c r="H36" s="121"/>
      <c r="I36" s="121"/>
      <c r="J36" s="18"/>
      <c r="K36" s="54"/>
      <c r="L36" s="113"/>
      <c r="M36" s="114">
        <v>20100</v>
      </c>
    </row>
    <row r="37" spans="1:15" ht="13.5" customHeight="1" x14ac:dyDescent="0.25">
      <c r="A37" s="123" t="s">
        <v>43</v>
      </c>
      <c r="B37" s="123"/>
      <c r="C37" s="123"/>
      <c r="D37" s="123"/>
      <c r="E37" s="123"/>
      <c r="F37" s="123"/>
      <c r="G37" s="123"/>
      <c r="H37" s="123"/>
      <c r="I37" s="123"/>
      <c r="J37" s="123"/>
      <c r="K37" s="123"/>
      <c r="L37" s="123"/>
      <c r="M37" s="120">
        <f>ROUND(SUM(M4:M36),0)</f>
        <v>2297170</v>
      </c>
      <c r="N37" s="5"/>
      <c r="O37" s="5"/>
    </row>
    <row r="39" spans="1:15" ht="15" customHeight="1" x14ac:dyDescent="0.25">
      <c r="C39" s="124" t="s">
        <v>220</v>
      </c>
      <c r="D39" s="124"/>
      <c r="E39" s="124"/>
      <c r="F39" s="124"/>
      <c r="G39" s="124"/>
      <c r="H39" s="124"/>
      <c r="I39" s="124"/>
      <c r="J39" s="124"/>
      <c r="K39" s="124"/>
      <c r="L39" s="124"/>
    </row>
  </sheetData>
  <mergeCells count="38">
    <mergeCell ref="C39:L39"/>
    <mergeCell ref="A2:M2"/>
    <mergeCell ref="C5:I5"/>
    <mergeCell ref="C10:I10"/>
    <mergeCell ref="A1:M1"/>
    <mergeCell ref="C4:I4"/>
    <mergeCell ref="C12:I12"/>
    <mergeCell ref="C11:I11"/>
    <mergeCell ref="C7:I7"/>
    <mergeCell ref="C8:I8"/>
    <mergeCell ref="C6:I6"/>
    <mergeCell ref="C9:I9"/>
    <mergeCell ref="C3:I3"/>
    <mergeCell ref="C16:I16"/>
    <mergeCell ref="C25:I25"/>
    <mergeCell ref="C15:I15"/>
    <mergeCell ref="C14:I14"/>
    <mergeCell ref="C13:I13"/>
    <mergeCell ref="C21:I21"/>
    <mergeCell ref="C22:I22"/>
    <mergeCell ref="C17:I17"/>
    <mergeCell ref="C18:I18"/>
    <mergeCell ref="C19:I19"/>
    <mergeCell ref="C20:I20"/>
    <mergeCell ref="C36:I36"/>
    <mergeCell ref="A37:L37"/>
    <mergeCell ref="C32:I32"/>
    <mergeCell ref="C33:I33"/>
    <mergeCell ref="C30:I30"/>
    <mergeCell ref="C31:I31"/>
    <mergeCell ref="C35:I35"/>
    <mergeCell ref="C34:I34"/>
    <mergeCell ref="C28:I28"/>
    <mergeCell ref="C29:I29"/>
    <mergeCell ref="C26:I26"/>
    <mergeCell ref="C27:I27"/>
    <mergeCell ref="C23:I23"/>
    <mergeCell ref="C24:I24"/>
  </mergeCells>
  <pageMargins left="0.51" right="7.0000000000000007E-2" top="0.53" bottom="0.47244094488188981" header="7.874015748031496E-2" footer="0.31496062992125984"/>
  <pageSetup paperSize="9" scale="96" orientation="portrait" r:id="rId1"/>
  <rowBreaks count="2" manualBreakCount="2">
    <brk id="12" max="12" man="1"/>
    <brk id="20"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3"/>
  <sheetViews>
    <sheetView workbookViewId="0">
      <selection activeCell="E15" sqref="E15:H17"/>
    </sheetView>
  </sheetViews>
  <sheetFormatPr defaultColWidth="8.88671875" defaultRowHeight="13.8" x14ac:dyDescent="0.25"/>
  <cols>
    <col min="1" max="1" width="6.44140625" style="7" customWidth="1"/>
    <col min="2" max="7" width="10.6640625" style="5" customWidth="1"/>
    <col min="8" max="8" width="19.109375" style="5" customWidth="1"/>
    <col min="9" max="10" width="8.88671875" style="5"/>
    <col min="11" max="11" width="13.33203125" style="5" bestFit="1" customWidth="1"/>
    <col min="12" max="12" width="8.88671875" style="5"/>
    <col min="13" max="13" width="13.33203125" style="5" bestFit="1" customWidth="1"/>
    <col min="14" max="16384" width="8.88671875" style="5"/>
  </cols>
  <sheetData>
    <row r="1" spans="1:13" ht="24" customHeight="1" x14ac:dyDescent="0.25">
      <c r="A1" s="174" t="s">
        <v>212</v>
      </c>
      <c r="B1" s="174"/>
      <c r="C1" s="174"/>
      <c r="D1" s="174"/>
      <c r="E1" s="174"/>
      <c r="F1" s="174"/>
      <c r="G1" s="174"/>
      <c r="H1" s="174"/>
    </row>
    <row r="2" spans="1:13" ht="18.600000000000001" customHeight="1" x14ac:dyDescent="0.25">
      <c r="A2" s="175" t="s">
        <v>23</v>
      </c>
      <c r="B2" s="175"/>
      <c r="C2" s="175"/>
      <c r="D2" s="175"/>
      <c r="E2" s="175"/>
      <c r="F2" s="175"/>
      <c r="G2" s="175"/>
      <c r="H2" s="175"/>
    </row>
    <row r="3" spans="1:13" s="6" customFormat="1" ht="15.6" x14ac:dyDescent="0.3">
      <c r="A3" s="1" t="s">
        <v>0</v>
      </c>
      <c r="B3" s="176" t="s">
        <v>20</v>
      </c>
      <c r="C3" s="176"/>
      <c r="D3" s="176"/>
      <c r="E3" s="176"/>
      <c r="F3" s="176"/>
      <c r="G3" s="176"/>
      <c r="H3" s="1" t="s">
        <v>1</v>
      </c>
    </row>
    <row r="4" spans="1:13" ht="22.2" customHeight="1" x14ac:dyDescent="0.3">
      <c r="A4" s="2">
        <v>1</v>
      </c>
      <c r="B4" s="178" t="s">
        <v>216</v>
      </c>
      <c r="C4" s="178"/>
      <c r="D4" s="178"/>
      <c r="E4" s="178"/>
      <c r="F4" s="178"/>
      <c r="G4" s="178"/>
      <c r="H4" s="13">
        <f>+'BOQ1'!M37</f>
        <v>2297170</v>
      </c>
    </row>
    <row r="5" spans="1:13" ht="22.2" customHeight="1" x14ac:dyDescent="0.3">
      <c r="A5" s="2">
        <v>2</v>
      </c>
      <c r="B5" s="178" t="s">
        <v>217</v>
      </c>
      <c r="C5" s="178"/>
      <c r="D5" s="178"/>
      <c r="E5" s="178"/>
      <c r="F5" s="178"/>
      <c r="G5" s="178"/>
      <c r="H5" s="13">
        <f>+Electrical!G29</f>
        <v>521703</v>
      </c>
    </row>
    <row r="6" spans="1:13" ht="15.6" x14ac:dyDescent="0.3">
      <c r="A6" s="2">
        <v>3</v>
      </c>
      <c r="B6" s="173" t="s">
        <v>101</v>
      </c>
      <c r="C6" s="173"/>
      <c r="D6" s="173"/>
      <c r="E6" s="173"/>
      <c r="F6" s="173"/>
      <c r="G6" s="173"/>
      <c r="H6" s="15">
        <v>559950</v>
      </c>
    </row>
    <row r="7" spans="1:13" ht="19.95" customHeight="1" x14ac:dyDescent="0.3">
      <c r="A7" s="2">
        <v>4</v>
      </c>
      <c r="B7" s="177" t="s">
        <v>218</v>
      </c>
      <c r="C7" s="177"/>
      <c r="D7" s="177"/>
      <c r="E7" s="177"/>
      <c r="F7" s="177"/>
      <c r="G7" s="177"/>
      <c r="H7" s="14">
        <f>SUM(H4:H6)</f>
        <v>3378823</v>
      </c>
    </row>
    <row r="8" spans="1:13" ht="20.399999999999999" customHeight="1" x14ac:dyDescent="0.3">
      <c r="A8" s="2">
        <v>5</v>
      </c>
      <c r="B8" s="173" t="s">
        <v>102</v>
      </c>
      <c r="C8" s="173"/>
      <c r="D8" s="173"/>
      <c r="E8" s="173"/>
      <c r="F8" s="173"/>
      <c r="G8" s="173"/>
      <c r="H8" s="15">
        <f>H7*5%</f>
        <v>168941.15</v>
      </c>
      <c r="M8" s="5">
        <v>2297171.4513428998</v>
      </c>
    </row>
    <row r="9" spans="1:13" ht="20.399999999999999" customHeight="1" x14ac:dyDescent="0.3">
      <c r="A9" s="2">
        <v>6</v>
      </c>
      <c r="B9" s="177" t="s">
        <v>24</v>
      </c>
      <c r="C9" s="177"/>
      <c r="D9" s="177"/>
      <c r="E9" s="177"/>
      <c r="F9" s="177"/>
      <c r="G9" s="177"/>
      <c r="H9" s="16">
        <f>H8+H7</f>
        <v>3547764.15</v>
      </c>
    </row>
    <row r="10" spans="1:13" ht="20.399999999999999" customHeight="1" x14ac:dyDescent="0.3">
      <c r="A10" s="2">
        <v>7</v>
      </c>
      <c r="B10" s="173" t="s">
        <v>25</v>
      </c>
      <c r="C10" s="173"/>
      <c r="D10" s="173"/>
      <c r="E10" s="173"/>
      <c r="F10" s="173"/>
      <c r="G10" s="173"/>
      <c r="H10" s="16">
        <f>ROUND(H9,-1)</f>
        <v>3547760</v>
      </c>
      <c r="J10" s="5" t="s">
        <v>37</v>
      </c>
    </row>
    <row r="11" spans="1:13" ht="21" customHeight="1" x14ac:dyDescent="0.25">
      <c r="A11" s="181" t="s">
        <v>221</v>
      </c>
      <c r="B11" s="181"/>
      <c r="C11" s="181"/>
      <c r="D11" s="181"/>
      <c r="E11" s="181"/>
      <c r="F11" s="181"/>
      <c r="G11" s="181"/>
      <c r="H11" s="181"/>
    </row>
    <row r="12" spans="1:13" ht="14.25" customHeight="1" x14ac:dyDescent="0.3">
      <c r="A12" s="4"/>
      <c r="B12" s="3"/>
      <c r="C12" s="3"/>
      <c r="D12" s="3"/>
      <c r="E12" s="3"/>
      <c r="F12" s="3"/>
      <c r="G12" s="3"/>
      <c r="H12" s="3"/>
      <c r="M12" s="5">
        <v>15000000</v>
      </c>
    </row>
    <row r="13" spans="1:13" ht="14.25" customHeight="1" x14ac:dyDescent="0.3">
      <c r="A13" s="4"/>
      <c r="B13" s="3"/>
      <c r="C13" s="3"/>
      <c r="D13" s="3"/>
      <c r="E13" s="3"/>
      <c r="F13" s="3"/>
      <c r="G13" s="3"/>
      <c r="H13" s="3"/>
      <c r="M13" s="8">
        <f>M12-H10</f>
        <v>11452240</v>
      </c>
    </row>
    <row r="14" spans="1:13" ht="14.25" customHeight="1" x14ac:dyDescent="0.3">
      <c r="A14" s="4"/>
      <c r="B14" s="3"/>
      <c r="C14" s="3"/>
      <c r="D14" s="3"/>
      <c r="E14" s="3"/>
      <c r="F14" s="3"/>
      <c r="G14" s="3"/>
      <c r="H14" s="3"/>
    </row>
    <row r="15" spans="1:13" ht="14.25" customHeight="1" x14ac:dyDescent="0.25">
      <c r="A15" s="179" t="s">
        <v>131</v>
      </c>
      <c r="B15" s="179"/>
      <c r="C15" s="179"/>
      <c r="D15" s="179"/>
      <c r="E15" s="180" t="s">
        <v>132</v>
      </c>
      <c r="F15" s="180"/>
      <c r="G15" s="180"/>
      <c r="H15" s="180"/>
    </row>
    <row r="16" spans="1:13" ht="14.25" customHeight="1" x14ac:dyDescent="0.25">
      <c r="A16" s="179"/>
      <c r="B16" s="179"/>
      <c r="C16" s="179"/>
      <c r="D16" s="179"/>
      <c r="E16" s="180"/>
      <c r="F16" s="180"/>
      <c r="G16" s="180"/>
      <c r="H16" s="180"/>
    </row>
    <row r="17" spans="1:8" ht="14.25" customHeight="1" x14ac:dyDescent="0.25">
      <c r="A17" s="179"/>
      <c r="B17" s="179"/>
      <c r="C17" s="179"/>
      <c r="D17" s="179"/>
      <c r="E17" s="180"/>
      <c r="F17" s="180"/>
      <c r="G17" s="180"/>
      <c r="H17" s="180"/>
    </row>
    <row r="18" spans="1:8" ht="14.25" customHeight="1" x14ac:dyDescent="0.3">
      <c r="D18" s="3"/>
    </row>
    <row r="19" spans="1:8" ht="14.25" customHeight="1" x14ac:dyDescent="0.25"/>
    <row r="20" spans="1:8" ht="14.25" customHeight="1" x14ac:dyDescent="0.25"/>
    <row r="21" spans="1:8" ht="14.25" customHeight="1" x14ac:dyDescent="0.25"/>
    <row r="22" spans="1:8" ht="14.25" customHeight="1" x14ac:dyDescent="0.25"/>
    <row r="23" spans="1:8" ht="14.25" customHeight="1" x14ac:dyDescent="0.25"/>
    <row r="24" spans="1:8" ht="14.25" customHeight="1" x14ac:dyDescent="0.25"/>
    <row r="25" spans="1:8" ht="14.25" customHeight="1" x14ac:dyDescent="0.25"/>
    <row r="26" spans="1:8" ht="14.25" customHeight="1" x14ac:dyDescent="0.25"/>
    <row r="27" spans="1:8" ht="14.25" customHeight="1" x14ac:dyDescent="0.25"/>
    <row r="28" spans="1:8" ht="14.25" customHeight="1" x14ac:dyDescent="0.25"/>
    <row r="29" spans="1:8" ht="14.25" customHeight="1" x14ac:dyDescent="0.25"/>
    <row r="30" spans="1:8" ht="14.25" customHeight="1" x14ac:dyDescent="0.25"/>
    <row r="31" spans="1:8" ht="14.25" customHeight="1" x14ac:dyDescent="0.25"/>
    <row r="32" spans="1:8"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sheetData>
  <mergeCells count="13">
    <mergeCell ref="A15:D17"/>
    <mergeCell ref="E15:H17"/>
    <mergeCell ref="B8:G8"/>
    <mergeCell ref="A11:H11"/>
    <mergeCell ref="B9:G9"/>
    <mergeCell ref="B10:G10"/>
    <mergeCell ref="B6:G6"/>
    <mergeCell ref="A1:H1"/>
    <mergeCell ref="A2:H2"/>
    <mergeCell ref="B3:G3"/>
    <mergeCell ref="B7:G7"/>
    <mergeCell ref="B4:G4"/>
    <mergeCell ref="B5:G5"/>
  </mergeCells>
  <pageMargins left="0.63" right="0.28000000000000003" top="0.74803149606299213" bottom="0.74803149606299213"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
  <sheetViews>
    <sheetView topLeftCell="A16" workbookViewId="0">
      <selection activeCell="C27" sqref="C27"/>
    </sheetView>
  </sheetViews>
  <sheetFormatPr defaultRowHeight="12.6" x14ac:dyDescent="0.25"/>
  <cols>
    <col min="1" max="1" width="4" style="61" customWidth="1"/>
    <col min="2" max="2" width="6.33203125" style="61" customWidth="1"/>
    <col min="3" max="3" width="54.5546875" style="61" customWidth="1"/>
    <col min="4" max="4" width="4.88671875" style="61" customWidth="1"/>
    <col min="5" max="5" width="7.5546875" style="61" customWidth="1"/>
    <col min="6" max="6" width="5.6640625" style="61" customWidth="1"/>
    <col min="7" max="7" width="10.88671875" style="61" customWidth="1"/>
    <col min="8" max="9" width="8.88671875" style="61"/>
    <col min="10" max="10" width="12" style="61" bestFit="1" customWidth="1"/>
    <col min="11" max="11" width="10.6640625" style="61" customWidth="1"/>
    <col min="12" max="16384" width="8.88671875" style="61"/>
  </cols>
  <sheetData>
    <row r="1" spans="1:10" ht="23.4" customHeight="1" x14ac:dyDescent="0.25">
      <c r="A1" s="185" t="s">
        <v>222</v>
      </c>
      <c r="B1" s="185"/>
      <c r="C1" s="185"/>
      <c r="D1" s="185"/>
      <c r="E1" s="185"/>
      <c r="F1" s="185"/>
      <c r="G1" s="185"/>
    </row>
    <row r="2" spans="1:10" ht="18" customHeight="1" x14ac:dyDescent="0.25">
      <c r="A2" s="186" t="s">
        <v>215</v>
      </c>
      <c r="B2" s="186"/>
      <c r="C2" s="186"/>
      <c r="D2" s="186"/>
      <c r="E2" s="186"/>
      <c r="F2" s="186"/>
      <c r="G2" s="186"/>
    </row>
    <row r="3" spans="1:10" ht="30" customHeight="1" x14ac:dyDescent="0.25">
      <c r="A3" s="100" t="s">
        <v>140</v>
      </c>
      <c r="B3" s="62" t="s">
        <v>141</v>
      </c>
      <c r="C3" s="62" t="s">
        <v>142</v>
      </c>
      <c r="D3" s="62" t="s">
        <v>11</v>
      </c>
      <c r="E3" s="62" t="s">
        <v>143</v>
      </c>
      <c r="F3" s="62" t="s">
        <v>144</v>
      </c>
      <c r="G3" s="62" t="s">
        <v>12</v>
      </c>
    </row>
    <row r="4" spans="1:10" ht="63" customHeight="1" x14ac:dyDescent="0.25">
      <c r="A4" s="182">
        <v>1</v>
      </c>
      <c r="B4" s="63" t="s">
        <v>219</v>
      </c>
      <c r="C4" s="64" t="s">
        <v>145</v>
      </c>
      <c r="D4" s="65"/>
      <c r="E4" s="65"/>
      <c r="F4" s="66"/>
      <c r="G4" s="65"/>
      <c r="J4" s="67"/>
    </row>
    <row r="5" spans="1:10" x14ac:dyDescent="0.25">
      <c r="A5" s="184"/>
      <c r="B5" s="63" t="s">
        <v>146</v>
      </c>
      <c r="C5" s="64" t="s">
        <v>147</v>
      </c>
      <c r="D5" s="65" t="s">
        <v>148</v>
      </c>
      <c r="E5" s="68">
        <v>1015</v>
      </c>
      <c r="F5" s="66">
        <v>15</v>
      </c>
      <c r="G5" s="93">
        <f>E5*F5</f>
        <v>15225</v>
      </c>
      <c r="H5" s="70"/>
      <c r="J5" s="67"/>
    </row>
    <row r="6" spans="1:10" ht="51.6" customHeight="1" x14ac:dyDescent="0.25">
      <c r="A6" s="71">
        <v>2</v>
      </c>
      <c r="B6" s="63">
        <v>1.1200000000000001</v>
      </c>
      <c r="C6" s="64" t="s">
        <v>149</v>
      </c>
      <c r="D6" s="65" t="s">
        <v>150</v>
      </c>
      <c r="E6" s="68">
        <v>334</v>
      </c>
      <c r="F6" s="66">
        <v>180</v>
      </c>
      <c r="G6" s="93">
        <f>E6*F6</f>
        <v>60120</v>
      </c>
      <c r="H6" s="70"/>
    </row>
    <row r="7" spans="1:10" ht="37.799999999999997" customHeight="1" x14ac:dyDescent="0.25">
      <c r="A7" s="182">
        <v>3</v>
      </c>
      <c r="B7" s="63">
        <v>1.1399999999999999</v>
      </c>
      <c r="C7" s="64" t="s">
        <v>151</v>
      </c>
      <c r="D7" s="65"/>
      <c r="E7" s="65"/>
      <c r="F7" s="66"/>
      <c r="G7" s="93"/>
      <c r="H7" s="70"/>
    </row>
    <row r="8" spans="1:10" x14ac:dyDescent="0.25">
      <c r="A8" s="183"/>
      <c r="B8" s="63" t="s">
        <v>152</v>
      </c>
      <c r="C8" s="64" t="s">
        <v>153</v>
      </c>
      <c r="D8" s="72" t="s">
        <v>150</v>
      </c>
      <c r="E8" s="68">
        <v>275</v>
      </c>
      <c r="F8" s="66">
        <v>150</v>
      </c>
      <c r="G8" s="93">
        <f>E8*F8</f>
        <v>41250</v>
      </c>
      <c r="H8" s="70"/>
      <c r="J8" s="67"/>
    </row>
    <row r="9" spans="1:10" x14ac:dyDescent="0.25">
      <c r="A9" s="184"/>
      <c r="B9" s="63" t="s">
        <v>154</v>
      </c>
      <c r="C9" s="64" t="s">
        <v>155</v>
      </c>
      <c r="D9" s="72" t="s">
        <v>150</v>
      </c>
      <c r="E9" s="68">
        <v>439</v>
      </c>
      <c r="F9" s="66">
        <v>40</v>
      </c>
      <c r="G9" s="93">
        <f>E9*F9</f>
        <v>17560</v>
      </c>
      <c r="H9" s="70"/>
      <c r="J9" s="67"/>
    </row>
    <row r="10" spans="1:10" ht="39" customHeight="1" x14ac:dyDescent="0.25">
      <c r="A10" s="182">
        <v>4</v>
      </c>
      <c r="B10" s="63">
        <v>1.24</v>
      </c>
      <c r="C10" s="64" t="s">
        <v>156</v>
      </c>
      <c r="D10" s="72"/>
      <c r="E10" s="68"/>
      <c r="F10" s="66"/>
      <c r="G10" s="93"/>
      <c r="H10" s="70"/>
      <c r="J10" s="67"/>
    </row>
    <row r="11" spans="1:10" x14ac:dyDescent="0.25">
      <c r="A11" s="183"/>
      <c r="B11" s="63" t="s">
        <v>157</v>
      </c>
      <c r="C11" s="64" t="s">
        <v>158</v>
      </c>
      <c r="D11" s="72" t="s">
        <v>19</v>
      </c>
      <c r="E11" s="68">
        <v>103</v>
      </c>
      <c r="F11" s="66">
        <v>4</v>
      </c>
      <c r="G11" s="93">
        <f t="shared" ref="G11:G15" si="0">E11*F11</f>
        <v>412</v>
      </c>
      <c r="H11" s="70"/>
      <c r="J11" s="67"/>
    </row>
    <row r="12" spans="1:10" x14ac:dyDescent="0.25">
      <c r="A12" s="183"/>
      <c r="B12" s="63" t="s">
        <v>159</v>
      </c>
      <c r="C12" s="64" t="s">
        <v>160</v>
      </c>
      <c r="D12" s="72" t="s">
        <v>19</v>
      </c>
      <c r="E12" s="68">
        <v>156</v>
      </c>
      <c r="F12" s="66">
        <v>12</v>
      </c>
      <c r="G12" s="93">
        <f t="shared" si="0"/>
        <v>1872</v>
      </c>
      <c r="H12" s="70"/>
      <c r="J12" s="67"/>
    </row>
    <row r="13" spans="1:10" x14ac:dyDescent="0.25">
      <c r="A13" s="183"/>
      <c r="B13" s="63" t="s">
        <v>161</v>
      </c>
      <c r="C13" s="64" t="s">
        <v>162</v>
      </c>
      <c r="D13" s="72" t="s">
        <v>19</v>
      </c>
      <c r="E13" s="68">
        <v>122</v>
      </c>
      <c r="F13" s="66">
        <v>4</v>
      </c>
      <c r="G13" s="93">
        <f t="shared" si="0"/>
        <v>488</v>
      </c>
      <c r="H13" s="70"/>
      <c r="J13" s="67"/>
    </row>
    <row r="14" spans="1:10" x14ac:dyDescent="0.25">
      <c r="A14" s="184"/>
      <c r="B14" s="63" t="s">
        <v>163</v>
      </c>
      <c r="C14" s="64" t="s">
        <v>164</v>
      </c>
      <c r="D14" s="72" t="s">
        <v>19</v>
      </c>
      <c r="E14" s="68">
        <v>197</v>
      </c>
      <c r="F14" s="66">
        <v>12</v>
      </c>
      <c r="G14" s="93">
        <f t="shared" si="0"/>
        <v>2364</v>
      </c>
      <c r="H14" s="70"/>
      <c r="J14" s="67"/>
    </row>
    <row r="15" spans="1:10" ht="39" customHeight="1" x14ac:dyDescent="0.25">
      <c r="A15" s="71">
        <v>5</v>
      </c>
      <c r="B15" s="63">
        <v>1.25</v>
      </c>
      <c r="C15" s="64" t="s">
        <v>165</v>
      </c>
      <c r="D15" s="72" t="s">
        <v>19</v>
      </c>
      <c r="E15" s="68">
        <v>369</v>
      </c>
      <c r="F15" s="66">
        <v>4</v>
      </c>
      <c r="G15" s="93">
        <f t="shared" si="0"/>
        <v>1476</v>
      </c>
      <c r="H15" s="70"/>
      <c r="J15" s="67"/>
    </row>
    <row r="16" spans="1:10" ht="27.6" customHeight="1" x14ac:dyDescent="0.25">
      <c r="A16" s="182">
        <v>6</v>
      </c>
      <c r="B16" s="63">
        <v>1.27</v>
      </c>
      <c r="C16" s="64" t="s">
        <v>166</v>
      </c>
      <c r="D16" s="72"/>
      <c r="E16" s="73"/>
      <c r="F16" s="66"/>
      <c r="G16" s="93"/>
      <c r="H16" s="70"/>
      <c r="J16" s="74"/>
    </row>
    <row r="17" spans="1:10" x14ac:dyDescent="0.25">
      <c r="A17" s="183"/>
      <c r="B17" s="63" t="s">
        <v>167</v>
      </c>
      <c r="C17" s="64" t="s">
        <v>168</v>
      </c>
      <c r="D17" s="72" t="s">
        <v>19</v>
      </c>
      <c r="E17" s="68">
        <v>298</v>
      </c>
      <c r="F17" s="66">
        <v>8</v>
      </c>
      <c r="G17" s="93">
        <f>E17*F17</f>
        <v>2384</v>
      </c>
      <c r="H17" s="70"/>
      <c r="J17" s="67"/>
    </row>
    <row r="18" spans="1:10" x14ac:dyDescent="0.25">
      <c r="A18" s="183"/>
      <c r="B18" s="63" t="s">
        <v>169</v>
      </c>
      <c r="C18" s="75" t="s">
        <v>170</v>
      </c>
      <c r="D18" s="72" t="s">
        <v>19</v>
      </c>
      <c r="E18" s="76">
        <v>343</v>
      </c>
      <c r="F18" s="66">
        <v>4</v>
      </c>
      <c r="G18" s="93">
        <f>E18*F18</f>
        <v>1372</v>
      </c>
      <c r="H18" s="70"/>
      <c r="J18" s="67"/>
    </row>
    <row r="19" spans="1:10" x14ac:dyDescent="0.25">
      <c r="A19" s="184"/>
      <c r="B19" s="63" t="s">
        <v>171</v>
      </c>
      <c r="C19" s="64" t="s">
        <v>172</v>
      </c>
      <c r="D19" s="72" t="s">
        <v>19</v>
      </c>
      <c r="E19" s="68">
        <v>547</v>
      </c>
      <c r="F19" s="65">
        <v>2</v>
      </c>
      <c r="G19" s="93">
        <f>E19*F19</f>
        <v>1094</v>
      </c>
      <c r="H19" s="70"/>
      <c r="J19" s="67"/>
    </row>
    <row r="20" spans="1:10" ht="24.6" customHeight="1" x14ac:dyDescent="0.25">
      <c r="A20" s="182">
        <v>7</v>
      </c>
      <c r="B20" s="77">
        <v>1.28</v>
      </c>
      <c r="C20" s="75" t="s">
        <v>173</v>
      </c>
      <c r="D20" s="72"/>
      <c r="E20" s="76"/>
      <c r="F20" s="69"/>
      <c r="G20" s="93"/>
      <c r="H20" s="70"/>
      <c r="J20" s="67"/>
    </row>
    <row r="21" spans="1:10" x14ac:dyDescent="0.25">
      <c r="A21" s="183"/>
      <c r="B21" s="78" t="s">
        <v>174</v>
      </c>
      <c r="C21" s="75" t="s">
        <v>175</v>
      </c>
      <c r="D21" s="72" t="s">
        <v>19</v>
      </c>
      <c r="E21" s="76">
        <v>133</v>
      </c>
      <c r="F21" s="65">
        <v>8</v>
      </c>
      <c r="G21" s="93">
        <f t="shared" ref="G21:G24" si="1">E21*F21</f>
        <v>1064</v>
      </c>
      <c r="H21" s="70"/>
      <c r="J21" s="67"/>
    </row>
    <row r="22" spans="1:10" x14ac:dyDescent="0.25">
      <c r="A22" s="183"/>
      <c r="B22" s="78" t="s">
        <v>176</v>
      </c>
      <c r="C22" s="75" t="s">
        <v>177</v>
      </c>
      <c r="D22" s="72" t="s">
        <v>19</v>
      </c>
      <c r="E22" s="76">
        <v>158</v>
      </c>
      <c r="F22" s="65">
        <v>4</v>
      </c>
      <c r="G22" s="93">
        <f t="shared" si="1"/>
        <v>632</v>
      </c>
      <c r="H22" s="70"/>
      <c r="J22" s="67"/>
    </row>
    <row r="23" spans="1:10" x14ac:dyDescent="0.25">
      <c r="A23" s="184"/>
      <c r="B23" s="63" t="s">
        <v>178</v>
      </c>
      <c r="C23" s="64" t="s">
        <v>179</v>
      </c>
      <c r="D23" s="72" t="s">
        <v>19</v>
      </c>
      <c r="E23" s="76">
        <v>272</v>
      </c>
      <c r="F23" s="65">
        <v>2</v>
      </c>
      <c r="G23" s="93">
        <f t="shared" si="1"/>
        <v>544</v>
      </c>
      <c r="H23" s="70"/>
      <c r="J23" s="67"/>
    </row>
    <row r="24" spans="1:10" ht="40.799999999999997" customHeight="1" x14ac:dyDescent="0.25">
      <c r="A24" s="71">
        <v>8</v>
      </c>
      <c r="B24" s="79">
        <v>1.44</v>
      </c>
      <c r="C24" s="64" t="s">
        <v>180</v>
      </c>
      <c r="D24" s="65" t="s">
        <v>181</v>
      </c>
      <c r="E24" s="69">
        <v>171</v>
      </c>
      <c r="F24" s="66">
        <v>6</v>
      </c>
      <c r="G24" s="93">
        <f t="shared" si="1"/>
        <v>1026</v>
      </c>
      <c r="H24" s="70"/>
      <c r="I24" s="70"/>
    </row>
    <row r="25" spans="1:10" ht="28.8" customHeight="1" x14ac:dyDescent="0.25">
      <c r="A25" s="80">
        <v>9</v>
      </c>
      <c r="B25" s="78" t="s">
        <v>182</v>
      </c>
      <c r="C25" s="75" t="s">
        <v>183</v>
      </c>
      <c r="D25" s="72" t="s">
        <v>19</v>
      </c>
      <c r="E25" s="76">
        <v>2730</v>
      </c>
      <c r="F25" s="66">
        <v>4</v>
      </c>
      <c r="G25" s="93">
        <f>E25*F25</f>
        <v>10920</v>
      </c>
      <c r="H25" s="70"/>
    </row>
    <row r="26" spans="1:10" ht="25.8" customHeight="1" x14ac:dyDescent="0.25">
      <c r="A26" s="71">
        <v>10</v>
      </c>
      <c r="B26" s="80" t="s">
        <v>184</v>
      </c>
      <c r="C26" s="81" t="s">
        <v>185</v>
      </c>
      <c r="D26" s="72" t="s">
        <v>19</v>
      </c>
      <c r="E26" s="82">
        <v>14794</v>
      </c>
      <c r="F26" s="83">
        <v>8</v>
      </c>
      <c r="G26" s="93">
        <f t="shared" ref="G26" si="2">E26*F26</f>
        <v>118352</v>
      </c>
      <c r="H26" s="70"/>
    </row>
    <row r="27" spans="1:10" ht="63.6" customHeight="1" x14ac:dyDescent="0.25">
      <c r="A27" s="182">
        <v>11</v>
      </c>
      <c r="B27" s="80" t="s">
        <v>186</v>
      </c>
      <c r="C27" s="84" t="s">
        <v>187</v>
      </c>
      <c r="D27" s="85"/>
      <c r="E27" s="65"/>
      <c r="F27" s="66"/>
      <c r="G27" s="93"/>
      <c r="H27" s="70"/>
    </row>
    <row r="28" spans="1:10" x14ac:dyDescent="0.25">
      <c r="A28" s="184"/>
      <c r="B28" s="80"/>
      <c r="C28" s="84" t="s">
        <v>188</v>
      </c>
      <c r="D28" s="72" t="s">
        <v>19</v>
      </c>
      <c r="E28" s="68">
        <v>60887</v>
      </c>
      <c r="F28" s="66">
        <v>4</v>
      </c>
      <c r="G28" s="93">
        <f>E28*F28</f>
        <v>243548</v>
      </c>
      <c r="H28" s="70"/>
    </row>
    <row r="29" spans="1:10" x14ac:dyDescent="0.25">
      <c r="A29" s="86"/>
      <c r="B29" s="79"/>
      <c r="C29" s="87"/>
      <c r="D29" s="85"/>
      <c r="E29" s="88" t="s">
        <v>114</v>
      </c>
      <c r="F29" s="89" t="s">
        <v>189</v>
      </c>
      <c r="G29" s="93">
        <f>SUM(G5:G28)</f>
        <v>521703</v>
      </c>
      <c r="H29" s="70"/>
    </row>
    <row r="30" spans="1:10" x14ac:dyDescent="0.25">
      <c r="B30" s="90"/>
      <c r="C30" s="91" t="s">
        <v>190</v>
      </c>
      <c r="D30" s="92"/>
    </row>
    <row r="31" spans="1:10" x14ac:dyDescent="0.25">
      <c r="B31" s="90"/>
      <c r="C31" s="91"/>
      <c r="D31" s="92"/>
    </row>
    <row r="32" spans="1:10" x14ac:dyDescent="0.25">
      <c r="B32" s="90"/>
      <c r="C32" s="91"/>
      <c r="D32" s="92"/>
    </row>
  </sheetData>
  <mergeCells count="8">
    <mergeCell ref="A16:A19"/>
    <mergeCell ref="A20:A23"/>
    <mergeCell ref="A27:A28"/>
    <mergeCell ref="A1:G1"/>
    <mergeCell ref="A2:G2"/>
    <mergeCell ref="A4:A5"/>
    <mergeCell ref="A7:A9"/>
    <mergeCell ref="A10:A14"/>
  </mergeCells>
  <pageMargins left="0.6" right="0.15748031496062992" top="0.31496062992125984" bottom="0.39370078740157483" header="0.13" footer="0.31496062992125984"/>
  <pageSetup paperSize="9" orientation="portrait" horizontalDpi="4294967293" r:id="rId1"/>
  <ignoredErrors>
    <ignoredError sqref="B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39"/>
  <sheetViews>
    <sheetView topLeftCell="A10" workbookViewId="0">
      <selection activeCell="B18" sqref="B18"/>
    </sheetView>
  </sheetViews>
  <sheetFormatPr defaultRowHeight="13.8" x14ac:dyDescent="0.25"/>
  <cols>
    <col min="1" max="1" width="9.109375" style="5" customWidth="1"/>
    <col min="2" max="2" width="41.88671875" style="5" customWidth="1"/>
    <col min="3" max="3" width="9.6640625" style="5" customWidth="1"/>
    <col min="4" max="5" width="8.88671875" style="5"/>
    <col min="6" max="6" width="11.77734375" style="5" customWidth="1"/>
    <col min="7" max="16384" width="8.88671875" style="5"/>
  </cols>
  <sheetData>
    <row r="2" spans="1:6" ht="18.600000000000001" customHeight="1" x14ac:dyDescent="0.25">
      <c r="A2" s="187" t="s">
        <v>191</v>
      </c>
      <c r="B2" s="187"/>
      <c r="C2" s="187"/>
      <c r="D2" s="187"/>
      <c r="E2" s="187"/>
      <c r="F2" s="187"/>
    </row>
    <row r="3" spans="1:6" ht="28.2" customHeight="1" x14ac:dyDescent="0.25">
      <c r="A3" s="101"/>
      <c r="B3" s="188" t="s">
        <v>185</v>
      </c>
      <c r="C3" s="188"/>
      <c r="D3" s="188"/>
      <c r="E3" s="188"/>
      <c r="F3" s="188"/>
    </row>
    <row r="4" spans="1:6" x14ac:dyDescent="0.25">
      <c r="A4" s="102" t="s">
        <v>192</v>
      </c>
      <c r="B4" s="102" t="s">
        <v>20</v>
      </c>
      <c r="C4" s="101" t="s">
        <v>193</v>
      </c>
      <c r="D4" s="101" t="s">
        <v>10</v>
      </c>
      <c r="E4" s="101" t="s">
        <v>194</v>
      </c>
      <c r="F4" s="101" t="s">
        <v>195</v>
      </c>
    </row>
    <row r="5" spans="1:6" x14ac:dyDescent="0.25">
      <c r="A5" s="103"/>
      <c r="B5" s="104" t="s">
        <v>196</v>
      </c>
      <c r="C5" s="105"/>
      <c r="D5" s="103"/>
      <c r="E5" s="105"/>
      <c r="F5" s="105"/>
    </row>
    <row r="6" spans="1:6" ht="39.6" x14ac:dyDescent="0.25">
      <c r="A6" s="103" t="s">
        <v>197</v>
      </c>
      <c r="B6" s="106" t="s">
        <v>198</v>
      </c>
      <c r="C6" s="107" t="s">
        <v>19</v>
      </c>
      <c r="D6" s="103">
        <v>1</v>
      </c>
      <c r="E6" s="105">
        <f>15350*0.8</f>
        <v>12280</v>
      </c>
      <c r="F6" s="105">
        <f>E6*D6</f>
        <v>12280</v>
      </c>
    </row>
    <row r="7" spans="1:6" x14ac:dyDescent="0.25">
      <c r="A7" s="103"/>
      <c r="B7" s="106" t="s">
        <v>199</v>
      </c>
      <c r="C7" s="105"/>
      <c r="D7" s="103"/>
      <c r="E7" s="105" t="s">
        <v>189</v>
      </c>
      <c r="F7" s="105">
        <f>F6*0.01</f>
        <v>122.8</v>
      </c>
    </row>
    <row r="8" spans="1:6" x14ac:dyDescent="0.25">
      <c r="A8" s="103"/>
      <c r="B8" s="106" t="s">
        <v>200</v>
      </c>
      <c r="C8" s="105"/>
      <c r="D8" s="103"/>
      <c r="E8" s="105" t="s">
        <v>189</v>
      </c>
      <c r="F8" s="108">
        <f>F6+F7</f>
        <v>12402.8</v>
      </c>
    </row>
    <row r="9" spans="1:6" x14ac:dyDescent="0.25">
      <c r="A9" s="103" t="s">
        <v>8</v>
      </c>
      <c r="B9" s="104" t="s">
        <v>201</v>
      </c>
      <c r="C9" s="105"/>
      <c r="D9" s="103"/>
      <c r="E9" s="105"/>
      <c r="F9" s="108"/>
    </row>
    <row r="10" spans="1:6" x14ac:dyDescent="0.25">
      <c r="A10" s="103">
        <v>1001</v>
      </c>
      <c r="B10" s="106" t="s">
        <v>202</v>
      </c>
      <c r="C10" s="107" t="s">
        <v>203</v>
      </c>
      <c r="D10" s="109">
        <v>0.2</v>
      </c>
      <c r="E10" s="107">
        <v>806</v>
      </c>
      <c r="F10" s="105">
        <f>ROUND(D10*E10,2)</f>
        <v>161.19999999999999</v>
      </c>
    </row>
    <row r="11" spans="1:6" x14ac:dyDescent="0.25">
      <c r="A11" s="103">
        <v>1007</v>
      </c>
      <c r="B11" s="106" t="s">
        <v>204</v>
      </c>
      <c r="C11" s="107" t="s">
        <v>203</v>
      </c>
      <c r="D11" s="109">
        <v>0.2</v>
      </c>
      <c r="E11" s="107">
        <v>663</v>
      </c>
      <c r="F11" s="105">
        <f>E11*D11</f>
        <v>132.6</v>
      </c>
    </row>
    <row r="12" spans="1:6" x14ac:dyDescent="0.25">
      <c r="A12" s="103"/>
      <c r="B12" s="104" t="s">
        <v>205</v>
      </c>
      <c r="C12" s="105"/>
      <c r="D12" s="103"/>
      <c r="E12" s="105" t="s">
        <v>189</v>
      </c>
      <c r="F12" s="108">
        <f>F10+F11</f>
        <v>293.8</v>
      </c>
    </row>
    <row r="13" spans="1:6" x14ac:dyDescent="0.25">
      <c r="A13" s="103"/>
      <c r="B13" s="106" t="str">
        <f>'[1]Basic Material'!$T$3</f>
        <v>Add 12% GST (MF = 0.1405)</v>
      </c>
      <c r="C13" s="105"/>
      <c r="D13" s="103"/>
      <c r="E13" s="105" t="s">
        <v>189</v>
      </c>
      <c r="F13" s="108">
        <f>F12*0.1405</f>
        <v>41.28</v>
      </c>
    </row>
    <row r="14" spans="1:6" x14ac:dyDescent="0.25">
      <c r="A14" s="103"/>
      <c r="B14" s="104" t="s">
        <v>205</v>
      </c>
      <c r="C14" s="105"/>
      <c r="D14" s="103"/>
      <c r="E14" s="105" t="s">
        <v>189</v>
      </c>
      <c r="F14" s="108">
        <f>F8+F12+F13</f>
        <v>12737.88</v>
      </c>
    </row>
    <row r="15" spans="1:6" x14ac:dyDescent="0.25">
      <c r="A15" s="103"/>
      <c r="B15" s="104" t="s">
        <v>206</v>
      </c>
      <c r="C15" s="105"/>
      <c r="D15" s="103">
        <v>0.15</v>
      </c>
      <c r="E15" s="105" t="s">
        <v>189</v>
      </c>
      <c r="F15" s="108">
        <f>F14*0.15</f>
        <v>1910.68</v>
      </c>
    </row>
    <row r="16" spans="1:6" x14ac:dyDescent="0.25">
      <c r="A16" s="103"/>
      <c r="B16" s="104" t="s">
        <v>205</v>
      </c>
      <c r="C16" s="105"/>
      <c r="D16" s="103"/>
      <c r="E16" s="105" t="s">
        <v>189</v>
      </c>
      <c r="F16" s="105">
        <f>F14+F15</f>
        <v>14648.56</v>
      </c>
    </row>
    <row r="17" spans="1:6" x14ac:dyDescent="0.25">
      <c r="A17" s="103"/>
      <c r="B17" s="104" t="s">
        <v>207</v>
      </c>
      <c r="C17" s="105"/>
      <c r="D17" s="110">
        <v>0.01</v>
      </c>
      <c r="E17" s="105" t="s">
        <v>189</v>
      </c>
      <c r="F17" s="105">
        <f>F16*D17</f>
        <v>146.49</v>
      </c>
    </row>
    <row r="18" spans="1:6" x14ac:dyDescent="0.25">
      <c r="A18" s="103"/>
      <c r="B18" s="106" t="s">
        <v>114</v>
      </c>
      <c r="C18" s="105"/>
      <c r="D18" s="103"/>
      <c r="E18" s="105" t="s">
        <v>189</v>
      </c>
      <c r="F18" s="105">
        <f>F16+F17</f>
        <v>14795.05</v>
      </c>
    </row>
    <row r="19" spans="1:6" x14ac:dyDescent="0.25">
      <c r="A19" s="42"/>
      <c r="B19" s="104" t="s">
        <v>208</v>
      </c>
      <c r="C19" s="42"/>
      <c r="D19" s="42"/>
      <c r="E19" s="105" t="s">
        <v>189</v>
      </c>
      <c r="F19" s="111">
        <f>ROUND(F18,0)</f>
        <v>14795</v>
      </c>
    </row>
    <row r="22" spans="1:6" ht="15.6" x14ac:dyDescent="0.25">
      <c r="A22" s="187" t="s">
        <v>209</v>
      </c>
      <c r="B22" s="187"/>
      <c r="C22" s="187"/>
      <c r="D22" s="187"/>
      <c r="E22" s="187"/>
      <c r="F22" s="187"/>
    </row>
    <row r="23" spans="1:6" ht="55.2" customHeight="1" x14ac:dyDescent="0.25">
      <c r="A23" s="101"/>
      <c r="B23" s="188" t="s">
        <v>187</v>
      </c>
      <c r="C23" s="188"/>
      <c r="D23" s="188"/>
      <c r="E23" s="188"/>
      <c r="F23" s="188"/>
    </row>
    <row r="24" spans="1:6" x14ac:dyDescent="0.25">
      <c r="A24" s="102" t="s">
        <v>192</v>
      </c>
      <c r="B24" s="102" t="s">
        <v>20</v>
      </c>
      <c r="C24" s="101" t="s">
        <v>193</v>
      </c>
      <c r="D24" s="101" t="s">
        <v>10</v>
      </c>
      <c r="E24" s="101" t="s">
        <v>194</v>
      </c>
      <c r="F24" s="101" t="s">
        <v>195</v>
      </c>
    </row>
    <row r="25" spans="1:6" x14ac:dyDescent="0.25">
      <c r="A25" s="103"/>
      <c r="B25" s="104" t="s">
        <v>196</v>
      </c>
      <c r="C25" s="105"/>
      <c r="D25" s="103"/>
      <c r="E25" s="105"/>
      <c r="F25" s="105"/>
    </row>
    <row r="26" spans="1:6" ht="39.6" x14ac:dyDescent="0.25">
      <c r="A26" s="103" t="s">
        <v>197</v>
      </c>
      <c r="B26" s="112" t="s">
        <v>210</v>
      </c>
      <c r="C26" s="107" t="s">
        <v>19</v>
      </c>
      <c r="D26" s="103">
        <v>1</v>
      </c>
      <c r="E26" s="105">
        <f>64670*0.8</f>
        <v>51736</v>
      </c>
      <c r="F26" s="105">
        <f>E26*D26</f>
        <v>51736</v>
      </c>
    </row>
    <row r="27" spans="1:6" x14ac:dyDescent="0.25">
      <c r="A27" s="103"/>
      <c r="B27" s="106" t="s">
        <v>199</v>
      </c>
      <c r="C27" s="105"/>
      <c r="D27" s="103"/>
      <c r="E27" s="105" t="s">
        <v>189</v>
      </c>
      <c r="F27" s="105">
        <f>F26*0.01</f>
        <v>517.36</v>
      </c>
    </row>
    <row r="28" spans="1:6" x14ac:dyDescent="0.25">
      <c r="A28" s="103"/>
      <c r="B28" s="106" t="s">
        <v>200</v>
      </c>
      <c r="C28" s="105"/>
      <c r="D28" s="103"/>
      <c r="E28" s="105" t="s">
        <v>189</v>
      </c>
      <c r="F28" s="108">
        <f>F26+F27</f>
        <v>52253.36</v>
      </c>
    </row>
    <row r="29" spans="1:6" x14ac:dyDescent="0.25">
      <c r="A29" s="103" t="s">
        <v>8</v>
      </c>
      <c r="B29" s="104" t="s">
        <v>201</v>
      </c>
      <c r="C29" s="105"/>
      <c r="D29" s="103"/>
      <c r="E29" s="105"/>
      <c r="F29" s="108"/>
    </row>
    <row r="30" spans="1:6" x14ac:dyDescent="0.25">
      <c r="A30" s="103">
        <v>1001</v>
      </c>
      <c r="B30" s="106" t="s">
        <v>202</v>
      </c>
      <c r="C30" s="107" t="s">
        <v>203</v>
      </c>
      <c r="D30" s="109">
        <v>0.1</v>
      </c>
      <c r="E30" s="107">
        <v>806</v>
      </c>
      <c r="F30" s="105">
        <f>ROUND(D30*E30,2)</f>
        <v>80.599999999999994</v>
      </c>
    </row>
    <row r="31" spans="1:6" x14ac:dyDescent="0.25">
      <c r="A31" s="103">
        <v>1007</v>
      </c>
      <c r="B31" s="106" t="s">
        <v>204</v>
      </c>
      <c r="C31" s="107" t="s">
        <v>203</v>
      </c>
      <c r="D31" s="109">
        <v>0.1</v>
      </c>
      <c r="E31" s="107">
        <v>663</v>
      </c>
      <c r="F31" s="105">
        <f>E31*D31</f>
        <v>66.3</v>
      </c>
    </row>
    <row r="32" spans="1:6" x14ac:dyDescent="0.25">
      <c r="A32" s="103"/>
      <c r="B32" s="104" t="s">
        <v>205</v>
      </c>
      <c r="C32" s="105"/>
      <c r="D32" s="103"/>
      <c r="E32" s="105" t="s">
        <v>189</v>
      </c>
      <c r="F32" s="108">
        <f>F30+F31</f>
        <v>146.9</v>
      </c>
    </row>
    <row r="33" spans="1:6" x14ac:dyDescent="0.25">
      <c r="A33" s="103"/>
      <c r="B33" s="106" t="str">
        <f>'[1]Basic Material'!$T$3</f>
        <v>Add 12% GST (MF = 0.1405)</v>
      </c>
      <c r="C33" s="105"/>
      <c r="D33" s="103"/>
      <c r="E33" s="105" t="s">
        <v>189</v>
      </c>
      <c r="F33" s="108">
        <f>F32*0.1405</f>
        <v>20.64</v>
      </c>
    </row>
    <row r="34" spans="1:6" x14ac:dyDescent="0.25">
      <c r="A34" s="103"/>
      <c r="B34" s="104" t="s">
        <v>205</v>
      </c>
      <c r="C34" s="105"/>
      <c r="D34" s="103"/>
      <c r="E34" s="105" t="s">
        <v>189</v>
      </c>
      <c r="F34" s="108">
        <f>F28+F32+F33</f>
        <v>52420.9</v>
      </c>
    </row>
    <row r="35" spans="1:6" x14ac:dyDescent="0.25">
      <c r="A35" s="103"/>
      <c r="B35" s="104" t="s">
        <v>206</v>
      </c>
      <c r="C35" s="105"/>
      <c r="D35" s="103">
        <v>0.15</v>
      </c>
      <c r="E35" s="105" t="s">
        <v>189</v>
      </c>
      <c r="F35" s="108">
        <f>F34*0.15</f>
        <v>7863.14</v>
      </c>
    </row>
    <row r="36" spans="1:6" x14ac:dyDescent="0.25">
      <c r="A36" s="103"/>
      <c r="B36" s="104" t="s">
        <v>205</v>
      </c>
      <c r="C36" s="105"/>
      <c r="D36" s="103"/>
      <c r="E36" s="105" t="s">
        <v>189</v>
      </c>
      <c r="F36" s="105">
        <f>F34+F35</f>
        <v>60284.04</v>
      </c>
    </row>
    <row r="37" spans="1:6" x14ac:dyDescent="0.25">
      <c r="A37" s="103"/>
      <c r="B37" s="104" t="s">
        <v>207</v>
      </c>
      <c r="C37" s="105"/>
      <c r="D37" s="110">
        <v>0.01</v>
      </c>
      <c r="E37" s="105" t="s">
        <v>189</v>
      </c>
      <c r="F37" s="105">
        <f>F36*D37</f>
        <v>602.84</v>
      </c>
    </row>
    <row r="38" spans="1:6" x14ac:dyDescent="0.25">
      <c r="A38" s="103"/>
      <c r="B38" s="106" t="s">
        <v>114</v>
      </c>
      <c r="C38" s="105"/>
      <c r="D38" s="103"/>
      <c r="E38" s="105" t="s">
        <v>189</v>
      </c>
      <c r="F38" s="105">
        <f>F36+F37</f>
        <v>60886.879999999997</v>
      </c>
    </row>
    <row r="39" spans="1:6" x14ac:dyDescent="0.25">
      <c r="A39" s="42"/>
      <c r="B39" s="104" t="s">
        <v>208</v>
      </c>
      <c r="C39" s="42"/>
      <c r="D39" s="42"/>
      <c r="E39" s="105" t="s">
        <v>189</v>
      </c>
      <c r="F39" s="111">
        <f>ROUND(F38,0)</f>
        <v>60887</v>
      </c>
    </row>
  </sheetData>
  <mergeCells count="4">
    <mergeCell ref="A2:F2"/>
    <mergeCell ref="B3:F3"/>
    <mergeCell ref="A22:F22"/>
    <mergeCell ref="B23:F23"/>
  </mergeCells>
  <pageMargins left="0.7" right="0.31" top="0.41"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Measurement sheet</vt:lpstr>
      <vt:lpstr>cs</vt:lpstr>
      <vt:lpstr>BOQ1</vt:lpstr>
      <vt:lpstr>Abst</vt:lpstr>
      <vt:lpstr>Electrical</vt:lpstr>
      <vt:lpstr>E. Statement</vt:lpstr>
      <vt:lpstr>'BOQ1'!Print_Area</vt:lpstr>
      <vt:lpstr>Electrical!Print_Area</vt:lpstr>
      <vt:lpstr>'Measurement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DIBBOOO</dc:creator>
  <cp:lastModifiedBy>Administrator</cp:lastModifiedBy>
  <cp:lastPrinted>2026-09-19T07:51:05Z</cp:lastPrinted>
  <dcterms:created xsi:type="dcterms:W3CDTF">2015-06-05T18:17:20Z</dcterms:created>
  <dcterms:modified xsi:type="dcterms:W3CDTF">2026-09-19T07:54:08Z</dcterms:modified>
</cp:coreProperties>
</file>