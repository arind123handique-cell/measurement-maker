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ior Painting Meas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Arial Narrow"/>
      <b val="1"/>
      <sz val="14"/>
    </font>
    <font>
      <name val="Arial Narrow"/>
      <i val="1"/>
      <sz val="11"/>
    </font>
    <font>
      <name val="Arial Narrow"/>
      <b val="1"/>
      <sz val="12"/>
    </font>
    <font>
      <name val="Arial Narrow"/>
      <b val="1"/>
      <sz val="11"/>
    </font>
    <font>
      <name val="Arial Narrow"/>
      <b val="1"/>
      <color rgb="00002060"/>
      <sz val="11"/>
    </font>
    <font>
      <name val="Arial Narrow"/>
      <sz val="11"/>
    </font>
    <font>
      <name val="Arial Narrow"/>
      <b val="1"/>
      <color rgb="009C0006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4" fillId="4" borderId="2" applyAlignment="1" pivotButton="0" quotePrefix="0" xfId="0">
      <alignment horizontal="right" vertical="center"/>
    </xf>
    <xf numFmtId="0" fontId="0" fillId="0" borderId="2" pivotButton="0" quotePrefix="0" xfId="0"/>
    <xf numFmtId="2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2" fontId="4" fillId="4" borderId="2" applyAlignment="1" pivotButton="0" quotePrefix="0" xfId="0">
      <alignment horizontal="center" vertical="center"/>
    </xf>
    <xf numFmtId="4" fontId="4" fillId="4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right" vertical="center"/>
    </xf>
    <xf numFmtId="2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2" fontId="4" fillId="5" borderId="2" applyAlignment="1" pivotButton="0" quotePrefix="0" xfId="0">
      <alignment horizontal="center" vertical="center"/>
    </xf>
    <xf numFmtId="4" fontId="4" fillId="5" borderId="2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7" fillId="6" borderId="2" applyAlignment="1" pivotButton="0" quotePrefix="0" xfId="0">
      <alignment horizontal="right" vertical="center"/>
    </xf>
    <xf numFmtId="2" fontId="7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2" fontId="4" fillId="6" borderId="2" applyAlignment="1" pivotButton="0" quotePrefix="0" xfId="0">
      <alignment horizontal="center" vertical="center"/>
    </xf>
    <xf numFmtId="4" fontId="7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7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1.22" customWidth="1" min="2" max="2"/>
    <col width="44" customWidth="1" min="3" max="3"/>
    <col width="8.109999999999999" customWidth="1" min="4" max="4"/>
    <col width="4" customWidth="1" min="5" max="5"/>
    <col width="9.5" customWidth="1" min="6" max="6"/>
    <col width="4" customWidth="1" min="7" max="7"/>
    <col width="9" customWidth="1" min="8" max="8"/>
    <col width="4" customWidth="1" min="9" max="9"/>
    <col width="9" customWidth="1" min="10" max="10"/>
    <col width="12" customWidth="1" min="11" max="11"/>
    <col width="7" customWidth="1" min="12" max="12"/>
    <col width="12" customWidth="1" min="13" max="13"/>
    <col width="14" customWidth="1" min="14" max="14"/>
  </cols>
  <sheetData>
    <row r="1" ht="24" customHeight="1">
      <c r="A1" s="1" t="inlineStr">
        <is>
          <t>Name of Work :-   Repairing and Renovation of  Circuit House at Bokakhat Co District under Golaghat District</t>
        </is>
      </c>
    </row>
    <row r="2" ht="18" customHeight="1">
      <c r="A2" s="2" t="inlineStr">
        <is>
          <t>(Rates are quoted from DSR (civil) of 2021)</t>
        </is>
      </c>
    </row>
    <row r="3" ht="20" customHeight="1">
      <c r="A3" s="3" t="inlineStr">
        <is>
          <t>DETAILED MEASUREMENT SHEET FOR INTERIOR PAINTING (ITEM NO. 11 - DSR CODE 13.83.2)</t>
        </is>
      </c>
    </row>
    <row r="4" ht="26" customHeight="1">
      <c r="A4" s="4" t="inlineStr">
        <is>
          <t>SL. No.</t>
        </is>
      </c>
      <c r="B4" s="4" t="inlineStr">
        <is>
          <t>CODE NO</t>
        </is>
      </c>
      <c r="C4" s="4" t="inlineStr">
        <is>
          <t>PARTICULARS</t>
        </is>
      </c>
      <c r="D4" s="4" t="inlineStr">
        <is>
          <t>No.</t>
        </is>
      </c>
      <c r="E4" s="4" t="inlineStr">
        <is>
          <t>x</t>
        </is>
      </c>
      <c r="F4" s="4" t="inlineStr">
        <is>
          <t>L</t>
        </is>
      </c>
      <c r="G4" s="4" t="inlineStr">
        <is>
          <t>x</t>
        </is>
      </c>
      <c r="H4" s="4" t="inlineStr">
        <is>
          <t>B</t>
        </is>
      </c>
      <c r="I4" s="4" t="inlineStr">
        <is>
          <t>x</t>
        </is>
      </c>
      <c r="J4" s="4" t="inlineStr">
        <is>
          <t>H</t>
        </is>
      </c>
      <c r="K4" s="4" t="inlineStr">
        <is>
          <t>QTY</t>
        </is>
      </c>
      <c r="L4" s="4" t="inlineStr">
        <is>
          <t>Unit</t>
        </is>
      </c>
      <c r="M4" s="4" t="inlineStr">
        <is>
          <t xml:space="preserve">RATE </t>
        </is>
      </c>
      <c r="N4" s="4" t="inlineStr">
        <is>
          <t>AMOUNT</t>
        </is>
      </c>
    </row>
    <row r="5" ht="6" customHeight="1"/>
    <row r="6" ht="24" customHeight="1">
      <c r="A6" s="5" t="n">
        <v>1</v>
      </c>
      <c r="B6" s="5" t="inlineStr">
        <is>
          <t>13.83.2</t>
        </is>
      </c>
      <c r="C6" s="6" t="inlineStr">
        <is>
          <t>PLAN 1: G+1 ASSAM TYPE BUILDING (FIRST FLOOR &amp; GROUND FLOOR) - Wall &amp; Beam painting with premium acrylic emulsion paint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 ht="18" customHeight="1">
      <c r="A7" s="8" t="n"/>
      <c r="B7" s="8" t="n"/>
      <c r="C7" s="9" t="inlineStr">
        <is>
          <t>Room 1 (Bed Room: 5.644m x 5.508m)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18" customHeight="1">
      <c r="A8" s="8" t="n"/>
      <c r="B8" s="8" t="n"/>
      <c r="C8" s="10" t="inlineStr">
        <is>
          <t xml:space="preserve">  All round walls (Perimeter = 2*(5.644+5.508)m)</t>
        </is>
      </c>
      <c r="D8" s="11" t="n">
        <v>1</v>
      </c>
      <c r="E8" s="11" t="inlineStr">
        <is>
          <t>x</t>
        </is>
      </c>
      <c r="F8" s="12" t="n">
        <v>22.304</v>
      </c>
      <c r="G8" s="7" t="n"/>
      <c r="H8" s="7" t="n"/>
      <c r="I8" s="11" t="inlineStr">
        <is>
          <t>x</t>
        </is>
      </c>
      <c r="J8" s="12" t="n">
        <v>3.05</v>
      </c>
      <c r="K8" s="12">
        <f>D8*F8*J8</f>
        <v/>
      </c>
      <c r="L8" s="11" t="inlineStr">
        <is>
          <t>sqm</t>
        </is>
      </c>
      <c r="M8" s="7" t="n"/>
      <c r="N8" s="7" t="n"/>
    </row>
    <row r="9" ht="18" customHeight="1">
      <c r="A9" s="8" t="n"/>
      <c r="B9" s="8" t="n"/>
      <c r="C9" s="10" t="inlineStr">
        <is>
          <t xml:space="preserve">  Deduct : Door to corridor (D1)</t>
        </is>
      </c>
      <c r="D9" s="11" t="n">
        <v>-1</v>
      </c>
      <c r="E9" s="11" t="inlineStr">
        <is>
          <t>x</t>
        </is>
      </c>
      <c r="F9" s="13" t="n">
        <v>1.2</v>
      </c>
      <c r="G9" s="7" t="n"/>
      <c r="H9" s="7" t="n"/>
      <c r="I9" s="11" t="inlineStr">
        <is>
          <t>x</t>
        </is>
      </c>
      <c r="J9" s="12" t="n">
        <v>2.1</v>
      </c>
      <c r="K9" s="12">
        <f>D9*F9*J9</f>
        <v/>
      </c>
      <c r="L9" s="11" t="inlineStr">
        <is>
          <t>sqm</t>
        </is>
      </c>
      <c r="M9" s="7" t="n"/>
      <c r="N9" s="7" t="n"/>
    </row>
    <row r="10" ht="18" customHeight="1">
      <c r="A10" s="8" t="n"/>
      <c r="B10" s="8" t="n"/>
      <c r="C10" s="10" t="inlineStr">
        <is>
          <t xml:space="preserve">  Deduct : Windows (W1 - 2 nos)</t>
        </is>
      </c>
      <c r="D10" s="11" t="n">
        <v>-2</v>
      </c>
      <c r="E10" s="11" t="inlineStr">
        <is>
          <t>x</t>
        </is>
      </c>
      <c r="F10" s="13" t="n">
        <v>1.5</v>
      </c>
      <c r="G10" s="7" t="n"/>
      <c r="H10" s="7" t="n"/>
      <c r="I10" s="11" t="inlineStr">
        <is>
          <t>x</t>
        </is>
      </c>
      <c r="J10" s="12" t="n">
        <v>1.8</v>
      </c>
      <c r="K10" s="12">
        <f>D10*F10*J10</f>
        <v/>
      </c>
      <c r="L10" s="11" t="inlineStr">
        <is>
          <t>sqm</t>
        </is>
      </c>
      <c r="M10" s="7" t="n"/>
      <c r="N10" s="7" t="n"/>
    </row>
    <row r="11" ht="18" customHeight="1">
      <c r="A11" s="8" t="n"/>
      <c r="B11" s="8" t="n"/>
      <c r="C11" s="9" t="inlineStr">
        <is>
          <t>Room 2 (Large Room / Suite: 6.500m x 5.508m)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 ht="18" customHeight="1">
      <c r="A12" s="8" t="n"/>
      <c r="B12" s="8" t="n"/>
      <c r="C12" s="10" t="inlineStr">
        <is>
          <t xml:space="preserve">  All round walls (Perimeter = 2*(6.500+5.508)m)</t>
        </is>
      </c>
      <c r="D12" s="11" t="n">
        <v>1</v>
      </c>
      <c r="E12" s="11" t="inlineStr">
        <is>
          <t>x</t>
        </is>
      </c>
      <c r="F12" s="12" t="n">
        <v>24.016</v>
      </c>
      <c r="G12" s="7" t="n"/>
      <c r="H12" s="7" t="n"/>
      <c r="I12" s="11" t="inlineStr">
        <is>
          <t>x</t>
        </is>
      </c>
      <c r="J12" s="12" t="n">
        <v>3.05</v>
      </c>
      <c r="K12" s="12">
        <f>D12*F12*J12</f>
        <v/>
      </c>
      <c r="L12" s="11" t="inlineStr">
        <is>
          <t>sqm</t>
        </is>
      </c>
      <c r="M12" s="7" t="n"/>
      <c r="N12" s="7" t="n"/>
    </row>
    <row r="13" ht="18" customHeight="1">
      <c r="A13" s="8" t="n"/>
      <c r="B13" s="8" t="n"/>
      <c r="C13" s="10" t="inlineStr">
        <is>
          <t xml:space="preserve">  Deduct : Door to corridor (D1)</t>
        </is>
      </c>
      <c r="D13" s="11" t="n">
        <v>-1</v>
      </c>
      <c r="E13" s="11" t="inlineStr">
        <is>
          <t>x</t>
        </is>
      </c>
      <c r="F13" s="13" t="n">
        <v>1.2</v>
      </c>
      <c r="G13" s="7" t="n"/>
      <c r="H13" s="7" t="n"/>
      <c r="I13" s="11" t="inlineStr">
        <is>
          <t>x</t>
        </is>
      </c>
      <c r="J13" s="12" t="n">
        <v>2.1</v>
      </c>
      <c r="K13" s="12">
        <f>D13*F13*J13</f>
        <v/>
      </c>
      <c r="L13" s="11" t="inlineStr">
        <is>
          <t>sqm</t>
        </is>
      </c>
      <c r="M13" s="7" t="n"/>
      <c r="N13" s="7" t="n"/>
    </row>
    <row r="14" ht="18" customHeight="1">
      <c r="A14" s="8" t="n"/>
      <c r="B14" s="8" t="n"/>
      <c r="C14" s="10" t="inlineStr">
        <is>
          <t xml:space="preserve">  Deduct : Windows (W1 - 3 nos)</t>
        </is>
      </c>
      <c r="D14" s="11" t="n">
        <v>-3</v>
      </c>
      <c r="E14" s="11" t="inlineStr">
        <is>
          <t>x</t>
        </is>
      </c>
      <c r="F14" s="13" t="n">
        <v>1.5</v>
      </c>
      <c r="G14" s="7" t="n"/>
      <c r="H14" s="7" t="n"/>
      <c r="I14" s="11" t="inlineStr">
        <is>
          <t>x</t>
        </is>
      </c>
      <c r="J14" s="12" t="n">
        <v>1.8</v>
      </c>
      <c r="K14" s="12">
        <f>D14*F14*J14</f>
        <v/>
      </c>
      <c r="L14" s="11" t="inlineStr">
        <is>
          <t>sqm</t>
        </is>
      </c>
      <c r="M14" s="7" t="n"/>
      <c r="N14" s="7" t="n"/>
    </row>
    <row r="15" ht="18" customHeight="1">
      <c r="A15" s="8" t="n"/>
      <c r="B15" s="8" t="n"/>
      <c r="C15" s="9" t="inlineStr">
        <is>
          <t>Room 3 (Bed Room: 5.644m x 4.512m)</t>
        </is>
      </c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 ht="18" customHeight="1">
      <c r="A16" s="8" t="n"/>
      <c r="B16" s="8" t="n"/>
      <c r="C16" s="10" t="inlineStr">
        <is>
          <t xml:space="preserve">  All round walls (Perimeter = 2*(5.644+4.512)m)</t>
        </is>
      </c>
      <c r="D16" s="11" t="n">
        <v>1</v>
      </c>
      <c r="E16" s="11" t="inlineStr">
        <is>
          <t>x</t>
        </is>
      </c>
      <c r="F16" s="12" t="n">
        <v>20.312</v>
      </c>
      <c r="G16" s="7" t="n"/>
      <c r="H16" s="7" t="n"/>
      <c r="I16" s="11" t="inlineStr">
        <is>
          <t>x</t>
        </is>
      </c>
      <c r="J16" s="12" t="n">
        <v>3.05</v>
      </c>
      <c r="K16" s="12">
        <f>D16*F16*J16</f>
        <v/>
      </c>
      <c r="L16" s="11" t="inlineStr">
        <is>
          <t>sqm</t>
        </is>
      </c>
      <c r="M16" s="7" t="n"/>
      <c r="N16" s="7" t="n"/>
    </row>
    <row r="17" ht="18" customHeight="1">
      <c r="A17" s="8" t="n"/>
      <c r="B17" s="8" t="n"/>
      <c r="C17" s="10" t="inlineStr">
        <is>
          <t xml:space="preserve">  Deduct : Door to corridor (D1)</t>
        </is>
      </c>
      <c r="D17" s="11" t="n">
        <v>-1</v>
      </c>
      <c r="E17" s="11" t="inlineStr">
        <is>
          <t>x</t>
        </is>
      </c>
      <c r="F17" s="13" t="n">
        <v>1.2</v>
      </c>
      <c r="G17" s="7" t="n"/>
      <c r="H17" s="7" t="n"/>
      <c r="I17" s="11" t="inlineStr">
        <is>
          <t>x</t>
        </is>
      </c>
      <c r="J17" s="12" t="n">
        <v>2.1</v>
      </c>
      <c r="K17" s="12">
        <f>D17*F17*J17</f>
        <v/>
      </c>
      <c r="L17" s="11" t="inlineStr">
        <is>
          <t>sqm</t>
        </is>
      </c>
      <c r="M17" s="7" t="n"/>
      <c r="N17" s="7" t="n"/>
    </row>
    <row r="18" ht="18" customHeight="1">
      <c r="A18" s="8" t="n"/>
      <c r="B18" s="8" t="n"/>
      <c r="C18" s="10" t="inlineStr">
        <is>
          <t xml:space="preserve">  Deduct : Window (W1 - left wall)</t>
        </is>
      </c>
      <c r="D18" s="11" t="n">
        <v>-1</v>
      </c>
      <c r="E18" s="11" t="inlineStr">
        <is>
          <t>x</t>
        </is>
      </c>
      <c r="F18" s="13" t="n">
        <v>1.5</v>
      </c>
      <c r="G18" s="7" t="n"/>
      <c r="H18" s="7" t="n"/>
      <c r="I18" s="11" t="inlineStr">
        <is>
          <t>x</t>
        </is>
      </c>
      <c r="J18" s="12" t="n">
        <v>1.8</v>
      </c>
      <c r="K18" s="12">
        <f>D18*F18*J18</f>
        <v/>
      </c>
      <c r="L18" s="11" t="inlineStr">
        <is>
          <t>sqm</t>
        </is>
      </c>
      <c r="M18" s="7" t="n"/>
      <c r="N18" s="7" t="n"/>
    </row>
    <row r="19" ht="18" customHeight="1">
      <c r="A19" s="8" t="n"/>
      <c r="B19" s="8" t="n"/>
      <c r="C19" s="9" t="inlineStr">
        <is>
          <t>Room 4 (Bed Room: 5.644m x 3.912m)</t>
        </is>
      </c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 ht="18" customHeight="1">
      <c r="A20" s="8" t="n"/>
      <c r="B20" s="8" t="n"/>
      <c r="C20" s="10" t="inlineStr">
        <is>
          <t xml:space="preserve">  All round walls (Perimeter = 2*(5.644+3.912)m)</t>
        </is>
      </c>
      <c r="D20" s="11" t="n">
        <v>1</v>
      </c>
      <c r="E20" s="11" t="inlineStr">
        <is>
          <t>x</t>
        </is>
      </c>
      <c r="F20" s="12" t="n">
        <v>19.112</v>
      </c>
      <c r="G20" s="7" t="n"/>
      <c r="H20" s="7" t="n"/>
      <c r="I20" s="11" t="inlineStr">
        <is>
          <t>x</t>
        </is>
      </c>
      <c r="J20" s="12" t="n">
        <v>3.05</v>
      </c>
      <c r="K20" s="12">
        <f>D20*F20*J20</f>
        <v/>
      </c>
      <c r="L20" s="11" t="inlineStr">
        <is>
          <t>sqm</t>
        </is>
      </c>
      <c r="M20" s="7" t="n"/>
      <c r="N20" s="7" t="n"/>
    </row>
    <row r="21" ht="18" customHeight="1">
      <c r="A21" s="8" t="n"/>
      <c r="B21" s="8" t="n"/>
      <c r="C21" s="10" t="inlineStr">
        <is>
          <t xml:space="preserve">  Deduct : Door to corridor (D1)</t>
        </is>
      </c>
      <c r="D21" s="11" t="n">
        <v>-1</v>
      </c>
      <c r="E21" s="11" t="inlineStr">
        <is>
          <t>x</t>
        </is>
      </c>
      <c r="F21" s="13" t="n">
        <v>1.2</v>
      </c>
      <c r="G21" s="7" t="n"/>
      <c r="H21" s="7" t="n"/>
      <c r="I21" s="11" t="inlineStr">
        <is>
          <t>x</t>
        </is>
      </c>
      <c r="J21" s="12" t="n">
        <v>2.1</v>
      </c>
      <c r="K21" s="12">
        <f>D21*F21*J21</f>
        <v/>
      </c>
      <c r="L21" s="11" t="inlineStr">
        <is>
          <t>sqm</t>
        </is>
      </c>
      <c r="M21" s="7" t="n"/>
      <c r="N21" s="7" t="n"/>
    </row>
    <row r="22" ht="18" customHeight="1">
      <c r="A22" s="8" t="n"/>
      <c r="B22" s="8" t="n"/>
      <c r="C22" s="10" t="inlineStr">
        <is>
          <t xml:space="preserve">  Deduct : Window (W1 - left wall)</t>
        </is>
      </c>
      <c r="D22" s="11" t="n">
        <v>-1</v>
      </c>
      <c r="E22" s="11" t="inlineStr">
        <is>
          <t>x</t>
        </is>
      </c>
      <c r="F22" s="13" t="n">
        <v>1.5</v>
      </c>
      <c r="G22" s="7" t="n"/>
      <c r="H22" s="7" t="n"/>
      <c r="I22" s="11" t="inlineStr">
        <is>
          <t>x</t>
        </is>
      </c>
      <c r="J22" s="12" t="n">
        <v>1.8</v>
      </c>
      <c r="K22" s="12">
        <f>D22*F22*J22</f>
        <v/>
      </c>
      <c r="L22" s="11" t="inlineStr">
        <is>
          <t>sqm</t>
        </is>
      </c>
      <c r="M22" s="7" t="n"/>
      <c r="N22" s="7" t="n"/>
    </row>
    <row r="23" ht="18" customHeight="1">
      <c r="A23" s="8" t="n"/>
      <c r="B23" s="8" t="n"/>
      <c r="C23" s="9" t="inlineStr">
        <is>
          <t>Room 5 (Bed Room: 5.644m x 4.512m)</t>
        </is>
      </c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 ht="18" customHeight="1">
      <c r="A24" s="8" t="n"/>
      <c r="B24" s="8" t="n"/>
      <c r="C24" s="10" t="inlineStr">
        <is>
          <t xml:space="preserve">  All round walls (Perimeter = 2*(5.644+4.512)m)</t>
        </is>
      </c>
      <c r="D24" s="11" t="n">
        <v>1</v>
      </c>
      <c r="E24" s="11" t="inlineStr">
        <is>
          <t>x</t>
        </is>
      </c>
      <c r="F24" s="12" t="n">
        <v>20.312</v>
      </c>
      <c r="G24" s="7" t="n"/>
      <c r="H24" s="7" t="n"/>
      <c r="I24" s="11" t="inlineStr">
        <is>
          <t>x</t>
        </is>
      </c>
      <c r="J24" s="12" t="n">
        <v>3.05</v>
      </c>
      <c r="K24" s="12">
        <f>D24*F24*J24</f>
        <v/>
      </c>
      <c r="L24" s="11" t="inlineStr">
        <is>
          <t>sqm</t>
        </is>
      </c>
      <c r="M24" s="7" t="n"/>
      <c r="N24" s="7" t="n"/>
    </row>
    <row r="25" ht="18" customHeight="1">
      <c r="A25" s="8" t="n"/>
      <c r="B25" s="8" t="n"/>
      <c r="C25" s="10" t="inlineStr">
        <is>
          <t xml:space="preserve">  Deduct : Door to corridor (D1)</t>
        </is>
      </c>
      <c r="D25" s="11" t="n">
        <v>-1</v>
      </c>
      <c r="E25" s="11" t="inlineStr">
        <is>
          <t>x</t>
        </is>
      </c>
      <c r="F25" s="13" t="n">
        <v>1.2</v>
      </c>
      <c r="G25" s="7" t="n"/>
      <c r="H25" s="7" t="n"/>
      <c r="I25" s="11" t="inlineStr">
        <is>
          <t>x</t>
        </is>
      </c>
      <c r="J25" s="12" t="n">
        <v>2.1</v>
      </c>
      <c r="K25" s="12">
        <f>D25*F25*J25</f>
        <v/>
      </c>
      <c r="L25" s="11" t="inlineStr">
        <is>
          <t>sqm</t>
        </is>
      </c>
      <c r="M25" s="7" t="n"/>
      <c r="N25" s="7" t="n"/>
    </row>
    <row r="26" ht="18" customHeight="1">
      <c r="A26" s="8" t="n"/>
      <c r="B26" s="8" t="n"/>
      <c r="C26" s="10" t="inlineStr">
        <is>
          <t xml:space="preserve">  Deduct : Window (W1 - left wall)</t>
        </is>
      </c>
      <c r="D26" s="11" t="n">
        <v>-1</v>
      </c>
      <c r="E26" s="11" t="inlineStr">
        <is>
          <t>x</t>
        </is>
      </c>
      <c r="F26" s="13" t="n">
        <v>1.5</v>
      </c>
      <c r="G26" s="7" t="n"/>
      <c r="H26" s="7" t="n"/>
      <c r="I26" s="11" t="inlineStr">
        <is>
          <t>x</t>
        </is>
      </c>
      <c r="J26" s="12" t="n">
        <v>1.8</v>
      </c>
      <c r="K26" s="12">
        <f>D26*F26*J26</f>
        <v/>
      </c>
      <c r="L26" s="11" t="inlineStr">
        <is>
          <t>sqm</t>
        </is>
      </c>
      <c r="M26" s="7" t="n"/>
      <c r="N26" s="7" t="n"/>
    </row>
    <row r="27" ht="18" customHeight="1">
      <c r="A27" s="8" t="n"/>
      <c r="B27" s="8" t="n"/>
      <c r="C27" s="9" t="inlineStr">
        <is>
          <t>Room 6 (Meeting / Living Hall with Annex: 7.944m x 2.944m)</t>
        </is>
      </c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 ht="18" customHeight="1">
      <c r="A28" s="8" t="n"/>
      <c r="B28" s="8" t="n"/>
      <c r="C28" s="10" t="inlineStr">
        <is>
          <t xml:space="preserve">  All round walls (Perimeter = 2*(7.944+2.944)m)</t>
        </is>
      </c>
      <c r="D28" s="11" t="n">
        <v>1</v>
      </c>
      <c r="E28" s="11" t="inlineStr">
        <is>
          <t>x</t>
        </is>
      </c>
      <c r="F28" s="12" t="n">
        <v>21.776</v>
      </c>
      <c r="G28" s="7" t="n"/>
      <c r="H28" s="7" t="n"/>
      <c r="I28" s="11" t="inlineStr">
        <is>
          <t>x</t>
        </is>
      </c>
      <c r="J28" s="12" t="n">
        <v>3.05</v>
      </c>
      <c r="K28" s="12">
        <f>D28*F28*J28</f>
        <v/>
      </c>
      <c r="L28" s="11" t="inlineStr">
        <is>
          <t>sqm</t>
        </is>
      </c>
      <c r="M28" s="7" t="n"/>
      <c r="N28" s="7" t="n"/>
    </row>
    <row r="29" ht="18" customHeight="1">
      <c r="A29" s="8" t="n"/>
      <c r="B29" s="8" t="n"/>
      <c r="C29" s="10" t="inlineStr">
        <is>
          <t xml:space="preserve">  Deduct : Double Door (to corridor)</t>
        </is>
      </c>
      <c r="D29" s="11" t="n">
        <v>-1</v>
      </c>
      <c r="E29" s="11" t="inlineStr">
        <is>
          <t>x</t>
        </is>
      </c>
      <c r="F29" s="13" t="n">
        <v>1.5</v>
      </c>
      <c r="G29" s="7" t="n"/>
      <c r="H29" s="7" t="n"/>
      <c r="I29" s="11" t="inlineStr">
        <is>
          <t>x</t>
        </is>
      </c>
      <c r="J29" s="12" t="n">
        <v>2.1</v>
      </c>
      <c r="K29" s="12">
        <f>D29*F29*J29</f>
        <v/>
      </c>
      <c r="L29" s="11" t="inlineStr">
        <is>
          <t>sqm</t>
        </is>
      </c>
      <c r="M29" s="7" t="n"/>
      <c r="N29" s="7" t="n"/>
    </row>
    <row r="30" ht="18" customHeight="1">
      <c r="A30" s="8" t="n"/>
      <c r="B30" s="8" t="n"/>
      <c r="C30" s="10" t="inlineStr">
        <is>
          <t xml:space="preserve">  Deduct : Window (W1 - west wall)</t>
        </is>
      </c>
      <c r="D30" s="11" t="n">
        <v>-1</v>
      </c>
      <c r="E30" s="11" t="inlineStr">
        <is>
          <t>x</t>
        </is>
      </c>
      <c r="F30" s="13" t="n">
        <v>1.5</v>
      </c>
      <c r="G30" s="7" t="n"/>
      <c r="H30" s="7" t="n"/>
      <c r="I30" s="11" t="inlineStr">
        <is>
          <t>x</t>
        </is>
      </c>
      <c r="J30" s="12" t="n">
        <v>1.8</v>
      </c>
      <c r="K30" s="12">
        <f>D30*F30*J30</f>
        <v/>
      </c>
      <c r="L30" s="11" t="inlineStr">
        <is>
          <t>sqm</t>
        </is>
      </c>
      <c r="M30" s="7" t="n"/>
      <c r="N30" s="7" t="n"/>
    </row>
    <row r="31" ht="18" customHeight="1">
      <c r="A31" s="8" t="n"/>
      <c r="B31" s="8" t="n"/>
      <c r="C31" s="9" t="inlineStr">
        <is>
          <t>Room 7 (Attached Room / Toilet: 2.300m x 3.228m)</t>
        </is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 ht="18" customHeight="1">
      <c r="A32" s="8" t="n"/>
      <c r="B32" s="8" t="n"/>
      <c r="C32" s="10" t="inlineStr">
        <is>
          <t xml:space="preserve">  All round walls (Perimeter = 2*(2.300+3.228)m)</t>
        </is>
      </c>
      <c r="D32" s="11" t="n">
        <v>1</v>
      </c>
      <c r="E32" s="11" t="inlineStr">
        <is>
          <t>x</t>
        </is>
      </c>
      <c r="F32" s="12" t="n">
        <v>11.056</v>
      </c>
      <c r="G32" s="7" t="n"/>
      <c r="H32" s="7" t="n"/>
      <c r="I32" s="11" t="inlineStr">
        <is>
          <t>x</t>
        </is>
      </c>
      <c r="J32" s="12" t="n">
        <v>3.05</v>
      </c>
      <c r="K32" s="12">
        <f>D32*F32*J32</f>
        <v/>
      </c>
      <c r="L32" s="11" t="inlineStr">
        <is>
          <t>sqm</t>
        </is>
      </c>
      <c r="M32" s="7" t="n"/>
      <c r="N32" s="7" t="n"/>
    </row>
    <row r="33" ht="18" customHeight="1">
      <c r="A33" s="8" t="n"/>
      <c r="B33" s="8" t="n"/>
      <c r="C33" s="10" t="inlineStr">
        <is>
          <t xml:space="preserve">  Deduct : Door (D3)</t>
        </is>
      </c>
      <c r="D33" s="11" t="n">
        <v>-1</v>
      </c>
      <c r="E33" s="11" t="inlineStr">
        <is>
          <t>x</t>
        </is>
      </c>
      <c r="F33" s="13" t="n">
        <v>0.9</v>
      </c>
      <c r="G33" s="7" t="n"/>
      <c r="H33" s="7" t="n"/>
      <c r="I33" s="11" t="inlineStr">
        <is>
          <t>x</t>
        </is>
      </c>
      <c r="J33" s="12" t="n">
        <v>2.1</v>
      </c>
      <c r="K33" s="12">
        <f>D33*F33*J33</f>
        <v/>
      </c>
      <c r="L33" s="11" t="inlineStr">
        <is>
          <t>sqm</t>
        </is>
      </c>
      <c r="M33" s="7" t="n"/>
      <c r="N33" s="7" t="n"/>
    </row>
    <row r="34" ht="18" customHeight="1">
      <c r="A34" s="8" t="n"/>
      <c r="B34" s="8" t="n"/>
      <c r="C34" s="10" t="inlineStr">
        <is>
          <t xml:space="preserve">  Deduct : Ventilator (V)</t>
        </is>
      </c>
      <c r="D34" s="11" t="n">
        <v>-1</v>
      </c>
      <c r="E34" s="11" t="inlineStr">
        <is>
          <t>x</t>
        </is>
      </c>
      <c r="F34" s="13" t="n">
        <v>0.6</v>
      </c>
      <c r="G34" s="7" t="n"/>
      <c r="H34" s="7" t="n"/>
      <c r="I34" s="11" t="inlineStr">
        <is>
          <t>x</t>
        </is>
      </c>
      <c r="J34" s="12" t="n">
        <v>0.6</v>
      </c>
      <c r="K34" s="12">
        <f>D34*F34*J34</f>
        <v/>
      </c>
      <c r="L34" s="11" t="inlineStr">
        <is>
          <t>sqm</t>
        </is>
      </c>
      <c r="M34" s="7" t="n"/>
      <c r="N34" s="7" t="n"/>
    </row>
    <row r="35" ht="18" customHeight="1">
      <c r="A35" s="8" t="n"/>
      <c r="B35" s="8" t="n"/>
      <c r="C35" s="9" t="inlineStr">
        <is>
          <t>Room 8 (Left Wing Suite: 5.131m x 4.610m)</t>
        </is>
      </c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 ht="18" customHeight="1">
      <c r="A36" s="8" t="n"/>
      <c r="B36" s="8" t="n"/>
      <c r="C36" s="10" t="inlineStr">
        <is>
          <t xml:space="preserve">  Outer walls (Perimeter = 2*(5.131+4.610)m)</t>
        </is>
      </c>
      <c r="D36" s="11" t="n">
        <v>1</v>
      </c>
      <c r="E36" s="11" t="inlineStr">
        <is>
          <t>x</t>
        </is>
      </c>
      <c r="F36" s="12" t="n">
        <v>19.482</v>
      </c>
      <c r="G36" s="7" t="n"/>
      <c r="H36" s="7" t="n"/>
      <c r="I36" s="11" t="inlineStr">
        <is>
          <t>x</t>
        </is>
      </c>
      <c r="J36" s="12" t="n">
        <v>3.05</v>
      </c>
      <c r="K36" s="12">
        <f>D36*F36*J36</f>
        <v/>
      </c>
      <c r="L36" s="11" t="inlineStr">
        <is>
          <t>sqm</t>
        </is>
      </c>
      <c r="M36" s="7" t="n"/>
      <c r="N36" s="7" t="n"/>
    </row>
    <row r="37" ht="18" customHeight="1">
      <c r="A37" s="8" t="n"/>
      <c r="B37" s="8" t="n"/>
      <c r="C37" s="10" t="inlineStr">
        <is>
          <t xml:space="preserve">  Internal partition wall (both faces)</t>
        </is>
      </c>
      <c r="D37" s="11" t="n">
        <v>2</v>
      </c>
      <c r="E37" s="11" t="inlineStr">
        <is>
          <t>x</t>
        </is>
      </c>
      <c r="F37" s="13" t="n">
        <v>3</v>
      </c>
      <c r="G37" s="7" t="n"/>
      <c r="H37" s="7" t="n"/>
      <c r="I37" s="11" t="inlineStr">
        <is>
          <t>x</t>
        </is>
      </c>
      <c r="J37" s="12" t="n">
        <v>3.05</v>
      </c>
      <c r="K37" s="12">
        <f>D37*F37*J37</f>
        <v/>
      </c>
      <c r="L37" s="11" t="inlineStr">
        <is>
          <t>sqm</t>
        </is>
      </c>
      <c r="M37" s="7" t="n"/>
      <c r="N37" s="7" t="n"/>
    </row>
    <row r="38" ht="18" customHeight="1">
      <c r="A38" s="8" t="n"/>
      <c r="B38" s="8" t="n"/>
      <c r="C38" s="10" t="inlineStr">
        <is>
          <t xml:space="preserve">  Deduct : Entrance door (to verandah)</t>
        </is>
      </c>
      <c r="D38" s="11" t="n">
        <v>-1</v>
      </c>
      <c r="E38" s="11" t="inlineStr">
        <is>
          <t>x</t>
        </is>
      </c>
      <c r="F38" s="13" t="n">
        <v>1.2</v>
      </c>
      <c r="G38" s="7" t="n"/>
      <c r="H38" s="7" t="n"/>
      <c r="I38" s="11" t="inlineStr">
        <is>
          <t>x</t>
        </is>
      </c>
      <c r="J38" s="12" t="n">
        <v>2.1</v>
      </c>
      <c r="K38" s="12">
        <f>D38*F38*J38</f>
        <v/>
      </c>
      <c r="L38" s="11" t="inlineStr">
        <is>
          <t>sqm</t>
        </is>
      </c>
      <c r="M38" s="7" t="n"/>
      <c r="N38" s="7" t="n"/>
    </row>
    <row r="39" ht="18" customHeight="1">
      <c r="A39" s="8" t="n"/>
      <c r="B39" s="8" t="n"/>
      <c r="C39" s="10" t="inlineStr">
        <is>
          <t xml:space="preserve">  Deduct : Internal partition door</t>
        </is>
      </c>
      <c r="D39" s="11" t="n">
        <v>-1</v>
      </c>
      <c r="E39" s="11" t="inlineStr">
        <is>
          <t>x</t>
        </is>
      </c>
      <c r="F39" s="13" t="n">
        <v>0.9</v>
      </c>
      <c r="G39" s="7" t="n"/>
      <c r="H39" s="7" t="n"/>
      <c r="I39" s="11" t="inlineStr">
        <is>
          <t>x</t>
        </is>
      </c>
      <c r="J39" s="12" t="n">
        <v>2.1</v>
      </c>
      <c r="K39" s="12">
        <f>D39*F39*J39</f>
        <v/>
      </c>
      <c r="L39" s="11" t="inlineStr">
        <is>
          <t>sqm</t>
        </is>
      </c>
      <c r="M39" s="7" t="n"/>
      <c r="N39" s="7" t="n"/>
    </row>
    <row r="40" ht="18" customHeight="1">
      <c r="A40" s="8" t="n"/>
      <c r="B40" s="8" t="n"/>
      <c r="C40" s="10" t="inlineStr">
        <is>
          <t xml:space="preserve">  Deduct : Windows (W1 - 2 nos)</t>
        </is>
      </c>
      <c r="D40" s="11" t="n">
        <v>-2</v>
      </c>
      <c r="E40" s="11" t="inlineStr">
        <is>
          <t>x</t>
        </is>
      </c>
      <c r="F40" s="13" t="n">
        <v>1.5</v>
      </c>
      <c r="G40" s="7" t="n"/>
      <c r="H40" s="7" t="n"/>
      <c r="I40" s="11" t="inlineStr">
        <is>
          <t>x</t>
        </is>
      </c>
      <c r="J40" s="12" t="n">
        <v>1.8</v>
      </c>
      <c r="K40" s="12">
        <f>D40*F40*J40</f>
        <v/>
      </c>
      <c r="L40" s="11" t="inlineStr">
        <is>
          <t>sqm</t>
        </is>
      </c>
      <c r="M40" s="7" t="n"/>
      <c r="N40" s="7" t="n"/>
    </row>
    <row r="41" ht="18" customHeight="1">
      <c r="A41" s="8" t="n"/>
      <c r="B41" s="8" t="n"/>
      <c r="C41" s="9" t="inlineStr">
        <is>
          <t>Room 9 (Left Wing Room: 5.131m x 3.160m)</t>
        </is>
      </c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 ht="18" customHeight="1">
      <c r="A42" s="8" t="n"/>
      <c r="B42" s="8" t="n"/>
      <c r="C42" s="10" t="inlineStr">
        <is>
          <t xml:space="preserve">  All round walls (Perimeter = 2*(5.131+3.160)m)</t>
        </is>
      </c>
      <c r="D42" s="11" t="n">
        <v>1</v>
      </c>
      <c r="E42" s="11" t="inlineStr">
        <is>
          <t>x</t>
        </is>
      </c>
      <c r="F42" s="12" t="n">
        <v>16.582</v>
      </c>
      <c r="G42" s="7" t="n"/>
      <c r="H42" s="7" t="n"/>
      <c r="I42" s="11" t="inlineStr">
        <is>
          <t>x</t>
        </is>
      </c>
      <c r="J42" s="12" t="n">
        <v>3.05</v>
      </c>
      <c r="K42" s="12">
        <f>D42*F42*J42</f>
        <v/>
      </c>
      <c r="L42" s="11" t="inlineStr">
        <is>
          <t>sqm</t>
        </is>
      </c>
      <c r="M42" s="7" t="n"/>
      <c r="N42" s="7" t="n"/>
    </row>
    <row r="43" ht="18" customHeight="1">
      <c r="A43" s="8" t="n"/>
      <c r="B43" s="8" t="n"/>
      <c r="C43" s="10" t="inlineStr">
        <is>
          <t xml:space="preserve">  Deduct : Entrance door (to verandah)</t>
        </is>
      </c>
      <c r="D43" s="11" t="n">
        <v>-1</v>
      </c>
      <c r="E43" s="11" t="inlineStr">
        <is>
          <t>x</t>
        </is>
      </c>
      <c r="F43" s="13" t="n">
        <v>1.2</v>
      </c>
      <c r="G43" s="7" t="n"/>
      <c r="H43" s="7" t="n"/>
      <c r="I43" s="11" t="inlineStr">
        <is>
          <t>x</t>
        </is>
      </c>
      <c r="J43" s="12" t="n">
        <v>2.1</v>
      </c>
      <c r="K43" s="12">
        <f>D43*F43*J43</f>
        <v/>
      </c>
      <c r="L43" s="11" t="inlineStr">
        <is>
          <t>sqm</t>
        </is>
      </c>
      <c r="M43" s="7" t="n"/>
      <c r="N43" s="7" t="n"/>
    </row>
    <row r="44" ht="18" customHeight="1">
      <c r="A44" s="8" t="n"/>
      <c r="B44" s="8" t="n"/>
      <c r="C44" s="10" t="inlineStr">
        <is>
          <t xml:space="preserve">  Deduct : Window (W1)</t>
        </is>
      </c>
      <c r="D44" s="11" t="n">
        <v>-1</v>
      </c>
      <c r="E44" s="11" t="inlineStr">
        <is>
          <t>x</t>
        </is>
      </c>
      <c r="F44" s="13" t="n">
        <v>1.5</v>
      </c>
      <c r="G44" s="7" t="n"/>
      <c r="H44" s="7" t="n"/>
      <c r="I44" s="11" t="inlineStr">
        <is>
          <t>x</t>
        </is>
      </c>
      <c r="J44" s="12" t="n">
        <v>1.8</v>
      </c>
      <c r="K44" s="12">
        <f>D44*F44*J44</f>
        <v/>
      </c>
      <c r="L44" s="11" t="inlineStr">
        <is>
          <t>sqm</t>
        </is>
      </c>
      <c r="M44" s="7" t="n"/>
      <c r="N44" s="7" t="n"/>
    </row>
    <row r="45" ht="18" customHeight="1">
      <c r="A45" s="8" t="n"/>
      <c r="B45" s="8" t="n"/>
      <c r="C45" s="9" t="inlineStr">
        <is>
          <t>Room 10 (Office / Guard Room: 3.126m x 3.154m)</t>
        </is>
      </c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 ht="18" customHeight="1">
      <c r="A46" s="8" t="n"/>
      <c r="B46" s="8" t="n"/>
      <c r="C46" s="10" t="inlineStr">
        <is>
          <t xml:space="preserve">  All round walls (Perimeter = 2*(3.126+3.154)m)</t>
        </is>
      </c>
      <c r="D46" s="11" t="n">
        <v>1</v>
      </c>
      <c r="E46" s="11" t="inlineStr">
        <is>
          <t>x</t>
        </is>
      </c>
      <c r="F46" s="12" t="n">
        <v>12.56</v>
      </c>
      <c r="G46" s="7" t="n"/>
      <c r="H46" s="7" t="n"/>
      <c r="I46" s="11" t="inlineStr">
        <is>
          <t>x</t>
        </is>
      </c>
      <c r="J46" s="12" t="n">
        <v>3.05</v>
      </c>
      <c r="K46" s="12">
        <f>D46*F46*J46</f>
        <v/>
      </c>
      <c r="L46" s="11" t="inlineStr">
        <is>
          <t>sqm</t>
        </is>
      </c>
      <c r="M46" s="7" t="n"/>
      <c r="N46" s="7" t="n"/>
    </row>
    <row r="47" ht="18" customHeight="1">
      <c r="A47" s="8" t="n"/>
      <c r="B47" s="8" t="n"/>
      <c r="C47" s="10" t="inlineStr">
        <is>
          <t xml:space="preserve">  Deduct : Double Door (to corridor)</t>
        </is>
      </c>
      <c r="D47" s="11" t="n">
        <v>-1</v>
      </c>
      <c r="E47" s="11" t="inlineStr">
        <is>
          <t>x</t>
        </is>
      </c>
      <c r="F47" s="13" t="n">
        <v>1.5</v>
      </c>
      <c r="G47" s="7" t="n"/>
      <c r="H47" s="7" t="n"/>
      <c r="I47" s="11" t="inlineStr">
        <is>
          <t>x</t>
        </is>
      </c>
      <c r="J47" s="12" t="n">
        <v>2.1</v>
      </c>
      <c r="K47" s="12">
        <f>D47*F47*J47</f>
        <v/>
      </c>
      <c r="L47" s="11" t="inlineStr">
        <is>
          <t>sqm</t>
        </is>
      </c>
      <c r="M47" s="7" t="n"/>
      <c r="N47" s="7" t="n"/>
    </row>
    <row r="48" ht="18" customHeight="1">
      <c r="A48" s="8" t="n"/>
      <c r="B48" s="8" t="n"/>
      <c r="C48" s="10" t="inlineStr">
        <is>
          <t xml:space="preserve">  Deduct : Window (W1)</t>
        </is>
      </c>
      <c r="D48" s="11" t="n">
        <v>-1</v>
      </c>
      <c r="E48" s="11" t="inlineStr">
        <is>
          <t>x</t>
        </is>
      </c>
      <c r="F48" s="13" t="n">
        <v>1.5</v>
      </c>
      <c r="G48" s="7" t="n"/>
      <c r="H48" s="7" t="n"/>
      <c r="I48" s="11" t="inlineStr">
        <is>
          <t>x</t>
        </is>
      </c>
      <c r="J48" s="12" t="n">
        <v>1.8</v>
      </c>
      <c r="K48" s="12">
        <f>D48*F48*J48</f>
        <v/>
      </c>
      <c r="L48" s="11" t="inlineStr">
        <is>
          <t>sqm</t>
        </is>
      </c>
      <c r="M48" s="7" t="n"/>
      <c r="N48" s="7" t="n"/>
    </row>
    <row r="49" ht="18" customHeight="1">
      <c r="A49" s="8" t="n"/>
      <c r="B49" s="8" t="n"/>
      <c r="C49" s="9" t="inlineStr">
        <is>
          <t>Staircase Well (5.644m x 3.228m)</t>
        </is>
      </c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 ht="18" customHeight="1">
      <c r="A50" s="8" t="n"/>
      <c r="B50" s="8" t="n"/>
      <c r="C50" s="10" t="inlineStr">
        <is>
          <t xml:space="preserve">  Well perimeter walls = 2*(5.644+3.228)m</t>
        </is>
      </c>
      <c r="D50" s="11" t="n">
        <v>1</v>
      </c>
      <c r="E50" s="11" t="inlineStr">
        <is>
          <t>x</t>
        </is>
      </c>
      <c r="F50" s="12" t="n">
        <v>17.744</v>
      </c>
      <c r="G50" s="7" t="n"/>
      <c r="H50" s="7" t="n"/>
      <c r="I50" s="11" t="inlineStr">
        <is>
          <t>x</t>
        </is>
      </c>
      <c r="J50" s="12" t="n">
        <v>3.05</v>
      </c>
      <c r="K50" s="12">
        <f>D50*F50*J50</f>
        <v/>
      </c>
      <c r="L50" s="11" t="inlineStr">
        <is>
          <t>sqm</t>
        </is>
      </c>
      <c r="M50" s="7" t="n"/>
      <c r="N50" s="7" t="n"/>
    </row>
    <row r="51" ht="18" customHeight="1">
      <c r="A51" s="8" t="n"/>
      <c r="B51" s="8" t="n"/>
      <c r="C51" s="10" t="inlineStr">
        <is>
          <t xml:space="preserve">  Deduct : Staircase landing window</t>
        </is>
      </c>
      <c r="D51" s="11" t="n">
        <v>-1</v>
      </c>
      <c r="E51" s="11" t="inlineStr">
        <is>
          <t>x</t>
        </is>
      </c>
      <c r="F51" s="13" t="n">
        <v>1.5</v>
      </c>
      <c r="G51" s="7" t="n"/>
      <c r="H51" s="7" t="n"/>
      <c r="I51" s="11" t="inlineStr">
        <is>
          <t>x</t>
        </is>
      </c>
      <c r="J51" s="12" t="n">
        <v>1.8</v>
      </c>
      <c r="K51" s="12">
        <f>D51*F51*J51</f>
        <v/>
      </c>
      <c r="L51" s="11" t="inlineStr">
        <is>
          <t>sqm</t>
        </is>
      </c>
      <c r="M51" s="7" t="n"/>
      <c r="N51" s="7" t="n"/>
    </row>
    <row r="52" ht="18" customHeight="1">
      <c r="A52" s="8" t="n"/>
      <c r="B52" s="8" t="n"/>
      <c r="C52" s="9" t="inlineStr">
        <is>
          <t>Room 11 (Main Corridor / Passage Spine)</t>
        </is>
      </c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</row>
    <row r="53" ht="18" customHeight="1">
      <c r="A53" s="8" t="n"/>
      <c r="B53" s="8" t="n"/>
      <c r="C53" s="10" t="inlineStr">
        <is>
          <t xml:space="preserve">  Corridor perimeter walls (running length)</t>
        </is>
      </c>
      <c r="D53" s="11" t="n">
        <v>1</v>
      </c>
      <c r="E53" s="11" t="inlineStr">
        <is>
          <t>x</t>
        </is>
      </c>
      <c r="F53" s="12" t="n">
        <v>45.232</v>
      </c>
      <c r="G53" s="7" t="n"/>
      <c r="H53" s="7" t="n"/>
      <c r="I53" s="11" t="inlineStr">
        <is>
          <t>x</t>
        </is>
      </c>
      <c r="J53" s="12" t="n">
        <v>3.05</v>
      </c>
      <c r="K53" s="12">
        <f>D53*F53*J53</f>
        <v/>
      </c>
      <c r="L53" s="11" t="inlineStr">
        <is>
          <t>sqm</t>
        </is>
      </c>
      <c r="M53" s="7" t="n"/>
      <c r="N53" s="7" t="n"/>
    </row>
    <row r="54" ht="18" customHeight="1">
      <c r="A54" s="8" t="n"/>
      <c r="B54" s="8" t="n"/>
      <c r="C54" s="10" t="inlineStr">
        <is>
          <t xml:space="preserve">  Deduct : Room doors opening onto corridor</t>
        </is>
      </c>
      <c r="D54" s="11" t="n">
        <v>-6</v>
      </c>
      <c r="E54" s="11" t="inlineStr">
        <is>
          <t>x</t>
        </is>
      </c>
      <c r="F54" s="13" t="n">
        <v>1.2</v>
      </c>
      <c r="G54" s="7" t="n"/>
      <c r="H54" s="7" t="n"/>
      <c r="I54" s="11" t="inlineStr">
        <is>
          <t>x</t>
        </is>
      </c>
      <c r="J54" s="12" t="n">
        <v>2.1</v>
      </c>
      <c r="K54" s="12">
        <f>D54*F54*J54</f>
        <v/>
      </c>
      <c r="L54" s="11" t="inlineStr">
        <is>
          <t>sqm</t>
        </is>
      </c>
      <c r="M54" s="7" t="n"/>
      <c r="N54" s="7" t="n"/>
    </row>
    <row r="55" ht="18" customHeight="1">
      <c r="A55" s="8" t="n"/>
      <c r="B55" s="8" t="n"/>
      <c r="C55" s="10" t="inlineStr">
        <is>
          <t xml:space="preserve">  Deduct : Double doors (Rooms 6 &amp; 10)</t>
        </is>
      </c>
      <c r="D55" s="11" t="n">
        <v>-2</v>
      </c>
      <c r="E55" s="11" t="inlineStr">
        <is>
          <t>x</t>
        </is>
      </c>
      <c r="F55" s="13" t="n">
        <v>1.5</v>
      </c>
      <c r="G55" s="7" t="n"/>
      <c r="H55" s="7" t="n"/>
      <c r="I55" s="11" t="inlineStr">
        <is>
          <t>x</t>
        </is>
      </c>
      <c r="J55" s="12" t="n">
        <v>2.1</v>
      </c>
      <c r="K55" s="12">
        <f>D55*F55*J55</f>
        <v/>
      </c>
      <c r="L55" s="11" t="inlineStr">
        <is>
          <t>sqm</t>
        </is>
      </c>
      <c r="M55" s="7" t="n"/>
      <c r="N55" s="7" t="n"/>
    </row>
    <row r="56" ht="18" customHeight="1">
      <c r="A56" s="8" t="n"/>
      <c r="B56" s="8" t="n"/>
      <c r="C56" s="9" t="inlineStr">
        <is>
          <t>Internal RCC Beams (Sides &amp; Soffits below ceiling, Girth=0.73m)</t>
        </is>
      </c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</row>
    <row r="57" ht="18" customHeight="1">
      <c r="A57" s="8" t="n"/>
      <c r="B57" s="8" t="n"/>
      <c r="C57" s="10" t="inlineStr">
        <is>
          <t xml:space="preserve">  Cross beams over Rooms 1, 3, 4, 5, 6 (2 sides + soffit)</t>
        </is>
      </c>
      <c r="D57" s="11" t="n">
        <v>5</v>
      </c>
      <c r="E57" s="11" t="inlineStr">
        <is>
          <t>x</t>
        </is>
      </c>
      <c r="F57" s="13" t="n">
        <v>5.644</v>
      </c>
      <c r="G57" s="7" t="n"/>
      <c r="H57" s="7" t="n"/>
      <c r="I57" s="11" t="inlineStr">
        <is>
          <t>x</t>
        </is>
      </c>
      <c r="J57" s="12" t="n">
        <v>0.73</v>
      </c>
      <c r="K57" s="12">
        <f>D57*F57*J57</f>
        <v/>
      </c>
      <c r="L57" s="11" t="inlineStr">
        <is>
          <t>sqm</t>
        </is>
      </c>
      <c r="M57" s="7" t="n"/>
      <c r="N57" s="7" t="n"/>
    </row>
    <row r="58" ht="18" customHeight="1">
      <c r="A58" s="8" t="n"/>
      <c r="B58" s="8" t="n"/>
      <c r="C58" s="10" t="inlineStr">
        <is>
          <t xml:space="preserve">  Cross beam over Room 2 (2 sides + soffit)</t>
        </is>
      </c>
      <c r="D58" s="11" t="n">
        <v>1</v>
      </c>
      <c r="E58" s="11" t="inlineStr">
        <is>
          <t>x</t>
        </is>
      </c>
      <c r="F58" s="13" t="n">
        <v>6.5</v>
      </c>
      <c r="G58" s="7" t="n"/>
      <c r="H58" s="7" t="n"/>
      <c r="I58" s="11" t="inlineStr">
        <is>
          <t>x</t>
        </is>
      </c>
      <c r="J58" s="12" t="n">
        <v>0.73</v>
      </c>
      <c r="K58" s="12">
        <f>D58*F58*J58</f>
        <v/>
      </c>
      <c r="L58" s="11" t="inlineStr">
        <is>
          <t>sqm</t>
        </is>
      </c>
      <c r="M58" s="7" t="n"/>
      <c r="N58" s="7" t="n"/>
    </row>
    <row r="59" ht="18" customHeight="1">
      <c r="A59" s="8" t="n"/>
      <c r="B59" s="8" t="n"/>
      <c r="C59" s="10" t="inlineStr">
        <is>
          <t xml:space="preserve">  Corridor cross tie beams at column grid lines</t>
        </is>
      </c>
      <c r="D59" s="11" t="n">
        <v>6</v>
      </c>
      <c r="E59" s="11" t="inlineStr">
        <is>
          <t>x</t>
        </is>
      </c>
      <c r="F59" s="13" t="n">
        <v>3.056</v>
      </c>
      <c r="G59" s="7" t="n"/>
      <c r="H59" s="7" t="n"/>
      <c r="I59" s="11" t="inlineStr">
        <is>
          <t>x</t>
        </is>
      </c>
      <c r="J59" s="12" t="n">
        <v>0.73</v>
      </c>
      <c r="K59" s="12">
        <f>D59*F59*J59</f>
        <v/>
      </c>
      <c r="L59" s="11" t="inlineStr">
        <is>
          <t>sqm</t>
        </is>
      </c>
      <c r="M59" s="7" t="n"/>
      <c r="N59" s="7" t="n"/>
    </row>
    <row r="60" ht="18" customHeight="1">
      <c r="A60" s="8" t="n"/>
      <c r="B60" s="8" t="n"/>
      <c r="C60" s="10" t="inlineStr">
        <is>
          <t xml:space="preserve">  Corridor longitudinal spine beam face</t>
        </is>
      </c>
      <c r="D60" s="11" t="n">
        <v>1</v>
      </c>
      <c r="E60" s="11" t="inlineStr">
        <is>
          <t>x</t>
        </is>
      </c>
      <c r="F60" s="12" t="n">
        <v>21.088</v>
      </c>
      <c r="G60" s="7" t="n"/>
      <c r="H60" s="7" t="n"/>
      <c r="I60" s="11" t="inlineStr">
        <is>
          <t>x</t>
        </is>
      </c>
      <c r="J60" s="12" t="n">
        <v>0.25</v>
      </c>
      <c r="K60" s="12">
        <f>D60*F60*J60</f>
        <v/>
      </c>
      <c r="L60" s="11" t="inlineStr">
        <is>
          <t>sqm</t>
        </is>
      </c>
      <c r="M60" s="7" t="n"/>
      <c r="N60" s="7" t="n"/>
    </row>
    <row r="61" ht="18" customHeight="1">
      <c r="A61" s="8" t="n"/>
      <c r="B61" s="8" t="n"/>
      <c r="C61" s="10" t="inlineStr">
        <is>
          <t xml:space="preserve">  Left wing cross beams (Rooms 8, 9)</t>
        </is>
      </c>
      <c r="D61" s="11" t="n">
        <v>2</v>
      </c>
      <c r="E61" s="11" t="inlineStr">
        <is>
          <t>x</t>
        </is>
      </c>
      <c r="F61" s="13" t="n">
        <v>5.131</v>
      </c>
      <c r="G61" s="7" t="n"/>
      <c r="H61" s="7" t="n"/>
      <c r="I61" s="11" t="inlineStr">
        <is>
          <t>x</t>
        </is>
      </c>
      <c r="J61" s="12" t="n">
        <v>0.73</v>
      </c>
      <c r="K61" s="12">
        <f>D61*F61*J61</f>
        <v/>
      </c>
      <c r="L61" s="11" t="inlineStr">
        <is>
          <t>sqm</t>
        </is>
      </c>
      <c r="M61" s="7" t="n"/>
      <c r="N61" s="7" t="n"/>
    </row>
    <row r="62" ht="18" customHeight="1">
      <c r="A62" s="8" t="n"/>
      <c r="B62" s="8" t="n"/>
      <c r="C62" s="10" t="inlineStr">
        <is>
          <t xml:space="preserve">  Staircase well landing beams</t>
        </is>
      </c>
      <c r="D62" s="11" t="n">
        <v>2</v>
      </c>
      <c r="E62" s="11" t="inlineStr">
        <is>
          <t>x</t>
        </is>
      </c>
      <c r="F62" s="13" t="n">
        <v>3.228</v>
      </c>
      <c r="G62" s="7" t="n"/>
      <c r="H62" s="7" t="n"/>
      <c r="I62" s="11" t="inlineStr">
        <is>
          <t>x</t>
        </is>
      </c>
      <c r="J62" s="12" t="n">
        <v>0.73</v>
      </c>
      <c r="K62" s="12">
        <f>D62*F62*J62</f>
        <v/>
      </c>
      <c r="L62" s="11" t="inlineStr">
        <is>
          <t>sqm</t>
        </is>
      </c>
      <c r="M62" s="7" t="n"/>
      <c r="N62" s="7" t="n"/>
    </row>
    <row r="63" ht="18" customHeight="1">
      <c r="A63" s="8" t="n"/>
      <c r="B63" s="8" t="n"/>
      <c r="C63" s="14" t="inlineStr">
        <is>
          <t>Subtotal (First Floor Wall &amp; Beam Painting)</t>
        </is>
      </c>
      <c r="D63" s="7" t="n"/>
      <c r="E63" s="7" t="n"/>
      <c r="F63" s="7" t="n"/>
      <c r="G63" s="7" t="n"/>
      <c r="H63" s="7" t="n"/>
      <c r="I63" s="7" t="n"/>
      <c r="J63" s="7" t="n"/>
      <c r="K63" s="15">
        <f>ROUND(SUM(K7:K62), 2)</f>
        <v/>
      </c>
      <c r="L63" s="16" t="inlineStr">
        <is>
          <t>sqm</t>
        </is>
      </c>
      <c r="M63" s="7" t="n"/>
      <c r="N63" s="7" t="n"/>
    </row>
    <row r="64" ht="18" customHeight="1">
      <c r="A64" s="8" t="n"/>
      <c r="B64" s="8" t="n"/>
      <c r="C64" s="10" t="inlineStr">
        <is>
          <t xml:space="preserve">  Ground Floor (Identical Architectural Layout)</t>
        </is>
      </c>
      <c r="D64" s="11" t="n">
        <v>1</v>
      </c>
      <c r="E64" s="11" t="inlineStr">
        <is>
          <t>x</t>
        </is>
      </c>
      <c r="F64" s="7" t="n"/>
      <c r="G64" s="7" t="n"/>
      <c r="H64" s="7" t="n"/>
      <c r="I64" s="7" t="n"/>
      <c r="J64" s="7" t="n"/>
      <c r="K64" s="12">
        <f>K63</f>
        <v/>
      </c>
      <c r="L64" s="11" t="inlineStr">
        <is>
          <t>sqm</t>
        </is>
      </c>
      <c r="M64" s="7" t="n"/>
      <c r="N64" s="7" t="n"/>
    </row>
    <row r="65" ht="20" customHeight="1">
      <c r="A65" s="17" t="n"/>
      <c r="B65" s="17" t="n"/>
      <c r="C65" s="18" t="inlineStr">
        <is>
          <t>TOTAL FOR PLAN 1 (G+1 BOTH FLOORS) =</t>
        </is>
      </c>
      <c r="D65" s="19" t="n"/>
      <c r="E65" s="19" t="n"/>
      <c r="F65" s="19" t="n"/>
      <c r="G65" s="19" t="n"/>
      <c r="H65" s="19" t="n"/>
      <c r="I65" s="19" t="n"/>
      <c r="J65" s="19" t="n"/>
      <c r="K65" s="20">
        <f>ROUND(K63+K64, 2)</f>
        <v/>
      </c>
      <c r="L65" s="21" t="inlineStr">
        <is>
          <t>sqm</t>
        </is>
      </c>
      <c r="M65" s="22" t="n">
        <v>121.55</v>
      </c>
      <c r="N65" s="23">
        <f>ROUND(K65*M65, 2)</f>
        <v/>
      </c>
    </row>
    <row r="66" ht="6" customHeight="1"/>
    <row r="67" ht="24" customHeight="1">
      <c r="A67" s="5" t="n">
        <v>2</v>
      </c>
      <c r="B67" s="5" t="inlineStr">
        <is>
          <t>13.83.2</t>
        </is>
      </c>
      <c r="C67" s="6" t="inlineStr">
        <is>
          <t>PLAN 2: ASSAM TYPE BUILDING (DORMITORY / BARRACK BLOCK) - Wall &amp; Beam painting with premium acrylic emulsion paint</t>
        </is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 ht="18" customHeight="1">
      <c r="A68" s="8" t="n"/>
      <c r="B68" s="8" t="n"/>
      <c r="C68" s="9" t="inlineStr">
        <is>
          <t>Main Dormitory / Barrack Hall (9.292m x 6.100m)</t>
        </is>
      </c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</row>
    <row r="69" ht="18" customHeight="1">
      <c r="A69" s="8" t="n"/>
      <c r="B69" s="8" t="n"/>
      <c r="C69" s="10" t="inlineStr">
        <is>
          <t xml:space="preserve">  All round walls (Perimeter = 2*(9.292+6.100)m)</t>
        </is>
      </c>
      <c r="D69" s="11" t="n">
        <v>1</v>
      </c>
      <c r="E69" s="11" t="inlineStr">
        <is>
          <t>x</t>
        </is>
      </c>
      <c r="F69" s="12" t="n">
        <v>30.784</v>
      </c>
      <c r="G69" s="7" t="n"/>
      <c r="H69" s="7" t="n"/>
      <c r="I69" s="11" t="inlineStr">
        <is>
          <t>x</t>
        </is>
      </c>
      <c r="J69" s="12" t="n">
        <v>3.05</v>
      </c>
      <c r="K69" s="12">
        <f>D69*F69*J69</f>
        <v/>
      </c>
      <c r="L69" s="11" t="inlineStr">
        <is>
          <t>sqm</t>
        </is>
      </c>
      <c r="M69" s="7" t="n"/>
      <c r="N69" s="7" t="n"/>
    </row>
    <row r="70" ht="18" customHeight="1">
      <c r="A70" s="8" t="n"/>
      <c r="B70" s="8" t="n"/>
      <c r="C70" s="10" t="inlineStr">
        <is>
          <t xml:space="preserve">  Deduct : Windows on North wall</t>
        </is>
      </c>
      <c r="D70" s="11" t="n">
        <v>-2</v>
      </c>
      <c r="E70" s="11" t="inlineStr">
        <is>
          <t>x</t>
        </is>
      </c>
      <c r="F70" s="13" t="n">
        <v>1.8</v>
      </c>
      <c r="G70" s="7" t="n"/>
      <c r="H70" s="7" t="n"/>
      <c r="I70" s="11" t="inlineStr">
        <is>
          <t>x</t>
        </is>
      </c>
      <c r="J70" s="12" t="n">
        <v>1.35</v>
      </c>
      <c r="K70" s="12">
        <f>D70*F70*J70</f>
        <v/>
      </c>
      <c r="L70" s="11" t="inlineStr">
        <is>
          <t>sqm</t>
        </is>
      </c>
      <c r="M70" s="7" t="n"/>
      <c r="N70" s="7" t="n"/>
    </row>
    <row r="71" ht="18" customHeight="1">
      <c r="A71" s="8" t="n"/>
      <c r="B71" s="8" t="n"/>
      <c r="C71" s="10" t="inlineStr">
        <is>
          <t xml:space="preserve">  Deduct : Windows on South wall</t>
        </is>
      </c>
      <c r="D71" s="11" t="n">
        <v>-2</v>
      </c>
      <c r="E71" s="11" t="inlineStr">
        <is>
          <t>x</t>
        </is>
      </c>
      <c r="F71" s="13" t="n">
        <v>1.8</v>
      </c>
      <c r="G71" s="7" t="n"/>
      <c r="H71" s="7" t="n"/>
      <c r="I71" s="11" t="inlineStr">
        <is>
          <t>x</t>
        </is>
      </c>
      <c r="J71" s="12" t="n">
        <v>1.35</v>
      </c>
      <c r="K71" s="12">
        <f>D71*F71*J71</f>
        <v/>
      </c>
      <c r="L71" s="11" t="inlineStr">
        <is>
          <t>sqm</t>
        </is>
      </c>
      <c r="M71" s="7" t="n"/>
      <c r="N71" s="7" t="n"/>
    </row>
    <row r="72" ht="18" customHeight="1">
      <c r="A72" s="8" t="n"/>
      <c r="B72" s="8" t="n"/>
      <c r="C72" s="10" t="inlineStr">
        <is>
          <t xml:space="preserve">  Deduct : Main entrance door (to verandah)</t>
        </is>
      </c>
      <c r="D72" s="11" t="n">
        <v>-1</v>
      </c>
      <c r="E72" s="11" t="inlineStr">
        <is>
          <t>x</t>
        </is>
      </c>
      <c r="F72" s="13" t="n">
        <v>1.2</v>
      </c>
      <c r="G72" s="7" t="n"/>
      <c r="H72" s="7" t="n"/>
      <c r="I72" s="11" t="inlineStr">
        <is>
          <t>x</t>
        </is>
      </c>
      <c r="J72" s="12" t="n">
        <v>2.1</v>
      </c>
      <c r="K72" s="12">
        <f>D72*F72*J72</f>
        <v/>
      </c>
      <c r="L72" s="11" t="inlineStr">
        <is>
          <t>sqm</t>
        </is>
      </c>
      <c r="M72" s="7" t="n"/>
      <c r="N72" s="7" t="n"/>
    </row>
    <row r="73" ht="18" customHeight="1">
      <c r="A73" s="8" t="n"/>
      <c r="B73" s="8" t="n"/>
      <c r="C73" s="10" t="inlineStr">
        <is>
          <t xml:space="preserve">  Deduct : Window on East wall</t>
        </is>
      </c>
      <c r="D73" s="11" t="n">
        <v>-1</v>
      </c>
      <c r="E73" s="11" t="inlineStr">
        <is>
          <t>x</t>
        </is>
      </c>
      <c r="F73" s="13" t="n">
        <v>1.2</v>
      </c>
      <c r="G73" s="7" t="n"/>
      <c r="H73" s="7" t="n"/>
      <c r="I73" s="11" t="inlineStr">
        <is>
          <t>x</t>
        </is>
      </c>
      <c r="J73" s="12" t="n">
        <v>1.35</v>
      </c>
      <c r="K73" s="12">
        <f>D73*F73*J73</f>
        <v/>
      </c>
      <c r="L73" s="11" t="inlineStr">
        <is>
          <t>sqm</t>
        </is>
      </c>
      <c r="M73" s="7" t="n"/>
      <c r="N73" s="7" t="n"/>
    </row>
    <row r="74" ht="18" customHeight="1">
      <c r="A74" s="8" t="n"/>
      <c r="B74" s="8" t="n"/>
      <c r="C74" s="10" t="inlineStr">
        <is>
          <t xml:space="preserve">  Deduct : Door to toilet access lobby</t>
        </is>
      </c>
      <c r="D74" s="11" t="n">
        <v>-1</v>
      </c>
      <c r="E74" s="11" t="inlineStr">
        <is>
          <t>x</t>
        </is>
      </c>
      <c r="F74" s="13" t="n">
        <v>1.05</v>
      </c>
      <c r="G74" s="7" t="n"/>
      <c r="H74" s="7" t="n"/>
      <c r="I74" s="11" t="inlineStr">
        <is>
          <t>x</t>
        </is>
      </c>
      <c r="J74" s="12" t="n">
        <v>2.1</v>
      </c>
      <c r="K74" s="12">
        <f>D74*F74*J74</f>
        <v/>
      </c>
      <c r="L74" s="11" t="inlineStr">
        <is>
          <t>sqm</t>
        </is>
      </c>
      <c r="M74" s="7" t="n"/>
      <c r="N74" s="7" t="n"/>
    </row>
    <row r="75" ht="18" customHeight="1">
      <c r="A75" s="8" t="n"/>
      <c r="B75" s="8" t="n"/>
      <c r="C75" s="9" t="inlineStr">
        <is>
          <t>Toilet Block - 4 Cubicles (Walls above 2.10m dado, H=0.95m)</t>
        </is>
      </c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 ht="18" customHeight="1">
      <c r="A76" s="8" t="n"/>
      <c r="B76" s="8" t="n"/>
      <c r="C76" s="10" t="inlineStr">
        <is>
          <t xml:space="preserve">  Cubicle perimeter walls (4 cubicles x 6.640m)</t>
        </is>
      </c>
      <c r="D76" s="11" t="n">
        <v>4</v>
      </c>
      <c r="E76" s="11" t="inlineStr">
        <is>
          <t>x</t>
        </is>
      </c>
      <c r="F76" s="13" t="n">
        <v>6.64</v>
      </c>
      <c r="G76" s="7" t="n"/>
      <c r="H76" s="7" t="n"/>
      <c r="I76" s="11" t="inlineStr">
        <is>
          <t>x</t>
        </is>
      </c>
      <c r="J76" s="12" t="n">
        <v>0.95</v>
      </c>
      <c r="K76" s="12">
        <f>D76*F76*J76</f>
        <v/>
      </c>
      <c r="L76" s="11" t="inlineStr">
        <is>
          <t>sqm</t>
        </is>
      </c>
      <c r="M76" s="7" t="n"/>
      <c r="N76" s="7" t="n"/>
    </row>
    <row r="77" ht="18" customHeight="1">
      <c r="A77" s="8" t="n"/>
      <c r="B77" s="8" t="n"/>
      <c r="C77" s="10" t="inlineStr">
        <is>
          <t xml:space="preserve">  Internal partition walls above dado</t>
        </is>
      </c>
      <c r="D77" s="11" t="n">
        <v>4</v>
      </c>
      <c r="E77" s="11" t="inlineStr">
        <is>
          <t>x</t>
        </is>
      </c>
      <c r="F77" s="13" t="n">
        <v>1.5</v>
      </c>
      <c r="G77" s="7" t="n"/>
      <c r="H77" s="7" t="n"/>
      <c r="I77" s="11" t="inlineStr">
        <is>
          <t>x</t>
        </is>
      </c>
      <c r="J77" s="12" t="n">
        <v>0.95</v>
      </c>
      <c r="K77" s="12">
        <f>D77*F77*J77</f>
        <v/>
      </c>
      <c r="L77" s="11" t="inlineStr">
        <is>
          <t>sqm</t>
        </is>
      </c>
      <c r="M77" s="7" t="n"/>
      <c r="N77" s="7" t="n"/>
    </row>
    <row r="78" ht="18" customHeight="1">
      <c r="A78" s="8" t="n"/>
      <c r="B78" s="8" t="n"/>
      <c r="C78" s="10" t="inlineStr">
        <is>
          <t xml:space="preserve">  Deduct : Ventilators (4 nos)</t>
        </is>
      </c>
      <c r="D78" s="11" t="n">
        <v>-4</v>
      </c>
      <c r="E78" s="11" t="inlineStr">
        <is>
          <t>x</t>
        </is>
      </c>
      <c r="F78" s="13" t="n">
        <v>0.6</v>
      </c>
      <c r="G78" s="7" t="n"/>
      <c r="H78" s="7" t="n"/>
      <c r="I78" s="11" t="inlineStr">
        <is>
          <t>x</t>
        </is>
      </c>
      <c r="J78" s="12" t="n">
        <v>0.6</v>
      </c>
      <c r="K78" s="12">
        <f>D78*F78*J78</f>
        <v/>
      </c>
      <c r="L78" s="11" t="inlineStr">
        <is>
          <t>sqm</t>
        </is>
      </c>
      <c r="M78" s="7" t="n"/>
      <c r="N78" s="7" t="n"/>
    </row>
    <row r="79" ht="18" customHeight="1">
      <c r="A79" s="8" t="n"/>
      <c r="B79" s="8" t="n"/>
      <c r="C79" s="9" t="inlineStr">
        <is>
          <t>Toilet Central Access Lobby (3.639m x 1.200m)</t>
        </is>
      </c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 ht="18" customHeight="1">
      <c r="A80" s="8" t="n"/>
      <c r="B80" s="8" t="n"/>
      <c r="C80" s="10" t="inlineStr">
        <is>
          <t xml:space="preserve">  Lobby perimeter walls = 2*(3.639+1.200)m</t>
        </is>
      </c>
      <c r="D80" s="11" t="n">
        <v>1</v>
      </c>
      <c r="E80" s="11" t="inlineStr">
        <is>
          <t>x</t>
        </is>
      </c>
      <c r="F80" s="13" t="n">
        <v>9.678000000000001</v>
      </c>
      <c r="G80" s="7" t="n"/>
      <c r="H80" s="7" t="n"/>
      <c r="I80" s="11" t="inlineStr">
        <is>
          <t>x</t>
        </is>
      </c>
      <c r="J80" s="12" t="n">
        <v>3.05</v>
      </c>
      <c r="K80" s="12">
        <f>D80*F80*J80</f>
        <v/>
      </c>
      <c r="L80" s="11" t="inlineStr">
        <is>
          <t>sqm</t>
        </is>
      </c>
      <c r="M80" s="7" t="n"/>
      <c r="N80" s="7" t="n"/>
    </row>
    <row r="81" ht="18" customHeight="1">
      <c r="A81" s="8" t="n"/>
      <c r="B81" s="8" t="n"/>
      <c r="C81" s="10" t="inlineStr">
        <is>
          <t xml:space="preserve">  Deduct : Cubicle doors (4 nos)</t>
        </is>
      </c>
      <c r="D81" s="11" t="n">
        <v>-4</v>
      </c>
      <c r="E81" s="11" t="inlineStr">
        <is>
          <t>x</t>
        </is>
      </c>
      <c r="F81" s="13" t="n">
        <v>0.75</v>
      </c>
      <c r="G81" s="7" t="n"/>
      <c r="H81" s="7" t="n"/>
      <c r="I81" s="11" t="inlineStr">
        <is>
          <t>x</t>
        </is>
      </c>
      <c r="J81" s="12" t="n">
        <v>2.1</v>
      </c>
      <c r="K81" s="12">
        <f>D81*F81*J81</f>
        <v/>
      </c>
      <c r="L81" s="11" t="inlineStr">
        <is>
          <t>sqm</t>
        </is>
      </c>
      <c r="M81" s="7" t="n"/>
      <c r="N81" s="7" t="n"/>
    </row>
    <row r="82" ht="18" customHeight="1">
      <c r="A82" s="8" t="n"/>
      <c r="B82" s="8" t="n"/>
      <c r="C82" s="9" t="inlineStr">
        <is>
          <t>Front Verandah (6.100m x 1.700m)</t>
        </is>
      </c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</row>
    <row r="83" ht="18" customHeight="1">
      <c r="A83" s="8" t="n"/>
      <c r="B83" s="8" t="n"/>
      <c r="C83" s="10" t="inlineStr">
        <is>
          <t xml:space="preserve">  Back wall adjoining Dormitory</t>
        </is>
      </c>
      <c r="D83" s="11" t="n">
        <v>1</v>
      </c>
      <c r="E83" s="11" t="inlineStr">
        <is>
          <t>x</t>
        </is>
      </c>
      <c r="F83" s="13" t="n">
        <v>6.1</v>
      </c>
      <c r="G83" s="7" t="n"/>
      <c r="H83" s="7" t="n"/>
      <c r="I83" s="11" t="inlineStr">
        <is>
          <t>x</t>
        </is>
      </c>
      <c r="J83" s="12" t="n">
        <v>3.05</v>
      </c>
      <c r="K83" s="12">
        <f>D83*F83*J83</f>
        <v/>
      </c>
      <c r="L83" s="11" t="inlineStr">
        <is>
          <t>sqm</t>
        </is>
      </c>
      <c r="M83" s="7" t="n"/>
      <c r="N83" s="7" t="n"/>
    </row>
    <row r="84" ht="18" customHeight="1">
      <c r="A84" s="8" t="n"/>
      <c r="B84" s="8" t="n"/>
      <c r="C84" s="10" t="inlineStr">
        <is>
          <t xml:space="preserve">  Deduct : Main door opening</t>
        </is>
      </c>
      <c r="D84" s="11" t="n">
        <v>-1</v>
      </c>
      <c r="E84" s="11" t="inlineStr">
        <is>
          <t>x</t>
        </is>
      </c>
      <c r="F84" s="13" t="n">
        <v>1.2</v>
      </c>
      <c r="G84" s="7" t="n"/>
      <c r="H84" s="7" t="n"/>
      <c r="I84" s="11" t="inlineStr">
        <is>
          <t>x</t>
        </is>
      </c>
      <c r="J84" s="12" t="n">
        <v>2.1</v>
      </c>
      <c r="K84" s="12">
        <f>D84*F84*J84</f>
        <v/>
      </c>
      <c r="L84" s="11" t="inlineStr">
        <is>
          <t>sqm</t>
        </is>
      </c>
      <c r="M84" s="7" t="n"/>
      <c r="N84" s="7" t="n"/>
    </row>
    <row r="85" ht="18" customHeight="1">
      <c r="A85" s="8" t="n"/>
      <c r="B85" s="8" t="n"/>
      <c r="C85" s="10" t="inlineStr">
        <is>
          <t xml:space="preserve">  Deduct : Front window opening</t>
        </is>
      </c>
      <c r="D85" s="11" t="n">
        <v>-1</v>
      </c>
      <c r="E85" s="11" t="inlineStr">
        <is>
          <t>x</t>
        </is>
      </c>
      <c r="F85" s="13" t="n">
        <v>1.2</v>
      </c>
      <c r="G85" s="7" t="n"/>
      <c r="H85" s="7" t="n"/>
      <c r="I85" s="11" t="inlineStr">
        <is>
          <t>x</t>
        </is>
      </c>
      <c r="J85" s="12" t="n">
        <v>1.35</v>
      </c>
      <c r="K85" s="12">
        <f>D85*F85*J85</f>
        <v/>
      </c>
      <c r="L85" s="11" t="inlineStr">
        <is>
          <t>sqm</t>
        </is>
      </c>
      <c r="M85" s="7" t="n"/>
      <c r="N85" s="7" t="n"/>
    </row>
    <row r="86" ht="18" customHeight="1">
      <c r="A86" s="8" t="n"/>
      <c r="B86" s="8" t="n"/>
      <c r="C86" s="9" t="inlineStr">
        <is>
          <t>Internal Roof Tie Beams (Sides &amp; Soffits, Girth=0.73m)</t>
        </is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</row>
    <row r="87" ht="18" customHeight="1">
      <c r="A87" s="8" t="n"/>
      <c r="B87" s="8" t="n"/>
      <c r="C87" s="10" t="inlineStr">
        <is>
          <t xml:space="preserve">  Dormitory hall transverse tie beams</t>
        </is>
      </c>
      <c r="D87" s="11" t="n">
        <v>2</v>
      </c>
      <c r="E87" s="11" t="inlineStr">
        <is>
          <t>x</t>
        </is>
      </c>
      <c r="F87" s="13" t="n">
        <v>6.1</v>
      </c>
      <c r="G87" s="7" t="n"/>
      <c r="H87" s="7" t="n"/>
      <c r="I87" s="11" t="inlineStr">
        <is>
          <t>x</t>
        </is>
      </c>
      <c r="J87" s="12" t="n">
        <v>0.73</v>
      </c>
      <c r="K87" s="12">
        <f>D87*F87*J87</f>
        <v/>
      </c>
      <c r="L87" s="11" t="inlineStr">
        <is>
          <t>sqm</t>
        </is>
      </c>
      <c r="M87" s="7" t="n"/>
      <c r="N87" s="7" t="n"/>
    </row>
    <row r="88" ht="18" customHeight="1">
      <c r="A88" s="8" t="n"/>
      <c r="B88" s="8" t="n"/>
      <c r="C88" s="10" t="inlineStr">
        <is>
          <t xml:space="preserve">  Dormitory hall longitudinal tie beam</t>
        </is>
      </c>
      <c r="D88" s="11" t="n">
        <v>1</v>
      </c>
      <c r="E88" s="11" t="inlineStr">
        <is>
          <t>x</t>
        </is>
      </c>
      <c r="F88" s="13" t="n">
        <v>9.292</v>
      </c>
      <c r="G88" s="7" t="n"/>
      <c r="H88" s="7" t="n"/>
      <c r="I88" s="11" t="inlineStr">
        <is>
          <t>x</t>
        </is>
      </c>
      <c r="J88" s="12" t="n">
        <v>0.73</v>
      </c>
      <c r="K88" s="12">
        <f>D88*F88*J88</f>
        <v/>
      </c>
      <c r="L88" s="11" t="inlineStr">
        <is>
          <t>sqm</t>
        </is>
      </c>
      <c r="M88" s="7" t="n"/>
      <c r="N88" s="7" t="n"/>
    </row>
    <row r="89" ht="18" customHeight="1">
      <c r="A89" s="8" t="n"/>
      <c r="B89" s="8" t="n"/>
      <c r="C89" s="10" t="inlineStr">
        <is>
          <t xml:space="preserve">  Toilet block cross tie beams</t>
        </is>
      </c>
      <c r="D89" s="11" t="n">
        <v>2</v>
      </c>
      <c r="E89" s="11" t="inlineStr">
        <is>
          <t>x</t>
        </is>
      </c>
      <c r="F89" s="13" t="n">
        <v>3.639</v>
      </c>
      <c r="G89" s="7" t="n"/>
      <c r="H89" s="7" t="n"/>
      <c r="I89" s="11" t="inlineStr">
        <is>
          <t>x</t>
        </is>
      </c>
      <c r="J89" s="12" t="n">
        <v>0.73</v>
      </c>
      <c r="K89" s="12">
        <f>D89*F89*J89</f>
        <v/>
      </c>
      <c r="L89" s="11" t="inlineStr">
        <is>
          <t>sqm</t>
        </is>
      </c>
      <c r="M89" s="7" t="n"/>
      <c r="N89" s="7" t="n"/>
    </row>
    <row r="90" ht="20" customHeight="1">
      <c r="A90" s="17" t="n"/>
      <c r="B90" s="17" t="n"/>
      <c r="C90" s="18" t="inlineStr">
        <is>
          <t>TOTAL FOR PLAN 2 =</t>
        </is>
      </c>
      <c r="D90" s="19" t="n"/>
      <c r="E90" s="19" t="n"/>
      <c r="F90" s="19" t="n"/>
      <c r="G90" s="19" t="n"/>
      <c r="H90" s="19" t="n"/>
      <c r="I90" s="19" t="n"/>
      <c r="J90" s="19" t="n"/>
      <c r="K90" s="20">
        <f>ROUND(SUM(K68:K89), 2)</f>
        <v/>
      </c>
      <c r="L90" s="21" t="inlineStr">
        <is>
          <t>sqm</t>
        </is>
      </c>
      <c r="M90" s="22" t="n">
        <v>121.55</v>
      </c>
      <c r="N90" s="23">
        <f>ROUND(K90*M90, 2)</f>
        <v/>
      </c>
    </row>
    <row r="91" ht="6" customHeight="1"/>
    <row r="92" ht="24" customHeight="1">
      <c r="A92" s="5" t="n">
        <v>3</v>
      </c>
      <c r="B92" s="5" t="inlineStr">
        <is>
          <t>13.83.2</t>
        </is>
      </c>
      <c r="C92" s="6" t="inlineStr">
        <is>
          <t>PLAN 3: ASSAM TYPE BUILDING (COTTAGE / VIP SUITE) - Wall &amp; Beam painting with premium acrylic emulsion paint</t>
        </is>
      </c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</row>
    <row r="93" ht="18" customHeight="1">
      <c r="A93" s="8" t="n"/>
      <c r="B93" s="8" t="n"/>
      <c r="C93" s="9" t="inlineStr">
        <is>
          <t>Main Room (6.008m x 6.600m)</t>
        </is>
      </c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</row>
    <row r="94" ht="18" customHeight="1">
      <c r="A94" s="8" t="n"/>
      <c r="B94" s="8" t="n"/>
      <c r="C94" s="10" t="inlineStr">
        <is>
          <t xml:space="preserve">  All round walls (Perimeter = 2*(6.008+6.600)m)</t>
        </is>
      </c>
      <c r="D94" s="11" t="n">
        <v>1</v>
      </c>
      <c r="E94" s="11" t="inlineStr">
        <is>
          <t>x</t>
        </is>
      </c>
      <c r="F94" s="12" t="n">
        <v>25.216</v>
      </c>
      <c r="G94" s="7" t="n"/>
      <c r="H94" s="7" t="n"/>
      <c r="I94" s="11" t="inlineStr">
        <is>
          <t>x</t>
        </is>
      </c>
      <c r="J94" s="12" t="n">
        <v>3.05</v>
      </c>
      <c r="K94" s="12">
        <f>D94*F94*J94</f>
        <v/>
      </c>
      <c r="L94" s="11" t="inlineStr">
        <is>
          <t>sqm</t>
        </is>
      </c>
      <c r="M94" s="7" t="n"/>
      <c r="N94" s="7" t="n"/>
    </row>
    <row r="95" ht="18" customHeight="1">
      <c r="A95" s="8" t="n"/>
      <c r="B95" s="8" t="n"/>
      <c r="C95" s="10" t="inlineStr">
        <is>
          <t xml:space="preserve">  Deduct : Main Double Door (D1 to verandah)</t>
        </is>
      </c>
      <c r="D95" s="11" t="n">
        <v>-1</v>
      </c>
      <c r="E95" s="11" t="inlineStr">
        <is>
          <t>x</t>
        </is>
      </c>
      <c r="F95" s="13" t="n">
        <v>1.2</v>
      </c>
      <c r="G95" s="7" t="n"/>
      <c r="H95" s="7" t="n"/>
      <c r="I95" s="11" t="inlineStr">
        <is>
          <t>x</t>
        </is>
      </c>
      <c r="J95" s="12" t="n">
        <v>2.1</v>
      </c>
      <c r="K95" s="12">
        <f>D95*F95*J95</f>
        <v/>
      </c>
      <c r="L95" s="11" t="inlineStr">
        <is>
          <t>sqm</t>
        </is>
      </c>
      <c r="M95" s="7" t="n"/>
      <c r="N95" s="7" t="n"/>
    </row>
    <row r="96" ht="18" customHeight="1">
      <c r="A96" s="8" t="n"/>
      <c r="B96" s="8" t="n"/>
      <c r="C96" s="10" t="inlineStr">
        <is>
          <t xml:space="preserve">  Deduct : Side windows (W1 - 4 nos)</t>
        </is>
      </c>
      <c r="D96" s="11" t="n">
        <v>-4</v>
      </c>
      <c r="E96" s="11" t="inlineStr">
        <is>
          <t>x</t>
        </is>
      </c>
      <c r="F96" s="13" t="n">
        <v>1.5</v>
      </c>
      <c r="G96" s="7" t="n"/>
      <c r="H96" s="7" t="n"/>
      <c r="I96" s="11" t="inlineStr">
        <is>
          <t>x</t>
        </is>
      </c>
      <c r="J96" s="12" t="n">
        <v>1.8</v>
      </c>
      <c r="K96" s="12">
        <f>D96*F96*J96</f>
        <v/>
      </c>
      <c r="L96" s="11" t="inlineStr">
        <is>
          <t>sqm</t>
        </is>
      </c>
      <c r="M96" s="7" t="n"/>
      <c r="N96" s="7" t="n"/>
    </row>
    <row r="97" ht="18" customHeight="1">
      <c r="A97" s="8" t="n"/>
      <c r="B97" s="8" t="n"/>
      <c r="C97" s="10" t="inlineStr">
        <is>
          <t xml:space="preserve">  Deduct : Front flanking windows (2 nos)</t>
        </is>
      </c>
      <c r="D97" s="11" t="n">
        <v>-2</v>
      </c>
      <c r="E97" s="11" t="inlineStr">
        <is>
          <t>x</t>
        </is>
      </c>
      <c r="F97" s="13" t="n">
        <v>1.2</v>
      </c>
      <c r="G97" s="7" t="n"/>
      <c r="H97" s="7" t="n"/>
      <c r="I97" s="11" t="inlineStr">
        <is>
          <t>x</t>
        </is>
      </c>
      <c r="J97" s="12" t="n">
        <v>1.8</v>
      </c>
      <c r="K97" s="12">
        <f>D97*F97*J97</f>
        <v/>
      </c>
      <c r="L97" s="11" t="inlineStr">
        <is>
          <t>sqm</t>
        </is>
      </c>
      <c r="M97" s="7" t="n"/>
      <c r="N97" s="7" t="n"/>
    </row>
    <row r="98" ht="18" customHeight="1">
      <c r="A98" s="8" t="n"/>
      <c r="B98" s="8" t="n"/>
      <c r="C98" s="10" t="inlineStr">
        <is>
          <t xml:space="preserve">  Deduct : Door to rear annex</t>
        </is>
      </c>
      <c r="D98" s="11" t="n">
        <v>-1</v>
      </c>
      <c r="E98" s="11" t="inlineStr">
        <is>
          <t>x</t>
        </is>
      </c>
      <c r="F98" s="13" t="n">
        <v>1.05</v>
      </c>
      <c r="G98" s="7" t="n"/>
      <c r="H98" s="7" t="n"/>
      <c r="I98" s="11" t="inlineStr">
        <is>
          <t>x</t>
        </is>
      </c>
      <c r="J98" s="12" t="n">
        <v>2.1</v>
      </c>
      <c r="K98" s="12">
        <f>D98*F98*J98</f>
        <v/>
      </c>
      <c r="L98" s="11" t="inlineStr">
        <is>
          <t>sqm</t>
        </is>
      </c>
      <c r="M98" s="7" t="n"/>
      <c r="N98" s="7" t="n"/>
    </row>
    <row r="99" ht="18" customHeight="1">
      <c r="A99" s="8" t="n"/>
      <c r="B99" s="8" t="n"/>
      <c r="C99" s="9" t="inlineStr">
        <is>
          <t>Rear Annex / Toilet / Dressing (2.300m x 2.231m)</t>
        </is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</row>
    <row r="100" ht="18" customHeight="1">
      <c r="A100" s="8" t="n"/>
      <c r="B100" s="8" t="n"/>
      <c r="C100" s="10" t="inlineStr">
        <is>
          <t xml:space="preserve">  All round walls (Perimeter = 2*(2.300+2.231)m)</t>
        </is>
      </c>
      <c r="D100" s="11" t="n">
        <v>1</v>
      </c>
      <c r="E100" s="11" t="inlineStr">
        <is>
          <t>x</t>
        </is>
      </c>
      <c r="F100" s="13" t="n">
        <v>9.061999999999999</v>
      </c>
      <c r="G100" s="7" t="n"/>
      <c r="H100" s="7" t="n"/>
      <c r="I100" s="11" t="inlineStr">
        <is>
          <t>x</t>
        </is>
      </c>
      <c r="J100" s="12" t="n">
        <v>3.05</v>
      </c>
      <c r="K100" s="12">
        <f>D100*F100*J100</f>
        <v/>
      </c>
      <c r="L100" s="11" t="inlineStr">
        <is>
          <t>sqm</t>
        </is>
      </c>
      <c r="M100" s="7" t="n"/>
      <c r="N100" s="7" t="n"/>
    </row>
    <row r="101" ht="18" customHeight="1">
      <c r="A101" s="8" t="n"/>
      <c r="B101" s="8" t="n"/>
      <c r="C101" s="10" t="inlineStr">
        <is>
          <t xml:space="preserve">  Deduct : Door (D3)</t>
        </is>
      </c>
      <c r="D101" s="11" t="n">
        <v>-1</v>
      </c>
      <c r="E101" s="11" t="inlineStr">
        <is>
          <t>x</t>
        </is>
      </c>
      <c r="F101" s="13" t="n">
        <v>0.9</v>
      </c>
      <c r="G101" s="7" t="n"/>
      <c r="H101" s="7" t="n"/>
      <c r="I101" s="11" t="inlineStr">
        <is>
          <t>x</t>
        </is>
      </c>
      <c r="J101" s="12" t="n">
        <v>2.1</v>
      </c>
      <c r="K101" s="12">
        <f>D101*F101*J101</f>
        <v/>
      </c>
      <c r="L101" s="11" t="inlineStr">
        <is>
          <t>sqm</t>
        </is>
      </c>
      <c r="M101" s="7" t="n"/>
      <c r="N101" s="7" t="n"/>
    </row>
    <row r="102" ht="18" customHeight="1">
      <c r="A102" s="8" t="n"/>
      <c r="B102" s="8" t="n"/>
      <c r="C102" s="10" t="inlineStr">
        <is>
          <t xml:space="preserve">  Deduct : Ventilator (V)</t>
        </is>
      </c>
      <c r="D102" s="11" t="n">
        <v>-1</v>
      </c>
      <c r="E102" s="11" t="inlineStr">
        <is>
          <t>x</t>
        </is>
      </c>
      <c r="F102" s="13" t="n">
        <v>0.6</v>
      </c>
      <c r="G102" s="7" t="n"/>
      <c r="H102" s="7" t="n"/>
      <c r="I102" s="11" t="inlineStr">
        <is>
          <t>x</t>
        </is>
      </c>
      <c r="J102" s="12" t="n">
        <v>0.6</v>
      </c>
      <c r="K102" s="12">
        <f>D102*F102*J102</f>
        <v/>
      </c>
      <c r="L102" s="11" t="inlineStr">
        <is>
          <t>sqm</t>
        </is>
      </c>
      <c r="M102" s="7" t="n"/>
      <c r="N102" s="7" t="n"/>
    </row>
    <row r="103" ht="18" customHeight="1">
      <c r="A103" s="8" t="n"/>
      <c r="B103" s="8" t="n"/>
      <c r="C103" s="9" t="inlineStr">
        <is>
          <t>Front Verandah (1.870m x 6.600m)</t>
        </is>
      </c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</row>
    <row r="104" ht="18" customHeight="1">
      <c r="A104" s="8" t="n"/>
      <c r="B104" s="8" t="n"/>
      <c r="C104" s="10" t="inlineStr">
        <is>
          <t xml:space="preserve">  Rear wall of verandah (Main Room facade)</t>
        </is>
      </c>
      <c r="D104" s="11" t="n">
        <v>1</v>
      </c>
      <c r="E104" s="11" t="inlineStr">
        <is>
          <t>x</t>
        </is>
      </c>
      <c r="F104" s="13" t="n">
        <v>6.6</v>
      </c>
      <c r="G104" s="7" t="n"/>
      <c r="H104" s="7" t="n"/>
      <c r="I104" s="11" t="inlineStr">
        <is>
          <t>x</t>
        </is>
      </c>
      <c r="J104" s="12" t="n">
        <v>3.05</v>
      </c>
      <c r="K104" s="12">
        <f>D104*F104*J104</f>
        <v/>
      </c>
      <c r="L104" s="11" t="inlineStr">
        <is>
          <t>sqm</t>
        </is>
      </c>
      <c r="M104" s="7" t="n"/>
      <c r="N104" s="7" t="n"/>
    </row>
    <row r="105" ht="18" customHeight="1">
      <c r="A105" s="8" t="n"/>
      <c r="B105" s="8" t="n"/>
      <c r="C105" s="10" t="inlineStr">
        <is>
          <t xml:space="preserve">  Deduct : Main door opening</t>
        </is>
      </c>
      <c r="D105" s="11" t="n">
        <v>-1</v>
      </c>
      <c r="E105" s="11" t="inlineStr">
        <is>
          <t>x</t>
        </is>
      </c>
      <c r="F105" s="13" t="n">
        <v>1.2</v>
      </c>
      <c r="G105" s="7" t="n"/>
      <c r="H105" s="7" t="n"/>
      <c r="I105" s="11" t="inlineStr">
        <is>
          <t>x</t>
        </is>
      </c>
      <c r="J105" s="12" t="n">
        <v>2.1</v>
      </c>
      <c r="K105" s="12">
        <f>D105*F105*J105</f>
        <v/>
      </c>
      <c r="L105" s="11" t="inlineStr">
        <is>
          <t>sqm</t>
        </is>
      </c>
      <c r="M105" s="7" t="n"/>
      <c r="N105" s="7" t="n"/>
    </row>
    <row r="106" ht="18" customHeight="1">
      <c r="A106" s="8" t="n"/>
      <c r="B106" s="8" t="n"/>
      <c r="C106" s="10" t="inlineStr">
        <is>
          <t xml:space="preserve">  Deduct : Front flanking windows</t>
        </is>
      </c>
      <c r="D106" s="11" t="n">
        <v>-2</v>
      </c>
      <c r="E106" s="11" t="inlineStr">
        <is>
          <t>x</t>
        </is>
      </c>
      <c r="F106" s="13" t="n">
        <v>1.2</v>
      </c>
      <c r="G106" s="7" t="n"/>
      <c r="H106" s="7" t="n"/>
      <c r="I106" s="11" t="inlineStr">
        <is>
          <t>x</t>
        </is>
      </c>
      <c r="J106" s="12" t="n">
        <v>1.8</v>
      </c>
      <c r="K106" s="12">
        <f>D106*F106*J106</f>
        <v/>
      </c>
      <c r="L106" s="11" t="inlineStr">
        <is>
          <t>sqm</t>
        </is>
      </c>
      <c r="M106" s="7" t="n"/>
      <c r="N106" s="7" t="n"/>
    </row>
    <row r="107" ht="18" customHeight="1">
      <c r="A107" s="8" t="n"/>
      <c r="B107" s="8" t="n"/>
      <c r="C107" s="9" t="inlineStr">
        <is>
          <t>Internal Roof Beams (Sides &amp; Soffits, Girth=0.73m)</t>
        </is>
      </c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</row>
    <row r="108" ht="18" customHeight="1">
      <c r="A108" s="8" t="n"/>
      <c r="B108" s="8" t="n"/>
      <c r="C108" s="10" t="inlineStr">
        <is>
          <t xml:space="preserve">  Main Room transverse beam</t>
        </is>
      </c>
      <c r="D108" s="11" t="n">
        <v>1</v>
      </c>
      <c r="E108" s="11" t="inlineStr">
        <is>
          <t>x</t>
        </is>
      </c>
      <c r="F108" s="13" t="n">
        <v>6.6</v>
      </c>
      <c r="G108" s="7" t="n"/>
      <c r="H108" s="7" t="n"/>
      <c r="I108" s="11" t="inlineStr">
        <is>
          <t>x</t>
        </is>
      </c>
      <c r="J108" s="12" t="n">
        <v>0.73</v>
      </c>
      <c r="K108" s="12">
        <f>D108*F108*J108</f>
        <v/>
      </c>
      <c r="L108" s="11" t="inlineStr">
        <is>
          <t>sqm</t>
        </is>
      </c>
      <c r="M108" s="7" t="n"/>
      <c r="N108" s="7" t="n"/>
    </row>
    <row r="109" ht="18" customHeight="1">
      <c r="A109" s="8" t="n"/>
      <c r="B109" s="8" t="n"/>
      <c r="C109" s="10" t="inlineStr">
        <is>
          <t xml:space="preserve">  Main Room longitudinal ridge beam</t>
        </is>
      </c>
      <c r="D109" s="11" t="n">
        <v>1</v>
      </c>
      <c r="E109" s="11" t="inlineStr">
        <is>
          <t>x</t>
        </is>
      </c>
      <c r="F109" s="13" t="n">
        <v>6.008</v>
      </c>
      <c r="G109" s="7" t="n"/>
      <c r="H109" s="7" t="n"/>
      <c r="I109" s="11" t="inlineStr">
        <is>
          <t>x</t>
        </is>
      </c>
      <c r="J109" s="12" t="n">
        <v>0.73</v>
      </c>
      <c r="K109" s="12">
        <f>D109*F109*J109</f>
        <v/>
      </c>
      <c r="L109" s="11" t="inlineStr">
        <is>
          <t>sqm</t>
        </is>
      </c>
      <c r="M109" s="7" t="n"/>
      <c r="N109" s="7" t="n"/>
    </row>
    <row r="110" ht="18" customHeight="1">
      <c r="A110" s="8" t="n"/>
      <c r="B110" s="8" t="n"/>
      <c r="C110" s="10" t="inlineStr">
        <is>
          <t xml:space="preserve">  Rear annex tie beam</t>
        </is>
      </c>
      <c r="D110" s="11" t="n">
        <v>1</v>
      </c>
      <c r="E110" s="11" t="inlineStr">
        <is>
          <t>x</t>
        </is>
      </c>
      <c r="F110" s="13" t="n">
        <v>2.3</v>
      </c>
      <c r="G110" s="7" t="n"/>
      <c r="H110" s="7" t="n"/>
      <c r="I110" s="11" t="inlineStr">
        <is>
          <t>x</t>
        </is>
      </c>
      <c r="J110" s="12" t="n">
        <v>0.73</v>
      </c>
      <c r="K110" s="12">
        <f>D110*F110*J110</f>
        <v/>
      </c>
      <c r="L110" s="11" t="inlineStr">
        <is>
          <t>sqm</t>
        </is>
      </c>
      <c r="M110" s="7" t="n"/>
      <c r="N110" s="7" t="n"/>
    </row>
    <row r="111" ht="20" customHeight="1">
      <c r="A111" s="17" t="n"/>
      <c r="B111" s="17" t="n"/>
      <c r="C111" s="18" t="inlineStr">
        <is>
          <t>TOTAL FOR PLAN 3 =</t>
        </is>
      </c>
      <c r="D111" s="19" t="n"/>
      <c r="E111" s="19" t="n"/>
      <c r="F111" s="19" t="n"/>
      <c r="G111" s="19" t="n"/>
      <c r="H111" s="19" t="n"/>
      <c r="I111" s="19" t="n"/>
      <c r="J111" s="19" t="n"/>
      <c r="K111" s="20">
        <f>ROUND(SUM(K93:K110), 2)</f>
        <v/>
      </c>
      <c r="L111" s="21" t="inlineStr">
        <is>
          <t>sqm</t>
        </is>
      </c>
      <c r="M111" s="22" t="n">
        <v>121.55</v>
      </c>
      <c r="N111" s="23">
        <f>ROUND(K111*M111, 2)</f>
        <v/>
      </c>
    </row>
    <row r="112" ht="6" customHeight="1"/>
    <row r="113" ht="22" customHeight="1">
      <c r="A113" s="24" t="inlineStr">
        <is>
          <t>GRAND TOTAL OF INTERIOR WALL &amp; BEAM PAINTING (ALL 3 BUILDINGS) =</t>
        </is>
      </c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25">
        <f>ROUND(K65+K90+K111, 2)</f>
        <v/>
      </c>
      <c r="L113" s="26" t="inlineStr">
        <is>
          <t>sqm</t>
        </is>
      </c>
      <c r="M113" s="27" t="n">
        <v>121.55</v>
      </c>
      <c r="N113" s="28">
        <f>ROUND(K113*M113, 2)</f>
        <v/>
      </c>
    </row>
    <row r="115" ht="22" customHeight="1">
      <c r="A115" s="29" t="inlineStr">
        <is>
          <t>PART B: CEILING PAINTING MEASUREMENT (Nos x L x B)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</row>
    <row r="116" ht="18" customHeight="1">
      <c r="A116" s="7" t="n"/>
      <c r="B116" s="7" t="n"/>
      <c r="C116" s="10" t="inlineStr">
        <is>
          <t>PLAN 1 - Room 1 Ceiling</t>
        </is>
      </c>
      <c r="D116" s="11" t="n">
        <v>1</v>
      </c>
      <c r="E116" s="11" t="inlineStr">
        <is>
          <t>x</t>
        </is>
      </c>
      <c r="F116" s="13" t="n">
        <v>5.644</v>
      </c>
      <c r="G116" s="11" t="inlineStr">
        <is>
          <t>x</t>
        </is>
      </c>
      <c r="H116" s="13" t="n">
        <v>5.508</v>
      </c>
      <c r="I116" s="7" t="n"/>
      <c r="J116" s="7" t="n"/>
      <c r="K116" s="12">
        <f>D116*F116*H116</f>
        <v/>
      </c>
      <c r="L116" s="11" t="inlineStr">
        <is>
          <t>sqm</t>
        </is>
      </c>
      <c r="M116" s="7" t="n"/>
      <c r="N116" s="7" t="n"/>
    </row>
    <row r="117" ht="18" customHeight="1">
      <c r="A117" s="7" t="n"/>
      <c r="B117" s="7" t="n"/>
      <c r="C117" s="10" t="inlineStr">
        <is>
          <t>PLAN 1 - Room 2 Ceiling</t>
        </is>
      </c>
      <c r="D117" s="11" t="n">
        <v>1</v>
      </c>
      <c r="E117" s="11" t="inlineStr">
        <is>
          <t>x</t>
        </is>
      </c>
      <c r="F117" s="13" t="n">
        <v>6.5</v>
      </c>
      <c r="G117" s="11" t="inlineStr">
        <is>
          <t>x</t>
        </is>
      </c>
      <c r="H117" s="13" t="n">
        <v>5.508</v>
      </c>
      <c r="I117" s="7" t="n"/>
      <c r="J117" s="7" t="n"/>
      <c r="K117" s="12">
        <f>D117*F117*H117</f>
        <v/>
      </c>
      <c r="L117" s="11" t="inlineStr">
        <is>
          <t>sqm</t>
        </is>
      </c>
      <c r="M117" s="7" t="n"/>
      <c r="N117" s="7" t="n"/>
    </row>
    <row r="118" ht="18" customHeight="1">
      <c r="A118" s="7" t="n"/>
      <c r="B118" s="7" t="n"/>
      <c r="C118" s="10" t="inlineStr">
        <is>
          <t>PLAN 1 - Room 3 Ceiling</t>
        </is>
      </c>
      <c r="D118" s="11" t="n">
        <v>1</v>
      </c>
      <c r="E118" s="11" t="inlineStr">
        <is>
          <t>x</t>
        </is>
      </c>
      <c r="F118" s="13" t="n">
        <v>5.644</v>
      </c>
      <c r="G118" s="11" t="inlineStr">
        <is>
          <t>x</t>
        </is>
      </c>
      <c r="H118" s="13" t="n">
        <v>4.512</v>
      </c>
      <c r="I118" s="7" t="n"/>
      <c r="J118" s="7" t="n"/>
      <c r="K118" s="12">
        <f>D118*F118*H118</f>
        <v/>
      </c>
      <c r="L118" s="11" t="inlineStr">
        <is>
          <t>sqm</t>
        </is>
      </c>
      <c r="M118" s="7" t="n"/>
      <c r="N118" s="7" t="n"/>
    </row>
    <row r="119" ht="18" customHeight="1">
      <c r="A119" s="7" t="n"/>
      <c r="B119" s="7" t="n"/>
      <c r="C119" s="10" t="inlineStr">
        <is>
          <t>PLAN 1 - Room 4 Ceiling</t>
        </is>
      </c>
      <c r="D119" s="11" t="n">
        <v>1</v>
      </c>
      <c r="E119" s="11" t="inlineStr">
        <is>
          <t>x</t>
        </is>
      </c>
      <c r="F119" s="13" t="n">
        <v>5.644</v>
      </c>
      <c r="G119" s="11" t="inlineStr">
        <is>
          <t>x</t>
        </is>
      </c>
      <c r="H119" s="13" t="n">
        <v>3.912</v>
      </c>
      <c r="I119" s="7" t="n"/>
      <c r="J119" s="7" t="n"/>
      <c r="K119" s="12">
        <f>D119*F119*H119</f>
        <v/>
      </c>
      <c r="L119" s="11" t="inlineStr">
        <is>
          <t>sqm</t>
        </is>
      </c>
      <c r="M119" s="7" t="n"/>
      <c r="N119" s="7" t="n"/>
    </row>
    <row r="120" ht="18" customHeight="1">
      <c r="A120" s="7" t="n"/>
      <c r="B120" s="7" t="n"/>
      <c r="C120" s="10" t="inlineStr">
        <is>
          <t>PLAN 1 - Room 5 Ceiling</t>
        </is>
      </c>
      <c r="D120" s="11" t="n">
        <v>1</v>
      </c>
      <c r="E120" s="11" t="inlineStr">
        <is>
          <t>x</t>
        </is>
      </c>
      <c r="F120" s="13" t="n">
        <v>5.644</v>
      </c>
      <c r="G120" s="11" t="inlineStr">
        <is>
          <t>x</t>
        </is>
      </c>
      <c r="H120" s="13" t="n">
        <v>4.512</v>
      </c>
      <c r="I120" s="7" t="n"/>
      <c r="J120" s="7" t="n"/>
      <c r="K120" s="12">
        <f>D120*F120*H120</f>
        <v/>
      </c>
      <c r="L120" s="11" t="inlineStr">
        <is>
          <t>sqm</t>
        </is>
      </c>
      <c r="M120" s="7" t="n"/>
      <c r="N120" s="7" t="n"/>
    </row>
    <row r="121" ht="18" customHeight="1">
      <c r="A121" s="7" t="n"/>
      <c r="B121" s="7" t="n"/>
      <c r="C121" s="10" t="inlineStr">
        <is>
          <t>PLAN 1 - Room 6 with Annex Ceiling</t>
        </is>
      </c>
      <c r="D121" s="11" t="n">
        <v>1</v>
      </c>
      <c r="E121" s="11" t="inlineStr">
        <is>
          <t>x</t>
        </is>
      </c>
      <c r="F121" s="13" t="n">
        <v>7.944</v>
      </c>
      <c r="G121" s="11" t="inlineStr">
        <is>
          <t>x</t>
        </is>
      </c>
      <c r="H121" s="13" t="n">
        <v>2.944</v>
      </c>
      <c r="I121" s="7" t="n"/>
      <c r="J121" s="7" t="n"/>
      <c r="K121" s="12">
        <f>D121*F121*H121</f>
        <v/>
      </c>
      <c r="L121" s="11" t="inlineStr">
        <is>
          <t>sqm</t>
        </is>
      </c>
      <c r="M121" s="7" t="n"/>
      <c r="N121" s="7" t="n"/>
    </row>
    <row r="122" ht="18" customHeight="1">
      <c r="A122" s="7" t="n"/>
      <c r="B122" s="7" t="n"/>
      <c r="C122" s="10" t="inlineStr">
        <is>
          <t>PLAN 1 - Room 7 Ceiling</t>
        </is>
      </c>
      <c r="D122" s="11" t="n">
        <v>1</v>
      </c>
      <c r="E122" s="11" t="inlineStr">
        <is>
          <t>x</t>
        </is>
      </c>
      <c r="F122" s="13" t="n">
        <v>2.3</v>
      </c>
      <c r="G122" s="11" t="inlineStr">
        <is>
          <t>x</t>
        </is>
      </c>
      <c r="H122" s="13" t="n">
        <v>3.228</v>
      </c>
      <c r="I122" s="7" t="n"/>
      <c r="J122" s="7" t="n"/>
      <c r="K122" s="12">
        <f>D122*F122*H122</f>
        <v/>
      </c>
      <c r="L122" s="11" t="inlineStr">
        <is>
          <t>sqm</t>
        </is>
      </c>
      <c r="M122" s="7" t="n"/>
      <c r="N122" s="7" t="n"/>
    </row>
    <row r="123" ht="18" customHeight="1">
      <c r="A123" s="7" t="n"/>
      <c r="B123" s="7" t="n"/>
      <c r="C123" s="10" t="inlineStr">
        <is>
          <t>PLAN 1 - Room 8 Suite Ceiling</t>
        </is>
      </c>
      <c r="D123" s="11" t="n">
        <v>1</v>
      </c>
      <c r="E123" s="11" t="inlineStr">
        <is>
          <t>x</t>
        </is>
      </c>
      <c r="F123" s="13" t="n">
        <v>5.131</v>
      </c>
      <c r="G123" s="11" t="inlineStr">
        <is>
          <t>x</t>
        </is>
      </c>
      <c r="H123" s="13" t="n">
        <v>4.61</v>
      </c>
      <c r="I123" s="7" t="n"/>
      <c r="J123" s="7" t="n"/>
      <c r="K123" s="12">
        <f>D123*F123*H123</f>
        <v/>
      </c>
      <c r="L123" s="11" t="inlineStr">
        <is>
          <t>sqm</t>
        </is>
      </c>
      <c r="M123" s="7" t="n"/>
      <c r="N123" s="7" t="n"/>
    </row>
    <row r="124" ht="18" customHeight="1">
      <c r="A124" s="7" t="n"/>
      <c r="B124" s="7" t="n"/>
      <c r="C124" s="10" t="inlineStr">
        <is>
          <t>PLAN 1 - Room 9 Room Ceiling</t>
        </is>
      </c>
      <c r="D124" s="11" t="n">
        <v>1</v>
      </c>
      <c r="E124" s="11" t="inlineStr">
        <is>
          <t>x</t>
        </is>
      </c>
      <c r="F124" s="13" t="n">
        <v>5.131</v>
      </c>
      <c r="G124" s="11" t="inlineStr">
        <is>
          <t>x</t>
        </is>
      </c>
      <c r="H124" s="13" t="n">
        <v>3.16</v>
      </c>
      <c r="I124" s="7" t="n"/>
      <c r="J124" s="7" t="n"/>
      <c r="K124" s="12">
        <f>D124*F124*H124</f>
        <v/>
      </c>
      <c r="L124" s="11" t="inlineStr">
        <is>
          <t>sqm</t>
        </is>
      </c>
      <c r="M124" s="7" t="n"/>
      <c r="N124" s="7" t="n"/>
    </row>
    <row r="125" ht="18" customHeight="1">
      <c r="A125" s="7" t="n"/>
      <c r="B125" s="7" t="n"/>
      <c r="C125" s="10" t="inlineStr">
        <is>
          <t>PLAN 1 - Room 10 Office Ceiling</t>
        </is>
      </c>
      <c r="D125" s="11" t="n">
        <v>1</v>
      </c>
      <c r="E125" s="11" t="inlineStr">
        <is>
          <t>x</t>
        </is>
      </c>
      <c r="F125" s="13" t="n">
        <v>3.126</v>
      </c>
      <c r="G125" s="11" t="inlineStr">
        <is>
          <t>x</t>
        </is>
      </c>
      <c r="H125" s="13" t="n">
        <v>3.154</v>
      </c>
      <c r="I125" s="7" t="n"/>
      <c r="J125" s="7" t="n"/>
      <c r="K125" s="12">
        <f>D125*F125*H125</f>
        <v/>
      </c>
      <c r="L125" s="11" t="inlineStr">
        <is>
          <t>sqm</t>
        </is>
      </c>
      <c r="M125" s="7" t="n"/>
      <c r="N125" s="7" t="n"/>
    </row>
    <row r="126" ht="18" customHeight="1">
      <c r="A126" s="7" t="n"/>
      <c r="B126" s="7" t="n"/>
      <c r="C126" s="10" t="inlineStr">
        <is>
          <t>PLAN 1 - Staircase Well Ceiling</t>
        </is>
      </c>
      <c r="D126" s="11" t="n">
        <v>1</v>
      </c>
      <c r="E126" s="11" t="inlineStr">
        <is>
          <t>x</t>
        </is>
      </c>
      <c r="F126" s="13" t="n">
        <v>5.644</v>
      </c>
      <c r="G126" s="11" t="inlineStr">
        <is>
          <t>x</t>
        </is>
      </c>
      <c r="H126" s="13" t="n">
        <v>3.228</v>
      </c>
      <c r="I126" s="7" t="n"/>
      <c r="J126" s="7" t="n"/>
      <c r="K126" s="12">
        <f>D126*F126*H126</f>
        <v/>
      </c>
      <c r="L126" s="11" t="inlineStr">
        <is>
          <t>sqm</t>
        </is>
      </c>
      <c r="M126" s="7" t="n"/>
      <c r="N126" s="7" t="n"/>
    </row>
    <row r="127" ht="18" customHeight="1">
      <c r="A127" s="7" t="n"/>
      <c r="B127" s="7" t="n"/>
      <c r="C127" s="10" t="inlineStr">
        <is>
          <t>PLAN 1 - Room 11 Corridor Spine Ceiling</t>
        </is>
      </c>
      <c r="D127" s="11" t="n">
        <v>1</v>
      </c>
      <c r="E127" s="11" t="inlineStr">
        <is>
          <t>x</t>
        </is>
      </c>
      <c r="F127" s="13" t="n">
        <v>3.056</v>
      </c>
      <c r="G127" s="11" t="inlineStr">
        <is>
          <t>x</t>
        </is>
      </c>
      <c r="H127" s="12" t="n">
        <v>21.088</v>
      </c>
      <c r="I127" s="7" t="n"/>
      <c r="J127" s="7" t="n"/>
      <c r="K127" s="12">
        <f>D127*F127*H127</f>
        <v/>
      </c>
      <c r="L127" s="11" t="inlineStr">
        <is>
          <t>sqm</t>
        </is>
      </c>
      <c r="M127" s="7" t="n"/>
      <c r="N127" s="7" t="n"/>
    </row>
    <row r="128" ht="18" customHeight="1">
      <c r="A128" s="7" t="n"/>
      <c r="B128" s="7" t="n"/>
      <c r="C128" s="10" t="inlineStr">
        <is>
          <t>PLAN 2 - Main Dormitory Hall Ceiling</t>
        </is>
      </c>
      <c r="D128" s="11" t="n">
        <v>1</v>
      </c>
      <c r="E128" s="11" t="inlineStr">
        <is>
          <t>x</t>
        </is>
      </c>
      <c r="F128" s="13" t="n">
        <v>9.292</v>
      </c>
      <c r="G128" s="11" t="inlineStr">
        <is>
          <t>x</t>
        </is>
      </c>
      <c r="H128" s="13" t="n">
        <v>6.1</v>
      </c>
      <c r="I128" s="7" t="n"/>
      <c r="J128" s="7" t="n"/>
      <c r="K128" s="12">
        <f>D128*F128*H128</f>
        <v/>
      </c>
      <c r="L128" s="11" t="inlineStr">
        <is>
          <t>sqm</t>
        </is>
      </c>
      <c r="M128" s="7" t="n"/>
      <c r="N128" s="7" t="n"/>
    </row>
    <row r="129" ht="18" customHeight="1">
      <c r="A129" s="7" t="n"/>
      <c r="B129" s="7" t="n"/>
      <c r="C129" s="10" t="inlineStr">
        <is>
          <t>PLAN 2 - Toilet Cubicles Ceiling (4 nos)</t>
        </is>
      </c>
      <c r="D129" s="11" t="n">
        <v>4</v>
      </c>
      <c r="E129" s="11" t="inlineStr">
        <is>
          <t>x</t>
        </is>
      </c>
      <c r="F129" s="13" t="n">
        <v>1.82</v>
      </c>
      <c r="G129" s="11" t="inlineStr">
        <is>
          <t>x</t>
        </is>
      </c>
      <c r="H129" s="13" t="n">
        <v>1.5</v>
      </c>
      <c r="I129" s="7" t="n"/>
      <c r="J129" s="7" t="n"/>
      <c r="K129" s="12">
        <f>D129*F129*H129</f>
        <v/>
      </c>
      <c r="L129" s="11" t="inlineStr">
        <is>
          <t>sqm</t>
        </is>
      </c>
      <c r="M129" s="7" t="n"/>
      <c r="N129" s="7" t="n"/>
    </row>
    <row r="130" ht="18" customHeight="1">
      <c r="A130" s="7" t="n"/>
      <c r="B130" s="7" t="n"/>
      <c r="C130" s="10" t="inlineStr">
        <is>
          <t>PLAN 2 - Toilet Access Lobby Ceiling</t>
        </is>
      </c>
      <c r="D130" s="11" t="n">
        <v>1</v>
      </c>
      <c r="E130" s="11" t="inlineStr">
        <is>
          <t>x</t>
        </is>
      </c>
      <c r="F130" s="13" t="n">
        <v>3.639</v>
      </c>
      <c r="G130" s="11" t="inlineStr">
        <is>
          <t>x</t>
        </is>
      </c>
      <c r="H130" s="13" t="n">
        <v>1.2</v>
      </c>
      <c r="I130" s="7" t="n"/>
      <c r="J130" s="7" t="n"/>
      <c r="K130" s="12">
        <f>D130*F130*H130</f>
        <v/>
      </c>
      <c r="L130" s="11" t="inlineStr">
        <is>
          <t>sqm</t>
        </is>
      </c>
      <c r="M130" s="7" t="n"/>
      <c r="N130" s="7" t="n"/>
    </row>
    <row r="131" ht="18" customHeight="1">
      <c r="A131" s="7" t="n"/>
      <c r="B131" s="7" t="n"/>
      <c r="C131" s="10" t="inlineStr">
        <is>
          <t>PLAN 2 - Front Verandah Ceiling</t>
        </is>
      </c>
      <c r="D131" s="11" t="n">
        <v>1</v>
      </c>
      <c r="E131" s="11" t="inlineStr">
        <is>
          <t>x</t>
        </is>
      </c>
      <c r="F131" s="13" t="n">
        <v>6.1</v>
      </c>
      <c r="G131" s="11" t="inlineStr">
        <is>
          <t>x</t>
        </is>
      </c>
      <c r="H131" s="13" t="n">
        <v>1.7</v>
      </c>
      <c r="I131" s="7" t="n"/>
      <c r="J131" s="7" t="n"/>
      <c r="K131" s="12">
        <f>D131*F131*H131</f>
        <v/>
      </c>
      <c r="L131" s="11" t="inlineStr">
        <is>
          <t>sqm</t>
        </is>
      </c>
      <c r="M131" s="7" t="n"/>
      <c r="N131" s="7" t="n"/>
    </row>
    <row r="132" ht="18" customHeight="1">
      <c r="A132" s="7" t="n"/>
      <c r="B132" s="7" t="n"/>
      <c r="C132" s="10" t="inlineStr">
        <is>
          <t>PLAN 3 - Main Room Ceiling</t>
        </is>
      </c>
      <c r="D132" s="11" t="n">
        <v>1</v>
      </c>
      <c r="E132" s="11" t="inlineStr">
        <is>
          <t>x</t>
        </is>
      </c>
      <c r="F132" s="13" t="n">
        <v>6.008</v>
      </c>
      <c r="G132" s="11" t="inlineStr">
        <is>
          <t>x</t>
        </is>
      </c>
      <c r="H132" s="13" t="n">
        <v>6.6</v>
      </c>
      <c r="I132" s="7" t="n"/>
      <c r="J132" s="7" t="n"/>
      <c r="K132" s="12">
        <f>D132*F132*H132</f>
        <v/>
      </c>
      <c r="L132" s="11" t="inlineStr">
        <is>
          <t>sqm</t>
        </is>
      </c>
      <c r="M132" s="7" t="n"/>
      <c r="N132" s="7" t="n"/>
    </row>
    <row r="133" ht="18" customHeight="1">
      <c r="A133" s="7" t="n"/>
      <c r="B133" s="7" t="n"/>
      <c r="C133" s="10" t="inlineStr">
        <is>
          <t>PLAN 3 - Rear Annex / Toilet Ceiling</t>
        </is>
      </c>
      <c r="D133" s="11" t="n">
        <v>1</v>
      </c>
      <c r="E133" s="11" t="inlineStr">
        <is>
          <t>x</t>
        </is>
      </c>
      <c r="F133" s="13" t="n">
        <v>2.3</v>
      </c>
      <c r="G133" s="11" t="inlineStr">
        <is>
          <t>x</t>
        </is>
      </c>
      <c r="H133" s="13" t="n">
        <v>2.231</v>
      </c>
      <c r="I133" s="7" t="n"/>
      <c r="J133" s="7" t="n"/>
      <c r="K133" s="12">
        <f>D133*F133*H133</f>
        <v/>
      </c>
      <c r="L133" s="11" t="inlineStr">
        <is>
          <t>sqm</t>
        </is>
      </c>
      <c r="M133" s="7" t="n"/>
      <c r="N133" s="7" t="n"/>
    </row>
    <row r="134" ht="18" customHeight="1">
      <c r="A134" s="7" t="n"/>
      <c r="B134" s="7" t="n"/>
      <c r="C134" s="10" t="inlineStr">
        <is>
          <t>PLAN 3 - Front Verandah Ceiling</t>
        </is>
      </c>
      <c r="D134" s="11" t="n">
        <v>1</v>
      </c>
      <c r="E134" s="11" t="inlineStr">
        <is>
          <t>x</t>
        </is>
      </c>
      <c r="F134" s="13" t="n">
        <v>6.6</v>
      </c>
      <c r="G134" s="11" t="inlineStr">
        <is>
          <t>x</t>
        </is>
      </c>
      <c r="H134" s="13" t="n">
        <v>1.87</v>
      </c>
      <c r="I134" s="7" t="n"/>
      <c r="J134" s="7" t="n"/>
      <c r="K134" s="12">
        <f>D134*F134*H134</f>
        <v/>
      </c>
      <c r="L134" s="11" t="inlineStr">
        <is>
          <t>sqm</t>
        </is>
      </c>
      <c r="M134" s="7" t="n"/>
      <c r="N134" s="7" t="n"/>
    </row>
    <row r="135" ht="20" customHeight="1">
      <c r="A135" s="18" t="inlineStr">
        <is>
          <t>TOTAL CEILING PAINTING AREA (ALL 3 BUILDINGS) =</t>
        </is>
      </c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20">
        <f>ROUND(SUM(K116:K134), 2)</f>
        <v/>
      </c>
      <c r="L135" s="21" t="inlineStr">
        <is>
          <t>sqm</t>
        </is>
      </c>
      <c r="M135" s="22" t="n">
        <v>121.55</v>
      </c>
      <c r="N135" s="23">
        <f>ROUND(K135*M135, 2)</f>
        <v/>
      </c>
    </row>
    <row r="137" ht="24" customHeight="1">
      <c r="A137" s="30" t="inlineStr">
        <is>
          <t>COMBINED ABSTRACT (WALLS + BEAMS + CEILING PAINTING - ALL 3 BUILDINGS) =</t>
        </is>
      </c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31">
        <f>ROUND(K113+K135, 2)</f>
        <v/>
      </c>
      <c r="L137" s="32" t="inlineStr">
        <is>
          <t>sqm</t>
        </is>
      </c>
      <c r="M137" s="33" t="n">
        <v>121.55</v>
      </c>
      <c r="N137" s="34">
        <f>ROUND(K137*M137, 2)</f>
        <v/>
      </c>
    </row>
  </sheetData>
  <mergeCells count="17">
    <mergeCell ref="A6:A65"/>
    <mergeCell ref="B92:B111"/>
    <mergeCell ref="A67:A90"/>
    <mergeCell ref="A3:N3"/>
    <mergeCell ref="C90:J90"/>
    <mergeCell ref="A135:J135"/>
    <mergeCell ref="C63:J63"/>
    <mergeCell ref="A2:N2"/>
    <mergeCell ref="C65:J65"/>
    <mergeCell ref="A115:N115"/>
    <mergeCell ref="A92:A111"/>
    <mergeCell ref="B6:B65"/>
    <mergeCell ref="A113:J113"/>
    <mergeCell ref="B67:B90"/>
    <mergeCell ref="A137:J137"/>
    <mergeCell ref="C111:J111"/>
    <mergeCell ref="A1:N1"/>
  </mergeCells>
  <pageMargins left="0.25" right="0.25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2026-09-29T08:31:54Z</dcterms:created>
  <dcterms:modified xmlns:dcterms="http://purl.org/dc/terms/" xmlns:xsi="http://www.w3.org/2001/XMLSchema-instance" xsi:type="dcterms:W3CDTF">2026-09-29T08:31:54Z</dcterms:modified>
</cp:coreProperties>
</file>